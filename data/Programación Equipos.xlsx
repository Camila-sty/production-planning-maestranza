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0.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1.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2.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3.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4.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15.xml" ContentType="application/vnd.openxmlformats-officedocument.drawing+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16.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17.xml" ContentType="application/vnd.openxmlformats-officedocument.drawing+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18.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19.xml" ContentType="application/vnd.openxmlformats-officedocument.drawing+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20.xml" ContentType="application/vnd.openxmlformats-officedocument.drawing+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21.xml" ContentType="application/vnd.openxmlformats-officedocument.drawing+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22.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23.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24.xml" ContentType="application/vnd.openxmlformats-officedocument.drawing+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drawings/drawing25.xml" ContentType="application/vnd.openxmlformats-officedocument.drawing+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omments9.xml" ContentType="application/vnd.openxmlformats-officedocument.spreadsheetml.comments+xml"/>
  <Override PartName="/xl/threadedComments/threadedComment9.xml" ContentType="application/vnd.ms-excel.threadedcomments+xml"/>
  <Override PartName="/xl/namedSheetViews/namedSheetView1.xml" ContentType="application/vnd.ms-excel.namedsheetviews+xml"/>
  <Override PartName="/xl/drawings/drawing26.xml" ContentType="application/vnd.openxmlformats-officedocument.drawing+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filterPrivacy="1" codeName="ThisWorkbook"/>
  <xr:revisionPtr revIDLastSave="0" documentId="8_{910007BB-C8A2-4D44-9F21-DF448C4EE234}" xr6:coauthVersionLast="47" xr6:coauthVersionMax="47" xr10:uidLastSave="{00000000-0000-0000-0000-000000000000}"/>
  <bookViews>
    <workbookView xWindow="0" yWindow="500" windowWidth="28800" windowHeight="15720" tabRatio="808" activeTab="25" xr2:uid="{00000000-000D-0000-FFFF-FFFF00000000}"/>
  </bookViews>
  <sheets>
    <sheet name="Acerca de" sheetId="12" state="hidden" r:id="rId1"/>
    <sheet name="FEB.-22" sheetId="54" state="hidden" r:id="rId2"/>
    <sheet name="ENE.-22" sheetId="49" state="hidden" r:id="rId3"/>
    <sheet name="MAR-22" sheetId="57" state="hidden" r:id="rId4"/>
    <sheet name="ABR-22" sheetId="63" state="hidden" r:id="rId5"/>
    <sheet name="MAY-22" sheetId="64" state="hidden" r:id="rId6"/>
    <sheet name="JUN-22" sheetId="65" state="hidden" r:id="rId7"/>
    <sheet name="JUL-22" sheetId="66" state="hidden" r:id="rId8"/>
    <sheet name="AGO-22" sheetId="67" state="hidden" r:id="rId9"/>
    <sheet name="NOV-22" sheetId="70" state="hidden" r:id="rId10"/>
    <sheet name="ENE-23" sheetId="75" state="hidden" r:id="rId11"/>
    <sheet name="DIC-22" sheetId="71" state="hidden" r:id="rId12"/>
    <sheet name="FEB-23" sheetId="76" state="hidden" r:id="rId13"/>
    <sheet name="MAR-23" sheetId="77" state="hidden" r:id="rId14"/>
    <sheet name="ABR-23" sheetId="78" state="hidden" r:id="rId15"/>
    <sheet name="MAY-23" sheetId="79" state="hidden" r:id="rId16"/>
    <sheet name="JUN-23" sheetId="80" state="hidden" r:id="rId17"/>
    <sheet name="JUL-23" sheetId="81" state="hidden" r:id="rId18"/>
    <sheet name="AGO-23" sheetId="86" state="hidden" r:id="rId19"/>
    <sheet name="SEP-23" sheetId="85" state="hidden" r:id="rId20"/>
    <sheet name="OCT-23" sheetId="84" state="hidden" r:id="rId21"/>
    <sheet name="SEP-22" sheetId="68" state="hidden" r:id="rId22"/>
    <sheet name="OCT-22" sheetId="69" state="hidden" r:id="rId23"/>
    <sheet name="NOV-23" sheetId="83" state="hidden" r:id="rId24"/>
    <sheet name="DIC-23" sheetId="82" state="hidden" r:id="rId25"/>
    <sheet name="Produccion de Equipos" sheetId="74" r:id="rId26"/>
    <sheet name="Resume 2022" sheetId="72" state="hidden" r:id="rId27"/>
  </sheets>
  <definedNames>
    <definedName name="_xlnm._FilterDatabase" localSheetId="4" hidden="1">'ABR-22'!$A$1:$BG$1</definedName>
    <definedName name="_xlnm._FilterDatabase" localSheetId="14" hidden="1">'ABR-23'!$A$1:$AH$1</definedName>
    <definedName name="_xlnm._FilterDatabase" localSheetId="8" hidden="1">'AGO-22'!$A$1:$AG$1</definedName>
    <definedName name="_xlnm._FilterDatabase" localSheetId="18" hidden="1">'AGO-23'!$A$1:$AH$1</definedName>
    <definedName name="_xlnm._FilterDatabase" localSheetId="11" hidden="1">'DIC-22'!$A$1:$AH$1</definedName>
    <definedName name="_xlnm._FilterDatabase" localSheetId="24" hidden="1">'DIC-23'!$A$1:$AH$1</definedName>
    <definedName name="_xlnm._FilterDatabase" localSheetId="10" hidden="1">'ENE-23'!$A$1:$AH$1</definedName>
    <definedName name="_xlnm._FilterDatabase" localSheetId="2" hidden="1">'ENE.-22'!$A$1:$N$22</definedName>
    <definedName name="_xlnm._FilterDatabase" localSheetId="12" hidden="1">'FEB-23'!$A$1:$AH$1</definedName>
    <definedName name="_xlnm._FilterDatabase" localSheetId="1" hidden="1">'FEB.-22'!$A$1:$U$24</definedName>
    <definedName name="_xlnm._FilterDatabase" localSheetId="7" hidden="1">'JUL-22'!$A$1:$BI$1</definedName>
    <definedName name="_xlnm._FilterDatabase" localSheetId="17" hidden="1">'JUL-23'!$A$1:$AH$1</definedName>
    <definedName name="_xlnm._FilterDatabase" localSheetId="6" hidden="1">'JUN-22'!$A$1:$AC$40</definedName>
    <definedName name="_xlnm._FilterDatabase" localSheetId="16" hidden="1">'JUN-23'!$A$1:$AH$1</definedName>
    <definedName name="_xlnm._FilterDatabase" localSheetId="3" hidden="1">'MAR-22'!$A$1:$BE$1</definedName>
    <definedName name="_xlnm._FilterDatabase" localSheetId="13" hidden="1">'MAR-23'!$A$1:$AH$1</definedName>
    <definedName name="_xlnm._FilterDatabase" localSheetId="5" hidden="1">'MAY-22'!$A$1:$BE$1</definedName>
    <definedName name="_xlnm._FilterDatabase" localSheetId="15" hidden="1">'MAY-23'!$A$1:$AH$1</definedName>
    <definedName name="_xlnm._FilterDatabase" localSheetId="9" hidden="1">'NOV-22'!$A$1:$AC$1</definedName>
    <definedName name="_xlnm._FilterDatabase" localSheetId="23" hidden="1">'NOV-23'!$A$1:$AH$1</definedName>
    <definedName name="_xlnm._FilterDatabase" localSheetId="22" hidden="1">'OCT-22'!$A$1:$BJ$1</definedName>
    <definedName name="_xlnm._FilterDatabase" localSheetId="20" hidden="1">'OCT-23'!$A$1:$AH$1</definedName>
    <definedName name="_xlnm._FilterDatabase" localSheetId="25" hidden="1">'Produccion de Equipos'!$A$1:$W$91</definedName>
    <definedName name="_xlnm._FilterDatabase" localSheetId="21" hidden="1">'SEP-22'!$A$1:$AG$19</definedName>
    <definedName name="_xlnm._FilterDatabase" localSheetId="19" hidden="1">'SEP-23'!$A$1:$AH$1</definedName>
    <definedName name="O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3" i="74" l="1"/>
  <c r="P1" i="74" l="1"/>
  <c r="C11" i="72"/>
  <c r="J66" i="78"/>
  <c r="J35" i="77"/>
  <c r="J34" i="77"/>
  <c r="G147" i="86"/>
  <c r="A138" i="86"/>
  <c r="A137" i="86"/>
  <c r="A136" i="86"/>
  <c r="A135" i="86"/>
  <c r="A134" i="86"/>
  <c r="A133" i="86"/>
  <c r="A132" i="86"/>
  <c r="A131" i="86"/>
  <c r="A130" i="86"/>
  <c r="A129" i="86"/>
  <c r="A128" i="86"/>
  <c r="A127" i="86"/>
  <c r="A126" i="86"/>
  <c r="A119" i="86"/>
  <c r="A118" i="86"/>
  <c r="A117" i="86"/>
  <c r="A116" i="86"/>
  <c r="A115" i="86"/>
  <c r="A114" i="86"/>
  <c r="A113" i="86"/>
  <c r="A112" i="86"/>
  <c r="A111" i="86"/>
  <c r="A110" i="86"/>
  <c r="A109" i="86"/>
  <c r="A77" i="86"/>
  <c r="A78" i="86" s="1"/>
  <c r="A79" i="86" s="1"/>
  <c r="A80" i="86" s="1"/>
  <c r="A81" i="86" s="1"/>
  <c r="A82" i="86" s="1"/>
  <c r="A83" i="86" s="1"/>
  <c r="A84" i="86" s="1"/>
  <c r="A85" i="86" s="1"/>
  <c r="A86" i="86" s="1"/>
  <c r="A87" i="86" s="1"/>
  <c r="A88" i="86" s="1"/>
  <c r="A89" i="86" s="1"/>
  <c r="A90" i="86" s="1"/>
  <c r="A91" i="86" s="1"/>
  <c r="A92" i="86" s="1"/>
  <c r="A93" i="86" s="1"/>
  <c r="A94" i="86" s="1"/>
  <c r="A95" i="86" s="1"/>
  <c r="A96" i="86" s="1"/>
  <c r="A97" i="86" s="1"/>
  <c r="A98" i="86" s="1"/>
  <c r="A99" i="86" s="1"/>
  <c r="A100" i="86" s="1"/>
  <c r="A101" i="86" s="1"/>
  <c r="A102" i="86" s="1"/>
  <c r="A103" i="86" s="1"/>
  <c r="A104" i="86" s="1"/>
  <c r="A105" i="86" s="1"/>
  <c r="A106" i="86" s="1"/>
  <c r="J70" i="86"/>
  <c r="D70" i="86"/>
  <c r="J69" i="86"/>
  <c r="D69" i="86"/>
  <c r="J68" i="86"/>
  <c r="D68" i="86"/>
  <c r="J67" i="86"/>
  <c r="D67" i="86"/>
  <c r="J66" i="86"/>
  <c r="F66" i="86"/>
  <c r="D66" i="86"/>
  <c r="N65" i="86"/>
  <c r="J65" i="86"/>
  <c r="F65" i="86"/>
  <c r="D65" i="86"/>
  <c r="F64" i="86"/>
  <c r="D64" i="86"/>
  <c r="K63" i="86"/>
  <c r="J63" i="86"/>
  <c r="I63" i="86"/>
  <c r="G147" i="85"/>
  <c r="A138" i="85"/>
  <c r="A137" i="85"/>
  <c r="A136" i="85"/>
  <c r="A135" i="85"/>
  <c r="A134" i="85"/>
  <c r="A133" i="85"/>
  <c r="A132" i="85"/>
  <c r="A131" i="85"/>
  <c r="A130" i="85"/>
  <c r="A129" i="85"/>
  <c r="A128" i="85"/>
  <c r="A127" i="85"/>
  <c r="A126" i="85"/>
  <c r="A119" i="85"/>
  <c r="A118" i="85"/>
  <c r="A117" i="85"/>
  <c r="A116" i="85"/>
  <c r="A115" i="85"/>
  <c r="A114" i="85"/>
  <c r="A113" i="85"/>
  <c r="A112" i="85"/>
  <c r="A111" i="85"/>
  <c r="A110" i="85"/>
  <c r="A109" i="85"/>
  <c r="A77" i="85"/>
  <c r="A78" i="85" s="1"/>
  <c r="A79" i="85" s="1"/>
  <c r="A80" i="85" s="1"/>
  <c r="A81" i="85" s="1"/>
  <c r="A82" i="85" s="1"/>
  <c r="A83" i="85" s="1"/>
  <c r="A84" i="85" s="1"/>
  <c r="A85" i="85" s="1"/>
  <c r="A86" i="85" s="1"/>
  <c r="A87" i="85" s="1"/>
  <c r="A88" i="85" s="1"/>
  <c r="A89" i="85" s="1"/>
  <c r="A90" i="85" s="1"/>
  <c r="A91" i="85" s="1"/>
  <c r="A92" i="85" s="1"/>
  <c r="A93" i="85" s="1"/>
  <c r="A94" i="85" s="1"/>
  <c r="A95" i="85" s="1"/>
  <c r="A96" i="85" s="1"/>
  <c r="A97" i="85" s="1"/>
  <c r="A98" i="85" s="1"/>
  <c r="A99" i="85" s="1"/>
  <c r="A100" i="85" s="1"/>
  <c r="A101" i="85" s="1"/>
  <c r="A102" i="85" s="1"/>
  <c r="A103" i="85" s="1"/>
  <c r="A104" i="85" s="1"/>
  <c r="A105" i="85" s="1"/>
  <c r="A106" i="85" s="1"/>
  <c r="J70" i="85"/>
  <c r="D70" i="85"/>
  <c r="J69" i="85"/>
  <c r="D69" i="85"/>
  <c r="J68" i="85"/>
  <c r="D68" i="85"/>
  <c r="J67" i="85"/>
  <c r="D67" i="85"/>
  <c r="J66" i="85"/>
  <c r="F66" i="85"/>
  <c r="D66" i="85"/>
  <c r="N65" i="85"/>
  <c r="J65" i="85"/>
  <c r="F65" i="85"/>
  <c r="D65" i="85"/>
  <c r="F64" i="85"/>
  <c r="D64" i="85"/>
  <c r="K63" i="85"/>
  <c r="J63" i="85"/>
  <c r="I63" i="85"/>
  <c r="G147" i="84"/>
  <c r="A138" i="84"/>
  <c r="A137" i="84"/>
  <c r="A136" i="84"/>
  <c r="A135" i="84"/>
  <c r="A134" i="84"/>
  <c r="A133" i="84"/>
  <c r="A132" i="84"/>
  <c r="A131" i="84"/>
  <c r="A130" i="84"/>
  <c r="A129" i="84"/>
  <c r="A128" i="84"/>
  <c r="A127" i="84"/>
  <c r="A126" i="84"/>
  <c r="A119" i="84"/>
  <c r="A118" i="84"/>
  <c r="A117" i="84"/>
  <c r="A116" i="84"/>
  <c r="A115" i="84"/>
  <c r="A114" i="84"/>
  <c r="A113" i="84"/>
  <c r="A112" i="84"/>
  <c r="A111" i="84"/>
  <c r="A110" i="84"/>
  <c r="A109" i="84"/>
  <c r="A77" i="84"/>
  <c r="A78" i="84" s="1"/>
  <c r="A79" i="84" s="1"/>
  <c r="A80" i="84" s="1"/>
  <c r="A81" i="84" s="1"/>
  <c r="A82" i="84" s="1"/>
  <c r="A83" i="84" s="1"/>
  <c r="A84" i="84" s="1"/>
  <c r="A85" i="84" s="1"/>
  <c r="A86" i="84" s="1"/>
  <c r="A87" i="84" s="1"/>
  <c r="A88" i="84" s="1"/>
  <c r="A89" i="84" s="1"/>
  <c r="A90" i="84" s="1"/>
  <c r="A91" i="84" s="1"/>
  <c r="A92" i="84" s="1"/>
  <c r="A93" i="84" s="1"/>
  <c r="A94" i="84" s="1"/>
  <c r="A95" i="84" s="1"/>
  <c r="A96" i="84" s="1"/>
  <c r="A97" i="84" s="1"/>
  <c r="A98" i="84" s="1"/>
  <c r="A99" i="84" s="1"/>
  <c r="A100" i="84" s="1"/>
  <c r="A101" i="84" s="1"/>
  <c r="A102" i="84" s="1"/>
  <c r="A103" i="84" s="1"/>
  <c r="A104" i="84" s="1"/>
  <c r="A105" i="84" s="1"/>
  <c r="A106" i="84" s="1"/>
  <c r="J70" i="84"/>
  <c r="D70" i="84"/>
  <c r="J69" i="84"/>
  <c r="D69" i="84"/>
  <c r="J68" i="84"/>
  <c r="D68" i="84"/>
  <c r="J67" i="84"/>
  <c r="D67" i="84"/>
  <c r="J66" i="84"/>
  <c r="F66" i="84"/>
  <c r="D66" i="84"/>
  <c r="N65" i="84"/>
  <c r="J65" i="84"/>
  <c r="F65" i="84"/>
  <c r="D65" i="84"/>
  <c r="F64" i="84"/>
  <c r="D64" i="84"/>
  <c r="K63" i="84"/>
  <c r="J63" i="84"/>
  <c r="I63" i="84"/>
  <c r="G147" i="83"/>
  <c r="A138" i="83"/>
  <c r="A137" i="83"/>
  <c r="A136" i="83"/>
  <c r="A135" i="83"/>
  <c r="A134" i="83"/>
  <c r="A133" i="83"/>
  <c r="A132" i="83"/>
  <c r="A131" i="83"/>
  <c r="A130" i="83"/>
  <c r="A129" i="83"/>
  <c r="A128" i="83"/>
  <c r="A127" i="83"/>
  <c r="A126" i="83"/>
  <c r="A119" i="83"/>
  <c r="A118" i="83"/>
  <c r="A117" i="83"/>
  <c r="A116" i="83"/>
  <c r="A115" i="83"/>
  <c r="A114" i="83"/>
  <c r="A113" i="83"/>
  <c r="A112" i="83"/>
  <c r="A111" i="83"/>
  <c r="A110" i="83"/>
  <c r="A109" i="83"/>
  <c r="A77" i="83"/>
  <c r="A78" i="83" s="1"/>
  <c r="A79" i="83" s="1"/>
  <c r="A80" i="83" s="1"/>
  <c r="A81" i="83" s="1"/>
  <c r="A82" i="83" s="1"/>
  <c r="A83" i="83" s="1"/>
  <c r="A84" i="83" s="1"/>
  <c r="A85" i="83" s="1"/>
  <c r="A86" i="83" s="1"/>
  <c r="A87" i="83" s="1"/>
  <c r="A88" i="83" s="1"/>
  <c r="A89" i="83" s="1"/>
  <c r="A90" i="83" s="1"/>
  <c r="A91" i="83" s="1"/>
  <c r="A92" i="83" s="1"/>
  <c r="A93" i="83" s="1"/>
  <c r="A94" i="83" s="1"/>
  <c r="A95" i="83" s="1"/>
  <c r="A96" i="83" s="1"/>
  <c r="A97" i="83" s="1"/>
  <c r="A98" i="83" s="1"/>
  <c r="A99" i="83" s="1"/>
  <c r="A100" i="83" s="1"/>
  <c r="A101" i="83" s="1"/>
  <c r="A102" i="83" s="1"/>
  <c r="A103" i="83" s="1"/>
  <c r="A104" i="83" s="1"/>
  <c r="A105" i="83" s="1"/>
  <c r="A106" i="83" s="1"/>
  <c r="J70" i="83"/>
  <c r="D70" i="83"/>
  <c r="J69" i="83"/>
  <c r="D69" i="83"/>
  <c r="J68" i="83"/>
  <c r="D68" i="83"/>
  <c r="J67" i="83"/>
  <c r="D67" i="83"/>
  <c r="J66" i="83"/>
  <c r="F66" i="83"/>
  <c r="D66" i="83"/>
  <c r="N65" i="83"/>
  <c r="J65" i="83"/>
  <c r="F65" i="83"/>
  <c r="D65" i="83"/>
  <c r="F64" i="83"/>
  <c r="D64" i="83"/>
  <c r="K63" i="83"/>
  <c r="J63" i="83"/>
  <c r="I63" i="83"/>
  <c r="G147" i="82"/>
  <c r="A138" i="82"/>
  <c r="A137" i="82"/>
  <c r="A136" i="82"/>
  <c r="A135" i="82"/>
  <c r="A134" i="82"/>
  <c r="A133" i="82"/>
  <c r="A132" i="82"/>
  <c r="A131" i="82"/>
  <c r="A130" i="82"/>
  <c r="A129" i="82"/>
  <c r="A128" i="82"/>
  <c r="A127" i="82"/>
  <c r="A126" i="82"/>
  <c r="A119" i="82"/>
  <c r="A118" i="82"/>
  <c r="A117" i="82"/>
  <c r="A116" i="82"/>
  <c r="A115" i="82"/>
  <c r="A114" i="82"/>
  <c r="A113" i="82"/>
  <c r="A112" i="82"/>
  <c r="A111" i="82"/>
  <c r="A110" i="82"/>
  <c r="A109" i="82"/>
  <c r="A77" i="82"/>
  <c r="A78" i="82" s="1"/>
  <c r="A79" i="82" s="1"/>
  <c r="A80" i="82" s="1"/>
  <c r="A81" i="82" s="1"/>
  <c r="A82" i="82" s="1"/>
  <c r="A83" i="82" s="1"/>
  <c r="A84" i="82" s="1"/>
  <c r="A85" i="82" s="1"/>
  <c r="A86" i="82" s="1"/>
  <c r="A87" i="82" s="1"/>
  <c r="A88" i="82" s="1"/>
  <c r="A89" i="82" s="1"/>
  <c r="A90" i="82" s="1"/>
  <c r="A91" i="82" s="1"/>
  <c r="A92" i="82" s="1"/>
  <c r="A93" i="82" s="1"/>
  <c r="A94" i="82" s="1"/>
  <c r="A95" i="82" s="1"/>
  <c r="A96" i="82" s="1"/>
  <c r="A97" i="82" s="1"/>
  <c r="A98" i="82" s="1"/>
  <c r="A99" i="82" s="1"/>
  <c r="A100" i="82" s="1"/>
  <c r="A101" i="82" s="1"/>
  <c r="A102" i="82" s="1"/>
  <c r="A103" i="82" s="1"/>
  <c r="A104" i="82" s="1"/>
  <c r="A105" i="82" s="1"/>
  <c r="A106" i="82" s="1"/>
  <c r="J70" i="82"/>
  <c r="D70" i="82"/>
  <c r="J69" i="82"/>
  <c r="D69" i="82"/>
  <c r="J68" i="82"/>
  <c r="D68" i="82"/>
  <c r="J67" i="82"/>
  <c r="D67" i="82"/>
  <c r="J66" i="82"/>
  <c r="F66" i="82"/>
  <c r="D66" i="82"/>
  <c r="N65" i="82"/>
  <c r="J65" i="82"/>
  <c r="F65" i="82"/>
  <c r="D65" i="82"/>
  <c r="F64" i="82"/>
  <c r="D64" i="82"/>
  <c r="K63" i="82"/>
  <c r="J63" i="82"/>
  <c r="I63" i="82"/>
  <c r="G147" i="81"/>
  <c r="A138" i="81"/>
  <c r="A137" i="81"/>
  <c r="A136" i="81"/>
  <c r="A135" i="81"/>
  <c r="A134" i="81"/>
  <c r="A133" i="81"/>
  <c r="A132" i="81"/>
  <c r="A131" i="81"/>
  <c r="A130" i="81"/>
  <c r="A129" i="81"/>
  <c r="A128" i="81"/>
  <c r="A127" i="81"/>
  <c r="A126" i="81"/>
  <c r="A119" i="81"/>
  <c r="A118" i="81"/>
  <c r="A117" i="81"/>
  <c r="A116" i="81"/>
  <c r="A115" i="81"/>
  <c r="A114" i="81"/>
  <c r="A113" i="81"/>
  <c r="A112" i="81"/>
  <c r="A111" i="81"/>
  <c r="A110" i="81"/>
  <c r="A109" i="81"/>
  <c r="A77" i="81"/>
  <c r="A78" i="81" s="1"/>
  <c r="A79" i="81" s="1"/>
  <c r="A80" i="81" s="1"/>
  <c r="A81" i="81" s="1"/>
  <c r="A82" i="81" s="1"/>
  <c r="A83" i="81" s="1"/>
  <c r="A84" i="81" s="1"/>
  <c r="A85" i="81" s="1"/>
  <c r="A86" i="81" s="1"/>
  <c r="A87" i="81" s="1"/>
  <c r="A88" i="81" s="1"/>
  <c r="A89" i="81" s="1"/>
  <c r="A90" i="81" s="1"/>
  <c r="A91" i="81" s="1"/>
  <c r="A92" i="81" s="1"/>
  <c r="A93" i="81" s="1"/>
  <c r="A94" i="81" s="1"/>
  <c r="A95" i="81" s="1"/>
  <c r="A96" i="81" s="1"/>
  <c r="A97" i="81" s="1"/>
  <c r="A98" i="81" s="1"/>
  <c r="A99" i="81" s="1"/>
  <c r="A100" i="81" s="1"/>
  <c r="A101" i="81" s="1"/>
  <c r="A102" i="81" s="1"/>
  <c r="A103" i="81" s="1"/>
  <c r="A104" i="81" s="1"/>
  <c r="A105" i="81" s="1"/>
  <c r="A106" i="81" s="1"/>
  <c r="J70" i="81"/>
  <c r="D70" i="81"/>
  <c r="J69" i="81"/>
  <c r="D69" i="81"/>
  <c r="J68" i="81"/>
  <c r="D68" i="81"/>
  <c r="J67" i="81"/>
  <c r="D67" i="81"/>
  <c r="J66" i="81"/>
  <c r="F66" i="81"/>
  <c r="D66" i="81"/>
  <c r="N65" i="81"/>
  <c r="J65" i="81"/>
  <c r="F65" i="81"/>
  <c r="D65" i="81"/>
  <c r="F64" i="81"/>
  <c r="D64" i="81"/>
  <c r="K63" i="81"/>
  <c r="J63" i="81"/>
  <c r="I63" i="81"/>
  <c r="G147" i="80"/>
  <c r="A138" i="80"/>
  <c r="A137" i="80"/>
  <c r="A136" i="80"/>
  <c r="A135" i="80"/>
  <c r="A134" i="80"/>
  <c r="A133" i="80"/>
  <c r="A132" i="80"/>
  <c r="A131" i="80"/>
  <c r="A130" i="80"/>
  <c r="A129" i="80"/>
  <c r="A128" i="80"/>
  <c r="A127" i="80"/>
  <c r="A126" i="80"/>
  <c r="A119" i="80"/>
  <c r="A118" i="80"/>
  <c r="A117" i="80"/>
  <c r="A116" i="80"/>
  <c r="A115" i="80"/>
  <c r="A114" i="80"/>
  <c r="A113" i="80"/>
  <c r="A112" i="80"/>
  <c r="A111" i="80"/>
  <c r="A110" i="80"/>
  <c r="A109" i="80"/>
  <c r="A77" i="80"/>
  <c r="A78" i="80" s="1"/>
  <c r="A79" i="80" s="1"/>
  <c r="A80" i="80" s="1"/>
  <c r="A81" i="80" s="1"/>
  <c r="A82" i="80" s="1"/>
  <c r="A83" i="80" s="1"/>
  <c r="A84" i="80" s="1"/>
  <c r="A85" i="80" s="1"/>
  <c r="A86" i="80" s="1"/>
  <c r="A87" i="80" s="1"/>
  <c r="A88" i="80" s="1"/>
  <c r="A89" i="80" s="1"/>
  <c r="A90" i="80" s="1"/>
  <c r="A91" i="80" s="1"/>
  <c r="A92" i="80" s="1"/>
  <c r="A93" i="80" s="1"/>
  <c r="A94" i="80" s="1"/>
  <c r="A95" i="80" s="1"/>
  <c r="A96" i="80" s="1"/>
  <c r="A97" i="80" s="1"/>
  <c r="A98" i="80" s="1"/>
  <c r="A99" i="80" s="1"/>
  <c r="A100" i="80" s="1"/>
  <c r="A101" i="80" s="1"/>
  <c r="A102" i="80" s="1"/>
  <c r="A103" i="80" s="1"/>
  <c r="A104" i="80" s="1"/>
  <c r="A105" i="80" s="1"/>
  <c r="A106" i="80" s="1"/>
  <c r="J70" i="80"/>
  <c r="D70" i="80"/>
  <c r="J69" i="80"/>
  <c r="D69" i="80"/>
  <c r="J68" i="80"/>
  <c r="D68" i="80"/>
  <c r="J67" i="80"/>
  <c r="D67" i="80"/>
  <c r="J66" i="80"/>
  <c r="F66" i="80"/>
  <c r="D66" i="80"/>
  <c r="N65" i="80"/>
  <c r="J65" i="80"/>
  <c r="F65" i="80"/>
  <c r="D65" i="80"/>
  <c r="F64" i="80"/>
  <c r="D64" i="80"/>
  <c r="K63" i="80"/>
  <c r="J63" i="80"/>
  <c r="I63" i="80"/>
  <c r="G147" i="79"/>
  <c r="A138" i="79"/>
  <c r="A137" i="79"/>
  <c r="A136" i="79"/>
  <c r="A135" i="79"/>
  <c r="A134" i="79"/>
  <c r="A133" i="79"/>
  <c r="A132" i="79"/>
  <c r="A131" i="79"/>
  <c r="A130" i="79"/>
  <c r="A129" i="79"/>
  <c r="A128" i="79"/>
  <c r="A127" i="79"/>
  <c r="A126" i="79"/>
  <c r="A119" i="79"/>
  <c r="A118" i="79"/>
  <c r="A117" i="79"/>
  <c r="A116" i="79"/>
  <c r="A115" i="79"/>
  <c r="A114" i="79"/>
  <c r="A113" i="79"/>
  <c r="A112" i="79"/>
  <c r="A111" i="79"/>
  <c r="A110" i="79"/>
  <c r="A109" i="79"/>
  <c r="A77" i="79"/>
  <c r="A78" i="79" s="1"/>
  <c r="A79" i="79" s="1"/>
  <c r="A80" i="79" s="1"/>
  <c r="A81" i="79" s="1"/>
  <c r="A82" i="79" s="1"/>
  <c r="A83" i="79" s="1"/>
  <c r="A84" i="79" s="1"/>
  <c r="A85" i="79" s="1"/>
  <c r="A86" i="79" s="1"/>
  <c r="A87" i="79" s="1"/>
  <c r="A88" i="79" s="1"/>
  <c r="A89" i="79" s="1"/>
  <c r="A90" i="79" s="1"/>
  <c r="A91" i="79" s="1"/>
  <c r="A92" i="79" s="1"/>
  <c r="A93" i="79" s="1"/>
  <c r="A94" i="79" s="1"/>
  <c r="A95" i="79" s="1"/>
  <c r="A96" i="79" s="1"/>
  <c r="A97" i="79" s="1"/>
  <c r="A98" i="79" s="1"/>
  <c r="A99" i="79" s="1"/>
  <c r="A100" i="79" s="1"/>
  <c r="A101" i="79" s="1"/>
  <c r="A102" i="79" s="1"/>
  <c r="A103" i="79" s="1"/>
  <c r="A104" i="79" s="1"/>
  <c r="A105" i="79" s="1"/>
  <c r="A106" i="79" s="1"/>
  <c r="J70" i="79"/>
  <c r="D70" i="79"/>
  <c r="J69" i="79"/>
  <c r="D69" i="79"/>
  <c r="J68" i="79"/>
  <c r="D68" i="79"/>
  <c r="J67" i="79"/>
  <c r="D67" i="79"/>
  <c r="J66" i="79"/>
  <c r="F66" i="79"/>
  <c r="D66" i="79"/>
  <c r="N65" i="79"/>
  <c r="J65" i="79"/>
  <c r="F65" i="79"/>
  <c r="D65" i="79"/>
  <c r="F64" i="79"/>
  <c r="D64" i="79"/>
  <c r="K63" i="79"/>
  <c r="J63" i="79"/>
  <c r="I63" i="79"/>
  <c r="G147" i="78"/>
  <c r="A138" i="78"/>
  <c r="A137" i="78"/>
  <c r="A136" i="78"/>
  <c r="A135" i="78"/>
  <c r="A134" i="78"/>
  <c r="A133" i="78"/>
  <c r="A132" i="78"/>
  <c r="A131" i="78"/>
  <c r="A130" i="78"/>
  <c r="A129" i="78"/>
  <c r="A128" i="78"/>
  <c r="A127" i="78"/>
  <c r="A126" i="78"/>
  <c r="A119" i="78"/>
  <c r="A118" i="78"/>
  <c r="A117" i="78"/>
  <c r="A116" i="78"/>
  <c r="A115" i="78"/>
  <c r="A114" i="78"/>
  <c r="A113" i="78"/>
  <c r="A112" i="78"/>
  <c r="A111" i="78"/>
  <c r="A110" i="78"/>
  <c r="A109" i="78"/>
  <c r="A77" i="78"/>
  <c r="A78" i="78" s="1"/>
  <c r="A79" i="78" s="1"/>
  <c r="A80" i="78" s="1"/>
  <c r="A81" i="78" s="1"/>
  <c r="A82" i="78" s="1"/>
  <c r="A83" i="78" s="1"/>
  <c r="A84" i="78" s="1"/>
  <c r="A85" i="78" s="1"/>
  <c r="A86" i="78" s="1"/>
  <c r="A87" i="78" s="1"/>
  <c r="A88" i="78" s="1"/>
  <c r="A89" i="78" s="1"/>
  <c r="A90" i="78" s="1"/>
  <c r="A91" i="78" s="1"/>
  <c r="A92" i="78" s="1"/>
  <c r="A93" i="78" s="1"/>
  <c r="A94" i="78" s="1"/>
  <c r="A95" i="78" s="1"/>
  <c r="A96" i="78" s="1"/>
  <c r="A97" i="78" s="1"/>
  <c r="A98" i="78" s="1"/>
  <c r="A99" i="78" s="1"/>
  <c r="A100" i="78" s="1"/>
  <c r="A101" i="78" s="1"/>
  <c r="A102" i="78" s="1"/>
  <c r="A103" i="78" s="1"/>
  <c r="A104" i="78" s="1"/>
  <c r="A105" i="78" s="1"/>
  <c r="A106" i="78" s="1"/>
  <c r="J70" i="78"/>
  <c r="D70" i="78"/>
  <c r="J69" i="78"/>
  <c r="D69" i="78"/>
  <c r="J68" i="78"/>
  <c r="D68" i="78"/>
  <c r="J67" i="78"/>
  <c r="D67" i="78"/>
  <c r="F66" i="78"/>
  <c r="D66" i="78"/>
  <c r="N65" i="78"/>
  <c r="J65" i="78"/>
  <c r="F65" i="78"/>
  <c r="D65" i="78"/>
  <c r="F64" i="78"/>
  <c r="D64" i="78"/>
  <c r="K63" i="78"/>
  <c r="J63" i="78"/>
  <c r="I63" i="78"/>
  <c r="G110" i="77"/>
  <c r="A101" i="77"/>
  <c r="A100" i="77"/>
  <c r="A99" i="77"/>
  <c r="A98" i="77"/>
  <c r="A97" i="77"/>
  <c r="A96" i="77"/>
  <c r="A95" i="77"/>
  <c r="A94" i="77"/>
  <c r="A93" i="77"/>
  <c r="A92" i="77"/>
  <c r="A91" i="77"/>
  <c r="A90" i="77"/>
  <c r="A89" i="77"/>
  <c r="A82" i="77"/>
  <c r="A81" i="77"/>
  <c r="A80" i="77"/>
  <c r="A79" i="77"/>
  <c r="A78" i="77"/>
  <c r="A77" i="77"/>
  <c r="A76" i="77"/>
  <c r="A75" i="77"/>
  <c r="A74" i="77"/>
  <c r="A73" i="77"/>
  <c r="A72" i="77"/>
  <c r="A40" i="77"/>
  <c r="A41" i="77" s="1"/>
  <c r="A42" i="77" s="1"/>
  <c r="A43" i="77" s="1"/>
  <c r="A44" i="77" s="1"/>
  <c r="A45" i="77" s="1"/>
  <c r="A46" i="77" s="1"/>
  <c r="A47" i="77" s="1"/>
  <c r="A48" i="77" s="1"/>
  <c r="A49" i="77" s="1"/>
  <c r="A50" i="77" s="1"/>
  <c r="A51" i="77" s="1"/>
  <c r="A52" i="77" s="1"/>
  <c r="A53" i="77" s="1"/>
  <c r="A54" i="77" s="1"/>
  <c r="A55" i="77" s="1"/>
  <c r="A56" i="77" s="1"/>
  <c r="A57" i="77" s="1"/>
  <c r="A58" i="77" s="1"/>
  <c r="A59" i="77" s="1"/>
  <c r="A60" i="77" s="1"/>
  <c r="A61" i="77" s="1"/>
  <c r="A62" i="77" s="1"/>
  <c r="A63" i="77" s="1"/>
  <c r="A64" i="77" s="1"/>
  <c r="A65" i="77" s="1"/>
  <c r="A66" i="77" s="1"/>
  <c r="A67" i="77" s="1"/>
  <c r="A68" i="77" s="1"/>
  <c r="A69" i="77" s="1"/>
  <c r="J33" i="77"/>
  <c r="D33" i="77"/>
  <c r="J32" i="77"/>
  <c r="D32" i="77"/>
  <c r="J31" i="77"/>
  <c r="D31" i="77"/>
  <c r="J30" i="77"/>
  <c r="D30" i="77"/>
  <c r="J29" i="77"/>
  <c r="F29" i="77"/>
  <c r="D29" i="77"/>
  <c r="N28" i="77"/>
  <c r="J28" i="77"/>
  <c r="F28" i="77"/>
  <c r="D28" i="77"/>
  <c r="F27" i="77"/>
  <c r="D27" i="77"/>
  <c r="K26" i="77"/>
  <c r="J26" i="77"/>
  <c r="I26" i="77"/>
  <c r="G147" i="76"/>
  <c r="A138" i="76"/>
  <c r="A137" i="76"/>
  <c r="A136" i="76"/>
  <c r="A135" i="76"/>
  <c r="A134" i="76"/>
  <c r="A133" i="76"/>
  <c r="A132" i="76"/>
  <c r="A131" i="76"/>
  <c r="A130" i="76"/>
  <c r="A129" i="76"/>
  <c r="A128" i="76"/>
  <c r="A127" i="76"/>
  <c r="A126" i="76"/>
  <c r="A119" i="76"/>
  <c r="A118" i="76"/>
  <c r="A117" i="76"/>
  <c r="A116" i="76"/>
  <c r="A115" i="76"/>
  <c r="A114" i="76"/>
  <c r="A113" i="76"/>
  <c r="A112" i="76"/>
  <c r="A111" i="76"/>
  <c r="A110" i="76"/>
  <c r="A109" i="76"/>
  <c r="A77" i="76"/>
  <c r="A78" i="76" s="1"/>
  <c r="A79" i="76" s="1"/>
  <c r="A80" i="76" s="1"/>
  <c r="A81" i="76" s="1"/>
  <c r="A82" i="76" s="1"/>
  <c r="A83" i="76" s="1"/>
  <c r="A84" i="76" s="1"/>
  <c r="A85" i="76" s="1"/>
  <c r="A86" i="76" s="1"/>
  <c r="A87" i="76" s="1"/>
  <c r="A88" i="76" s="1"/>
  <c r="A89" i="76" s="1"/>
  <c r="A90" i="76" s="1"/>
  <c r="A91" i="76" s="1"/>
  <c r="A92" i="76" s="1"/>
  <c r="A93" i="76" s="1"/>
  <c r="A94" i="76" s="1"/>
  <c r="A95" i="76" s="1"/>
  <c r="A96" i="76" s="1"/>
  <c r="A97" i="76" s="1"/>
  <c r="A98" i="76" s="1"/>
  <c r="A99" i="76" s="1"/>
  <c r="A100" i="76" s="1"/>
  <c r="A101" i="76" s="1"/>
  <c r="A102" i="76" s="1"/>
  <c r="A103" i="76" s="1"/>
  <c r="A104" i="76" s="1"/>
  <c r="A105" i="76" s="1"/>
  <c r="A106" i="76" s="1"/>
  <c r="J70" i="76"/>
  <c r="D70" i="76"/>
  <c r="J69" i="76"/>
  <c r="D69" i="76"/>
  <c r="J68" i="76"/>
  <c r="D68" i="76"/>
  <c r="J67" i="76"/>
  <c r="D67" i="76"/>
  <c r="J66" i="76"/>
  <c r="F66" i="76"/>
  <c r="D66" i="76"/>
  <c r="N65" i="76"/>
  <c r="J65" i="76"/>
  <c r="F65" i="76"/>
  <c r="D65" i="76"/>
  <c r="F64" i="76"/>
  <c r="D64" i="76"/>
  <c r="K63" i="76"/>
  <c r="J63" i="76"/>
  <c r="I63" i="76"/>
  <c r="G147" i="75"/>
  <c r="A138" i="75"/>
  <c r="A137" i="75"/>
  <c r="A136" i="75"/>
  <c r="A135" i="75"/>
  <c r="A134" i="75"/>
  <c r="A133" i="75"/>
  <c r="A132" i="75"/>
  <c r="A131" i="75"/>
  <c r="A130" i="75"/>
  <c r="A129" i="75"/>
  <c r="A128" i="75"/>
  <c r="A127" i="75"/>
  <c r="A126" i="75"/>
  <c r="A119" i="75"/>
  <c r="A118" i="75"/>
  <c r="A117" i="75"/>
  <c r="A116" i="75"/>
  <c r="A115" i="75"/>
  <c r="A114" i="75"/>
  <c r="A113" i="75"/>
  <c r="A112" i="75"/>
  <c r="A111" i="75"/>
  <c r="A110" i="75"/>
  <c r="A109" i="75"/>
  <c r="A77" i="75"/>
  <c r="A78" i="75" s="1"/>
  <c r="A79" i="75" s="1"/>
  <c r="A80" i="75" s="1"/>
  <c r="A81" i="75" s="1"/>
  <c r="A82" i="75" s="1"/>
  <c r="A83" i="75" s="1"/>
  <c r="A84" i="75" s="1"/>
  <c r="A85" i="75" s="1"/>
  <c r="A86" i="75" s="1"/>
  <c r="A87" i="75" s="1"/>
  <c r="A88" i="75" s="1"/>
  <c r="A89" i="75" s="1"/>
  <c r="A90" i="75" s="1"/>
  <c r="A91" i="75" s="1"/>
  <c r="A92" i="75" s="1"/>
  <c r="A93" i="75" s="1"/>
  <c r="A94" i="75" s="1"/>
  <c r="A95" i="75" s="1"/>
  <c r="A96" i="75" s="1"/>
  <c r="A97" i="75" s="1"/>
  <c r="A98" i="75" s="1"/>
  <c r="A99" i="75" s="1"/>
  <c r="A100" i="75" s="1"/>
  <c r="A101" i="75" s="1"/>
  <c r="A102" i="75" s="1"/>
  <c r="A103" i="75" s="1"/>
  <c r="A104" i="75" s="1"/>
  <c r="A105" i="75" s="1"/>
  <c r="A106" i="75" s="1"/>
  <c r="J70" i="75"/>
  <c r="D70" i="75"/>
  <c r="J69" i="75"/>
  <c r="D69" i="75"/>
  <c r="J68" i="75"/>
  <c r="D68" i="75"/>
  <c r="J67" i="75"/>
  <c r="D67" i="75"/>
  <c r="J66" i="75"/>
  <c r="F66" i="75"/>
  <c r="D66" i="75"/>
  <c r="N65" i="75"/>
  <c r="J65" i="75"/>
  <c r="F65" i="75"/>
  <c r="D65" i="75"/>
  <c r="F64" i="75"/>
  <c r="D64" i="75"/>
  <c r="K63" i="75"/>
  <c r="J63" i="75"/>
  <c r="I63" i="75"/>
  <c r="F65" i="71"/>
  <c r="F66" i="71"/>
  <c r="F64" i="71"/>
  <c r="K63" i="71"/>
  <c r="M5" i="72"/>
  <c r="B6" i="72"/>
  <c r="D29" i="70"/>
  <c r="D28" i="70"/>
  <c r="D27" i="70"/>
  <c r="J43" i="69"/>
  <c r="K31" i="69"/>
  <c r="K46" i="68"/>
  <c r="J39" i="69"/>
  <c r="J40" i="69"/>
  <c r="J41" i="69"/>
  <c r="J42" i="69"/>
  <c r="F34" i="69"/>
  <c r="J31" i="69"/>
  <c r="K26" i="70"/>
  <c r="N33" i="69"/>
  <c r="I26" i="70"/>
  <c r="J26" i="70"/>
  <c r="F27" i="70"/>
  <c r="F28" i="70"/>
  <c r="J28" i="70"/>
  <c r="N28" i="70"/>
  <c r="J29" i="70"/>
  <c r="D30" i="70"/>
  <c r="J30" i="70"/>
  <c r="D31" i="70"/>
  <c r="J31" i="70"/>
  <c r="D32" i="70"/>
  <c r="J32" i="70"/>
  <c r="D33" i="70"/>
  <c r="J33" i="70"/>
  <c r="D34" i="70"/>
  <c r="A39" i="70"/>
  <c r="A40" i="70" s="1"/>
  <c r="A41" i="70" s="1"/>
  <c r="A42" i="70" s="1"/>
  <c r="A43" i="70" s="1"/>
  <c r="A44" i="70" s="1"/>
  <c r="A45" i="70" s="1"/>
  <c r="A46" i="70" s="1"/>
  <c r="A47" i="70" s="1"/>
  <c r="A48" i="70" s="1"/>
  <c r="A49" i="70" s="1"/>
  <c r="A50" i="70" s="1"/>
  <c r="A51" i="70" s="1"/>
  <c r="A52" i="70" s="1"/>
  <c r="A53" i="70" s="1"/>
  <c r="A54" i="70" s="1"/>
  <c r="A55" i="70" s="1"/>
  <c r="A56" i="70" s="1"/>
  <c r="A57" i="70" s="1"/>
  <c r="A58" i="70" s="1"/>
  <c r="A59" i="70" s="1"/>
  <c r="A60" i="70" s="1"/>
  <c r="A61" i="70" s="1"/>
  <c r="A62" i="70" s="1"/>
  <c r="A63" i="70" s="1"/>
  <c r="A64" i="70" s="1"/>
  <c r="A65" i="70" s="1"/>
  <c r="A66" i="70" s="1"/>
  <c r="A67" i="70" s="1"/>
  <c r="A68" i="70" s="1"/>
  <c r="I46" i="68"/>
  <c r="J57" i="68"/>
  <c r="J56" i="68"/>
  <c r="J55" i="68"/>
  <c r="J54" i="68"/>
  <c r="D48" i="68"/>
  <c r="D47" i="68"/>
  <c r="J46" i="68"/>
  <c r="K21" i="67"/>
  <c r="J29" i="67"/>
  <c r="J30" i="67"/>
  <c r="J31" i="67"/>
  <c r="J32" i="67"/>
  <c r="F23" i="67"/>
  <c r="F22" i="67"/>
  <c r="F47" i="66"/>
  <c r="K45" i="66"/>
  <c r="J57" i="66"/>
  <c r="J56" i="66"/>
  <c r="J55" i="66"/>
  <c r="J54" i="66"/>
  <c r="J53" i="66"/>
  <c r="K42" i="65"/>
  <c r="J45" i="66"/>
  <c r="A181" i="65"/>
  <c r="L168" i="72" s="1"/>
  <c r="D51" i="66"/>
  <c r="D52" i="66"/>
  <c r="I45" i="66"/>
  <c r="J44" i="64"/>
  <c r="J42" i="64"/>
  <c r="I42" i="65"/>
  <c r="J49" i="65"/>
  <c r="J48" i="65"/>
  <c r="J47" i="65"/>
  <c r="J46" i="65"/>
  <c r="J45" i="65"/>
  <c r="J44" i="65"/>
  <c r="L20" i="72"/>
  <c r="M20" i="72"/>
  <c r="L21" i="72"/>
  <c r="M21" i="72"/>
  <c r="L22" i="72"/>
  <c r="M22" i="72"/>
  <c r="L23" i="72"/>
  <c r="M23" i="72"/>
  <c r="L24" i="72"/>
  <c r="M24" i="72"/>
  <c r="L25" i="72"/>
  <c r="M25" i="72"/>
  <c r="M19" i="72"/>
  <c r="L19" i="72"/>
  <c r="M6" i="72"/>
  <c r="M7" i="72"/>
  <c r="M8" i="72"/>
  <c r="M9" i="72"/>
  <c r="M10" i="72"/>
  <c r="M11" i="72"/>
  <c r="M39" i="72" s="1"/>
  <c r="L6" i="72"/>
  <c r="L7" i="72"/>
  <c r="L8" i="72"/>
  <c r="L9" i="72"/>
  <c r="L10" i="72"/>
  <c r="L11" i="72"/>
  <c r="L5" i="72"/>
  <c r="N44" i="65"/>
  <c r="J42" i="65"/>
  <c r="D46" i="65"/>
  <c r="D43" i="65"/>
  <c r="F44" i="65"/>
  <c r="F43" i="65"/>
  <c r="D44" i="65"/>
  <c r="D45" i="65"/>
  <c r="D47" i="65"/>
  <c r="D48" i="65"/>
  <c r="D49" i="65"/>
  <c r="A54" i="64"/>
  <c r="A55" i="64" s="1"/>
  <c r="A57" i="64" s="1"/>
  <c r="A59" i="64" s="1"/>
  <c r="A63" i="64" s="1"/>
  <c r="A67" i="64" s="1"/>
  <c r="A68" i="64" s="1"/>
  <c r="A69" i="64" s="1"/>
  <c r="A73" i="64" s="1"/>
  <c r="A76" i="64" s="1"/>
  <c r="A81" i="64" s="1"/>
  <c r="A84" i="64" s="1"/>
  <c r="A90" i="64" s="1"/>
  <c r="A91" i="64" s="1"/>
  <c r="A92" i="64" s="1"/>
  <c r="A93" i="64" s="1"/>
  <c r="A102" i="64" s="1"/>
  <c r="A109" i="64" s="1"/>
  <c r="A115" i="64" s="1"/>
  <c r="A121" i="64" s="1"/>
  <c r="A122" i="64" s="1"/>
  <c r="A123" i="64" s="1"/>
  <c r="A127" i="64" s="1"/>
  <c r="A131" i="64" s="1"/>
  <c r="A134" i="64" s="1"/>
  <c r="A137" i="64" s="1"/>
  <c r="A139" i="64" s="1"/>
  <c r="A140" i="64" s="1"/>
  <c r="A141" i="64" s="1"/>
  <c r="A144" i="64" s="1"/>
  <c r="K25" i="72"/>
  <c r="K24" i="72"/>
  <c r="K23" i="72"/>
  <c r="K22" i="72"/>
  <c r="K21" i="72"/>
  <c r="K20" i="72"/>
  <c r="K19" i="72"/>
  <c r="K11" i="72"/>
  <c r="K10" i="72"/>
  <c r="K9" i="72"/>
  <c r="K8" i="72"/>
  <c r="K7" i="72"/>
  <c r="K6" i="72"/>
  <c r="K5" i="72"/>
  <c r="J25" i="72"/>
  <c r="J20" i="72"/>
  <c r="J8" i="72"/>
  <c r="J19" i="72"/>
  <c r="J24" i="72"/>
  <c r="J23" i="72"/>
  <c r="J22" i="72"/>
  <c r="J21" i="72"/>
  <c r="J11" i="72"/>
  <c r="J10" i="72"/>
  <c r="J9" i="72"/>
  <c r="J7" i="72"/>
  <c r="J6" i="72"/>
  <c r="X5" i="72"/>
  <c r="H11" i="72"/>
  <c r="H10" i="72"/>
  <c r="H9" i="72"/>
  <c r="H8" i="72"/>
  <c r="H7" i="72"/>
  <c r="H6" i="72"/>
  <c r="H5" i="72"/>
  <c r="J5" i="72"/>
  <c r="H19" i="72"/>
  <c r="N44" i="64"/>
  <c r="F44" i="64"/>
  <c r="D49" i="64"/>
  <c r="D48" i="64"/>
  <c r="D47" i="64"/>
  <c r="D46" i="64"/>
  <c r="D45" i="64"/>
  <c r="D44" i="64"/>
  <c r="D43" i="64"/>
  <c r="F43" i="64"/>
  <c r="J49" i="64"/>
  <c r="J48" i="64"/>
  <c r="J47" i="64"/>
  <c r="J46" i="64"/>
  <c r="J45" i="64"/>
  <c r="I42" i="64"/>
  <c r="A144" i="63"/>
  <c r="H165" i="72" s="1"/>
  <c r="J36" i="63"/>
  <c r="A98" i="63"/>
  <c r="A97" i="63"/>
  <c r="J38" i="63"/>
  <c r="J39" i="63"/>
  <c r="N38" i="63"/>
  <c r="D43" i="63"/>
  <c r="D42" i="63"/>
  <c r="D56" i="57"/>
  <c r="D55" i="57"/>
  <c r="N51" i="57"/>
  <c r="K42" i="64"/>
  <c r="K36" i="63"/>
  <c r="J57" i="57"/>
  <c r="J51" i="57"/>
  <c r="J56" i="57"/>
  <c r="A139" i="57"/>
  <c r="F127" i="72" s="1"/>
  <c r="A134" i="57"/>
  <c r="F122" i="72" s="1"/>
  <c r="A133" i="57"/>
  <c r="F121" i="72" s="1"/>
  <c r="A132" i="57"/>
  <c r="F120" i="72" s="1"/>
  <c r="A109" i="57"/>
  <c r="A113" i="57" s="1"/>
  <c r="A114" i="57" s="1"/>
  <c r="A115" i="57" s="1"/>
  <c r="A116" i="57" s="1"/>
  <c r="A119" i="57" s="1"/>
  <c r="A122" i="57" s="1"/>
  <c r="A127" i="57" s="1"/>
  <c r="D51" i="57"/>
  <c r="D50" i="57"/>
  <c r="K49" i="57"/>
  <c r="I19" i="72"/>
  <c r="A89" i="57"/>
  <c r="A90" i="57"/>
  <c r="A88" i="57"/>
  <c r="A95" i="57" s="1"/>
  <c r="A137" i="71"/>
  <c r="X176" i="72" s="1"/>
  <c r="A136" i="71"/>
  <c r="X175" i="72" s="1"/>
  <c r="A138" i="71"/>
  <c r="X174" i="72" s="1"/>
  <c r="A135" i="71"/>
  <c r="X173" i="72" s="1"/>
  <c r="A134" i="71"/>
  <c r="X172" i="72" s="1"/>
  <c r="A133" i="71"/>
  <c r="X171" i="72" s="1"/>
  <c r="A132" i="71"/>
  <c r="X170" i="72" s="1"/>
  <c r="A131" i="71"/>
  <c r="X169" i="72" s="1"/>
  <c r="A130" i="71"/>
  <c r="X168" i="72" s="1"/>
  <c r="A129" i="71"/>
  <c r="X167" i="72" s="1"/>
  <c r="A128" i="71"/>
  <c r="X166" i="72" s="1"/>
  <c r="A127" i="71"/>
  <c r="X165" i="72" s="1"/>
  <c r="A126" i="71"/>
  <c r="X164" i="72" s="1"/>
  <c r="A118" i="71"/>
  <c r="X127" i="72" s="1"/>
  <c r="A119" i="71"/>
  <c r="X128" i="72" s="1"/>
  <c r="A117" i="71"/>
  <c r="X126" i="72" s="1"/>
  <c r="A116" i="71"/>
  <c r="X125" i="72" s="1"/>
  <c r="A115" i="71"/>
  <c r="X124" i="72" s="1"/>
  <c r="A114" i="71"/>
  <c r="X123" i="72" s="1"/>
  <c r="A113" i="71"/>
  <c r="X122" i="72" s="1"/>
  <c r="A112" i="71"/>
  <c r="X121" i="72" s="1"/>
  <c r="A111" i="71"/>
  <c r="X120" i="72" s="1"/>
  <c r="A110" i="71"/>
  <c r="X119" i="72" s="1"/>
  <c r="A109" i="71"/>
  <c r="X118" i="72" s="1"/>
  <c r="A99" i="70"/>
  <c r="V176" i="72" s="1"/>
  <c r="A98" i="70"/>
  <c r="V175" i="72" s="1"/>
  <c r="A100" i="70"/>
  <c r="V174" i="72" s="1"/>
  <c r="A97" i="70"/>
  <c r="V173" i="72" s="1"/>
  <c r="A96" i="70"/>
  <c r="V172" i="72" s="1"/>
  <c r="A95" i="70"/>
  <c r="V171" i="72" s="1"/>
  <c r="A94" i="70"/>
  <c r="V170" i="72" s="1"/>
  <c r="A93" i="70"/>
  <c r="V169" i="72" s="1"/>
  <c r="A92" i="70"/>
  <c r="V168" i="72" s="1"/>
  <c r="A91" i="70"/>
  <c r="V167" i="72" s="1"/>
  <c r="A90" i="70"/>
  <c r="V166" i="72" s="1"/>
  <c r="A89" i="70"/>
  <c r="V165" i="72" s="1"/>
  <c r="A88" i="70"/>
  <c r="V164" i="72" s="1"/>
  <c r="A80" i="70"/>
  <c r="V127" i="72" s="1"/>
  <c r="A81" i="70"/>
  <c r="V128" i="72" s="1"/>
  <c r="A79" i="70"/>
  <c r="V126" i="72" s="1"/>
  <c r="A78" i="70"/>
  <c r="V125" i="72" s="1"/>
  <c r="A77" i="70"/>
  <c r="V124" i="72" s="1"/>
  <c r="A76" i="70"/>
  <c r="V123" i="72" s="1"/>
  <c r="A75" i="70"/>
  <c r="V122" i="72" s="1"/>
  <c r="A74" i="70"/>
  <c r="V121" i="72" s="1"/>
  <c r="A73" i="70"/>
  <c r="V120" i="72" s="1"/>
  <c r="A72" i="70"/>
  <c r="V119" i="72" s="1"/>
  <c r="A71" i="70"/>
  <c r="V118" i="72" s="1"/>
  <c r="A139" i="69"/>
  <c r="T176" i="72" s="1"/>
  <c r="A138" i="69"/>
  <c r="T175" i="72" s="1"/>
  <c r="A140" i="69"/>
  <c r="T174" i="72" s="1"/>
  <c r="A137" i="69"/>
  <c r="T173" i="72" s="1"/>
  <c r="A136" i="69"/>
  <c r="T172" i="72" s="1"/>
  <c r="A135" i="69"/>
  <c r="T171" i="72" s="1"/>
  <c r="A134" i="69"/>
  <c r="T170" i="72" s="1"/>
  <c r="A133" i="69"/>
  <c r="T169" i="72" s="1"/>
  <c r="A132" i="69"/>
  <c r="T168" i="72" s="1"/>
  <c r="A131" i="69"/>
  <c r="T167" i="72" s="1"/>
  <c r="A130" i="69"/>
  <c r="T166" i="72" s="1"/>
  <c r="A129" i="69"/>
  <c r="T165" i="72" s="1"/>
  <c r="A128" i="69"/>
  <c r="T164" i="72" s="1"/>
  <c r="A120" i="69"/>
  <c r="T127" i="72" s="1"/>
  <c r="A121" i="69"/>
  <c r="T128" i="72" s="1"/>
  <c r="A119" i="69"/>
  <c r="T126" i="72" s="1"/>
  <c r="A118" i="69"/>
  <c r="T125" i="72" s="1"/>
  <c r="A117" i="69"/>
  <c r="T124" i="72" s="1"/>
  <c r="A116" i="69"/>
  <c r="T123" i="72" s="1"/>
  <c r="A115" i="69"/>
  <c r="T122" i="72" s="1"/>
  <c r="A114" i="69"/>
  <c r="T121" i="72" s="1"/>
  <c r="A113" i="69"/>
  <c r="T120" i="72" s="1"/>
  <c r="A112" i="69"/>
  <c r="T119" i="72" s="1"/>
  <c r="A111" i="69"/>
  <c r="T118" i="72" s="1"/>
  <c r="A122" i="68"/>
  <c r="R176" i="72" s="1"/>
  <c r="A121" i="68"/>
  <c r="R175" i="72" s="1"/>
  <c r="A123" i="68"/>
  <c r="R174" i="72" s="1"/>
  <c r="A120" i="68"/>
  <c r="R173" i="72" s="1"/>
  <c r="A119" i="68"/>
  <c r="R172" i="72" s="1"/>
  <c r="A118" i="68"/>
  <c r="R171" i="72" s="1"/>
  <c r="A117" i="68"/>
  <c r="R170" i="72" s="1"/>
  <c r="A116" i="68"/>
  <c r="R169" i="72" s="1"/>
  <c r="A115" i="68"/>
  <c r="R168" i="72" s="1"/>
  <c r="A114" i="68"/>
  <c r="R167" i="72" s="1"/>
  <c r="A113" i="68"/>
  <c r="R166" i="72" s="1"/>
  <c r="A112" i="68"/>
  <c r="R165" i="72" s="1"/>
  <c r="A111" i="68"/>
  <c r="R164" i="72" s="1"/>
  <c r="A103" i="68"/>
  <c r="R127" i="72" s="1"/>
  <c r="A104" i="68"/>
  <c r="R128" i="72" s="1"/>
  <c r="A102" i="68"/>
  <c r="R126" i="72" s="1"/>
  <c r="A101" i="68"/>
  <c r="R125" i="72" s="1"/>
  <c r="A100" i="68"/>
  <c r="R124" i="72" s="1"/>
  <c r="A99" i="68"/>
  <c r="R123" i="72" s="1"/>
  <c r="A98" i="68"/>
  <c r="R122" i="72" s="1"/>
  <c r="A97" i="68"/>
  <c r="R121" i="72" s="1"/>
  <c r="A96" i="68"/>
  <c r="R120" i="72" s="1"/>
  <c r="A95" i="68"/>
  <c r="R119" i="72" s="1"/>
  <c r="A94" i="68"/>
  <c r="R118" i="72" s="1"/>
  <c r="A97" i="67"/>
  <c r="P176" i="72" s="1"/>
  <c r="A96" i="67"/>
  <c r="P175" i="72" s="1"/>
  <c r="A98" i="67"/>
  <c r="P174" i="72" s="1"/>
  <c r="A95" i="67"/>
  <c r="P173" i="72" s="1"/>
  <c r="A94" i="67"/>
  <c r="P172" i="72" s="1"/>
  <c r="A93" i="67"/>
  <c r="P171" i="72" s="1"/>
  <c r="A92" i="67"/>
  <c r="P170" i="72" s="1"/>
  <c r="A91" i="67"/>
  <c r="P169" i="72" s="1"/>
  <c r="A90" i="67"/>
  <c r="P168" i="72" s="1"/>
  <c r="A89" i="67"/>
  <c r="P167" i="72" s="1"/>
  <c r="A88" i="67"/>
  <c r="P166" i="72" s="1"/>
  <c r="A87" i="67"/>
  <c r="P165" i="72" s="1"/>
  <c r="A86" i="67"/>
  <c r="P164" i="72" s="1"/>
  <c r="A78" i="67"/>
  <c r="P127" i="72" s="1"/>
  <c r="A79" i="67"/>
  <c r="P128" i="72" s="1"/>
  <c r="A77" i="67"/>
  <c r="P126" i="72" s="1"/>
  <c r="A76" i="67"/>
  <c r="P125" i="72" s="1"/>
  <c r="A75" i="67"/>
  <c r="P124" i="72" s="1"/>
  <c r="A74" i="67"/>
  <c r="P123" i="72" s="1"/>
  <c r="A73" i="67"/>
  <c r="P122" i="72" s="1"/>
  <c r="A72" i="67"/>
  <c r="P121" i="72" s="1"/>
  <c r="A71" i="67"/>
  <c r="P120" i="72" s="1"/>
  <c r="A70" i="67"/>
  <c r="P119" i="72" s="1"/>
  <c r="A69" i="67"/>
  <c r="P118" i="72" s="1"/>
  <c r="A200" i="66"/>
  <c r="N176" i="72" s="1"/>
  <c r="A199" i="66"/>
  <c r="N175" i="72" s="1"/>
  <c r="A201" i="66"/>
  <c r="N174" i="72" s="1"/>
  <c r="A198" i="66"/>
  <c r="N173" i="72" s="1"/>
  <c r="A197" i="66"/>
  <c r="N172" i="72" s="1"/>
  <c r="A196" i="66"/>
  <c r="N171" i="72" s="1"/>
  <c r="A195" i="66"/>
  <c r="N170" i="72" s="1"/>
  <c r="A194" i="66"/>
  <c r="N169" i="72" s="1"/>
  <c r="A193" i="66"/>
  <c r="N168" i="72" s="1"/>
  <c r="A192" i="66"/>
  <c r="N167" i="72" s="1"/>
  <c r="A191" i="66"/>
  <c r="N166" i="72" s="1"/>
  <c r="A190" i="66"/>
  <c r="N165" i="72" s="1"/>
  <c r="A189" i="66"/>
  <c r="N164" i="72" s="1"/>
  <c r="A181" i="66"/>
  <c r="N127" i="72" s="1"/>
  <c r="A182" i="66"/>
  <c r="N128" i="72" s="1"/>
  <c r="A180" i="66"/>
  <c r="N126" i="72" s="1"/>
  <c r="A179" i="66"/>
  <c r="N125" i="72" s="1"/>
  <c r="A178" i="66"/>
  <c r="N124" i="72" s="1"/>
  <c r="A177" i="66"/>
  <c r="N123" i="72" s="1"/>
  <c r="A176" i="66"/>
  <c r="N122" i="72" s="1"/>
  <c r="A175" i="66"/>
  <c r="N121" i="72" s="1"/>
  <c r="A174" i="66"/>
  <c r="N120" i="72" s="1"/>
  <c r="A173" i="66"/>
  <c r="N119" i="72" s="1"/>
  <c r="A172" i="66"/>
  <c r="N118" i="72" s="1"/>
  <c r="L176" i="72"/>
  <c r="L175" i="72"/>
  <c r="A189" i="65"/>
  <c r="L174" i="72" s="1"/>
  <c r="A186" i="65"/>
  <c r="L173" i="72" s="1"/>
  <c r="A185" i="65"/>
  <c r="L172" i="72" s="1"/>
  <c r="L171" i="72"/>
  <c r="A183" i="65"/>
  <c r="L170" i="72" s="1"/>
  <c r="A182" i="65"/>
  <c r="L169" i="72" s="1"/>
  <c r="L167" i="72"/>
  <c r="L166" i="72"/>
  <c r="A178" i="65"/>
  <c r="L165" i="72" s="1"/>
  <c r="A177" i="65"/>
  <c r="L164" i="72" s="1"/>
  <c r="L127" i="72"/>
  <c r="L128" i="72"/>
  <c r="A166" i="65"/>
  <c r="L124" i="72" s="1"/>
  <c r="A165" i="65"/>
  <c r="L123" i="72" s="1"/>
  <c r="A164" i="65"/>
  <c r="L122" i="72" s="1"/>
  <c r="A163" i="65"/>
  <c r="L121" i="72" s="1"/>
  <c r="A162" i="65"/>
  <c r="L120" i="72" s="1"/>
  <c r="A161" i="65"/>
  <c r="L119" i="72" s="1"/>
  <c r="A175" i="64"/>
  <c r="J176" i="72" s="1"/>
  <c r="A174" i="64"/>
  <c r="J175" i="72" s="1"/>
  <c r="A176" i="64"/>
  <c r="J174" i="72" s="1"/>
  <c r="A173" i="64"/>
  <c r="J173" i="72" s="1"/>
  <c r="A172" i="64"/>
  <c r="J172" i="72" s="1"/>
  <c r="A171" i="64"/>
  <c r="J171" i="72" s="1"/>
  <c r="A170" i="64"/>
  <c r="J170" i="72" s="1"/>
  <c r="A169" i="64"/>
  <c r="J169" i="72" s="1"/>
  <c r="A168" i="64"/>
  <c r="J168" i="72" s="1"/>
  <c r="J167" i="72"/>
  <c r="J166" i="72"/>
  <c r="A165" i="64"/>
  <c r="J165" i="72" s="1"/>
  <c r="A164" i="64"/>
  <c r="J164" i="72" s="1"/>
  <c r="A156" i="64"/>
  <c r="J127" i="72" s="1"/>
  <c r="A153" i="64"/>
  <c r="J124" i="72" s="1"/>
  <c r="A152" i="64"/>
  <c r="J123" i="72" s="1"/>
  <c r="A151" i="64"/>
  <c r="J122" i="72" s="1"/>
  <c r="A150" i="64"/>
  <c r="J121" i="72" s="1"/>
  <c r="A149" i="64"/>
  <c r="J120" i="72" s="1"/>
  <c r="A148" i="64"/>
  <c r="J119" i="72" s="1"/>
  <c r="A154" i="63"/>
  <c r="H176" i="72" s="1"/>
  <c r="A153" i="63"/>
  <c r="H175" i="72" s="1"/>
  <c r="A155" i="63"/>
  <c r="H174" i="72" s="1"/>
  <c r="A152" i="63"/>
  <c r="H173" i="72" s="1"/>
  <c r="A151" i="63"/>
  <c r="H172" i="72" s="1"/>
  <c r="A150" i="63"/>
  <c r="H171" i="72" s="1"/>
  <c r="A149" i="63"/>
  <c r="H170" i="72" s="1"/>
  <c r="A148" i="63"/>
  <c r="H169" i="72" s="1"/>
  <c r="A147" i="63"/>
  <c r="H168" i="72" s="1"/>
  <c r="A146" i="63"/>
  <c r="H167" i="72" s="1"/>
  <c r="A145" i="63"/>
  <c r="H166" i="72" s="1"/>
  <c r="A143" i="63"/>
  <c r="H164" i="72" s="1"/>
  <c r="H127" i="72"/>
  <c r="H128" i="72"/>
  <c r="H126" i="72"/>
  <c r="H125" i="72"/>
  <c r="A131" i="63"/>
  <c r="H123" i="72" s="1"/>
  <c r="A130" i="63"/>
  <c r="H122" i="72" s="1"/>
  <c r="A129" i="63"/>
  <c r="H121" i="72" s="1"/>
  <c r="A128" i="63"/>
  <c r="H120" i="72" s="1"/>
  <c r="A127" i="63"/>
  <c r="H119" i="72" s="1"/>
  <c r="A126" i="63"/>
  <c r="H118" i="72" s="1"/>
  <c r="F176" i="72"/>
  <c r="F175" i="72"/>
  <c r="F174" i="72"/>
  <c r="F173" i="72"/>
  <c r="A155" i="57"/>
  <c r="F172" i="72" s="1"/>
  <c r="F171" i="72"/>
  <c r="A153" i="57"/>
  <c r="F170" i="72" s="1"/>
  <c r="F169" i="72"/>
  <c r="A151" i="57"/>
  <c r="F168" i="72" s="1"/>
  <c r="F167" i="72"/>
  <c r="A149" i="57"/>
  <c r="F166" i="72" s="1"/>
  <c r="A148" i="57"/>
  <c r="F165" i="72" s="1"/>
  <c r="A131" i="57"/>
  <c r="F119" i="72" s="1"/>
  <c r="A147" i="57"/>
  <c r="F164" i="72" s="1"/>
  <c r="L126" i="72"/>
  <c r="L125" i="72"/>
  <c r="L118" i="72"/>
  <c r="H124" i="72"/>
  <c r="F77" i="72"/>
  <c r="X80" i="72"/>
  <c r="X79" i="72"/>
  <c r="X78" i="72"/>
  <c r="X77" i="72"/>
  <c r="V80" i="72"/>
  <c r="V79" i="72"/>
  <c r="V78" i="72"/>
  <c r="V77" i="72"/>
  <c r="T80" i="72"/>
  <c r="T79" i="72"/>
  <c r="T78" i="72"/>
  <c r="T77" i="72"/>
  <c r="R80" i="72"/>
  <c r="R79" i="72"/>
  <c r="R78" i="72"/>
  <c r="R77" i="72"/>
  <c r="P80" i="72"/>
  <c r="P79" i="72"/>
  <c r="P78" i="72"/>
  <c r="P77" i="72"/>
  <c r="N80" i="72"/>
  <c r="N79" i="72"/>
  <c r="N78" i="72"/>
  <c r="N77" i="72"/>
  <c r="L80" i="72"/>
  <c r="L79" i="72"/>
  <c r="L78" i="72"/>
  <c r="L77" i="72"/>
  <c r="J80" i="72"/>
  <c r="J79" i="72"/>
  <c r="J78" i="72"/>
  <c r="J77" i="72"/>
  <c r="H80" i="72"/>
  <c r="H79" i="72"/>
  <c r="H78" i="72"/>
  <c r="H77" i="72"/>
  <c r="F80" i="72"/>
  <c r="F79" i="72"/>
  <c r="F78" i="72"/>
  <c r="D80" i="72"/>
  <c r="D79" i="72"/>
  <c r="D78" i="72"/>
  <c r="D77" i="72"/>
  <c r="B80" i="72"/>
  <c r="B79" i="72"/>
  <c r="B78" i="72"/>
  <c r="B77" i="72"/>
  <c r="F48" i="54"/>
  <c r="D82" i="72" s="1"/>
  <c r="F48" i="49"/>
  <c r="B82" i="72" s="1"/>
  <c r="Y25" i="72"/>
  <c r="X25" i="72"/>
  <c r="W25" i="72"/>
  <c r="V25" i="72"/>
  <c r="U25" i="72"/>
  <c r="T25" i="72"/>
  <c r="S25" i="72"/>
  <c r="R25" i="72"/>
  <c r="Q25" i="72"/>
  <c r="P25" i="72"/>
  <c r="O25" i="72"/>
  <c r="N25" i="72"/>
  <c r="I25" i="72"/>
  <c r="H25" i="72"/>
  <c r="G25" i="72"/>
  <c r="F25" i="72"/>
  <c r="Y24" i="72"/>
  <c r="X24" i="72"/>
  <c r="W24" i="72"/>
  <c r="V24" i="72"/>
  <c r="U24" i="72"/>
  <c r="T24" i="72"/>
  <c r="S24" i="72"/>
  <c r="R24" i="72"/>
  <c r="Q24" i="72"/>
  <c r="P24" i="72"/>
  <c r="O24" i="72"/>
  <c r="N24" i="72"/>
  <c r="I24" i="72"/>
  <c r="H24" i="72"/>
  <c r="G24" i="72"/>
  <c r="F24" i="72"/>
  <c r="Y23" i="72"/>
  <c r="X23" i="72"/>
  <c r="W23" i="72"/>
  <c r="V23" i="72"/>
  <c r="U23" i="72"/>
  <c r="T23" i="72"/>
  <c r="S23" i="72"/>
  <c r="R23" i="72"/>
  <c r="Q23" i="72"/>
  <c r="P23" i="72"/>
  <c r="O23" i="72"/>
  <c r="N23" i="72"/>
  <c r="I23" i="72"/>
  <c r="H23" i="72"/>
  <c r="G23" i="72"/>
  <c r="F23" i="72"/>
  <c r="Y22" i="72"/>
  <c r="X22" i="72"/>
  <c r="W22" i="72"/>
  <c r="V22" i="72"/>
  <c r="U22" i="72"/>
  <c r="T22" i="72"/>
  <c r="S22" i="72"/>
  <c r="R22" i="72"/>
  <c r="Q22" i="72"/>
  <c r="P22" i="72"/>
  <c r="O22" i="72"/>
  <c r="N22" i="72"/>
  <c r="I22" i="72"/>
  <c r="H22" i="72"/>
  <c r="G22" i="72"/>
  <c r="F22" i="72"/>
  <c r="Y21" i="72"/>
  <c r="X21" i="72"/>
  <c r="W21" i="72"/>
  <c r="V21" i="72"/>
  <c r="U21" i="72"/>
  <c r="T21" i="72"/>
  <c r="S21" i="72"/>
  <c r="R21" i="72"/>
  <c r="Q21" i="72"/>
  <c r="P21" i="72"/>
  <c r="O21" i="72"/>
  <c r="N21" i="72"/>
  <c r="I21" i="72"/>
  <c r="H21" i="72"/>
  <c r="G21" i="72"/>
  <c r="F21" i="72"/>
  <c r="Y20" i="72"/>
  <c r="X20" i="72"/>
  <c r="W20" i="72"/>
  <c r="V20" i="72"/>
  <c r="U20" i="72"/>
  <c r="T20" i="72"/>
  <c r="S20" i="72"/>
  <c r="R20" i="72"/>
  <c r="Q20" i="72"/>
  <c r="P20" i="72"/>
  <c r="O20" i="72"/>
  <c r="N20" i="72"/>
  <c r="I20" i="72"/>
  <c r="H20" i="72"/>
  <c r="G20" i="72"/>
  <c r="F20" i="72"/>
  <c r="Y19" i="72"/>
  <c r="Y27" i="72" s="1"/>
  <c r="X19" i="72"/>
  <c r="W19" i="72"/>
  <c r="V19" i="72"/>
  <c r="U19" i="72"/>
  <c r="U27" i="72" s="1"/>
  <c r="T19" i="72"/>
  <c r="T27" i="72" s="1"/>
  <c r="S19" i="72"/>
  <c r="R19" i="72"/>
  <c r="Q19" i="72"/>
  <c r="P19" i="72"/>
  <c r="P27" i="72" s="1"/>
  <c r="O19" i="72"/>
  <c r="N19" i="72"/>
  <c r="G19" i="72"/>
  <c r="F19" i="72"/>
  <c r="E25" i="72"/>
  <c r="D25" i="72"/>
  <c r="E24" i="72"/>
  <c r="D24" i="72"/>
  <c r="E23" i="72"/>
  <c r="D23" i="72"/>
  <c r="E22" i="72"/>
  <c r="D22" i="72"/>
  <c r="E21" i="72"/>
  <c r="D21" i="72"/>
  <c r="E20" i="72"/>
  <c r="D20" i="72"/>
  <c r="E19" i="72"/>
  <c r="D19" i="72"/>
  <c r="C25" i="72"/>
  <c r="B25" i="72"/>
  <c r="C24" i="72"/>
  <c r="B24" i="72"/>
  <c r="C23" i="72"/>
  <c r="B23" i="72"/>
  <c r="C22" i="72"/>
  <c r="B22" i="72"/>
  <c r="C21" i="72"/>
  <c r="B21" i="72"/>
  <c r="C20" i="72"/>
  <c r="B20" i="72"/>
  <c r="C19" i="72"/>
  <c r="B19" i="72"/>
  <c r="Y11" i="72"/>
  <c r="X11" i="72"/>
  <c r="Y10" i="72"/>
  <c r="X10" i="72"/>
  <c r="Y9" i="72"/>
  <c r="X9" i="72"/>
  <c r="Y8" i="72"/>
  <c r="X8" i="72"/>
  <c r="X36" i="72" s="1"/>
  <c r="Y7" i="72"/>
  <c r="X7" i="72"/>
  <c r="Y6" i="72"/>
  <c r="X6" i="72"/>
  <c r="Y5" i="72"/>
  <c r="W11" i="72"/>
  <c r="V11" i="72"/>
  <c r="W10" i="72"/>
  <c r="V10" i="72"/>
  <c r="W9" i="72"/>
  <c r="V9" i="72"/>
  <c r="W8" i="72"/>
  <c r="V8" i="72"/>
  <c r="W7" i="72"/>
  <c r="V7" i="72"/>
  <c r="W6" i="72"/>
  <c r="V6" i="72"/>
  <c r="W5" i="72"/>
  <c r="V5" i="72"/>
  <c r="U11" i="72"/>
  <c r="T11" i="72"/>
  <c r="U10" i="72"/>
  <c r="T10" i="72"/>
  <c r="U9" i="72"/>
  <c r="T9" i="72"/>
  <c r="U8" i="72"/>
  <c r="T8" i="72"/>
  <c r="U7" i="72"/>
  <c r="T7" i="72"/>
  <c r="U6" i="72"/>
  <c r="T6" i="72"/>
  <c r="T5" i="72"/>
  <c r="U5" i="72"/>
  <c r="S11" i="72"/>
  <c r="R11" i="72"/>
  <c r="S10" i="72"/>
  <c r="R10" i="72"/>
  <c r="S9" i="72"/>
  <c r="R9" i="72"/>
  <c r="S8" i="72"/>
  <c r="R8" i="72"/>
  <c r="S7" i="72"/>
  <c r="R7" i="72"/>
  <c r="S6" i="72"/>
  <c r="R6" i="72"/>
  <c r="R5" i="72"/>
  <c r="Q11" i="72"/>
  <c r="P11" i="72"/>
  <c r="P39" i="72" s="1"/>
  <c r="Q10" i="72"/>
  <c r="P10" i="72"/>
  <c r="Q9" i="72"/>
  <c r="P9" i="72"/>
  <c r="Q8" i="72"/>
  <c r="P8" i="72"/>
  <c r="Q7" i="72"/>
  <c r="P7" i="72"/>
  <c r="P35" i="72" s="1"/>
  <c r="Q6" i="72"/>
  <c r="P6" i="72"/>
  <c r="Q5" i="72"/>
  <c r="S5" i="72"/>
  <c r="P5" i="72"/>
  <c r="N11" i="72"/>
  <c r="N10" i="72"/>
  <c r="N9" i="72"/>
  <c r="N8" i="72"/>
  <c r="N7" i="72"/>
  <c r="N35" i="72" s="1"/>
  <c r="N6" i="72"/>
  <c r="N5" i="72"/>
  <c r="O11" i="72"/>
  <c r="O10" i="72"/>
  <c r="O9" i="72"/>
  <c r="O8" i="72"/>
  <c r="O7" i="72"/>
  <c r="O6" i="72"/>
  <c r="O5" i="72"/>
  <c r="I11" i="72"/>
  <c r="I10" i="72"/>
  <c r="I9" i="72"/>
  <c r="I8" i="72"/>
  <c r="I7" i="72"/>
  <c r="I6" i="72"/>
  <c r="I5" i="72"/>
  <c r="G11" i="72"/>
  <c r="F11" i="72"/>
  <c r="G10" i="72"/>
  <c r="F10" i="72"/>
  <c r="F38" i="72" s="1"/>
  <c r="G9" i="72"/>
  <c r="F9" i="72"/>
  <c r="G8" i="72"/>
  <c r="F8" i="72"/>
  <c r="G7" i="72"/>
  <c r="F7" i="72"/>
  <c r="G6" i="72"/>
  <c r="G34" i="72" s="1"/>
  <c r="F6" i="72"/>
  <c r="F34" i="72" s="1"/>
  <c r="G5" i="72"/>
  <c r="F5" i="72"/>
  <c r="E11" i="72"/>
  <c r="D11" i="72"/>
  <c r="E10" i="72"/>
  <c r="D10" i="72"/>
  <c r="E9" i="72"/>
  <c r="D9" i="72"/>
  <c r="E8" i="72"/>
  <c r="D8" i="72"/>
  <c r="E7" i="72"/>
  <c r="D7" i="72"/>
  <c r="E6" i="72"/>
  <c r="D6" i="72"/>
  <c r="E5" i="72"/>
  <c r="D5" i="72"/>
  <c r="C10" i="72"/>
  <c r="C9" i="72"/>
  <c r="C8" i="72"/>
  <c r="C36" i="72" s="1"/>
  <c r="C7" i="72"/>
  <c r="C6" i="72"/>
  <c r="C5" i="72"/>
  <c r="B11" i="72"/>
  <c r="B10" i="72"/>
  <c r="B38" i="72" s="1"/>
  <c r="B9" i="72"/>
  <c r="B8" i="72"/>
  <c r="B7" i="72"/>
  <c r="B5" i="72"/>
  <c r="D70" i="71"/>
  <c r="D69" i="71"/>
  <c r="D68" i="71"/>
  <c r="D67" i="71"/>
  <c r="D66" i="71"/>
  <c r="D65" i="71"/>
  <c r="D64" i="71"/>
  <c r="D38" i="69"/>
  <c r="D37" i="69"/>
  <c r="D36" i="69"/>
  <c r="D35" i="69"/>
  <c r="D34" i="69"/>
  <c r="F33" i="69"/>
  <c r="D33" i="69"/>
  <c r="F32" i="69"/>
  <c r="D32" i="69"/>
  <c r="D53" i="68"/>
  <c r="D52" i="68"/>
  <c r="D51" i="68"/>
  <c r="D50" i="68"/>
  <c r="D49" i="68"/>
  <c r="F48" i="68"/>
  <c r="F47" i="68"/>
  <c r="D29" i="67"/>
  <c r="D28" i="67"/>
  <c r="D27" i="67"/>
  <c r="D26" i="67"/>
  <c r="D25" i="67"/>
  <c r="D24" i="67"/>
  <c r="D23" i="67"/>
  <c r="D22" i="67"/>
  <c r="D50" i="66"/>
  <c r="D49" i="66"/>
  <c r="D48" i="66"/>
  <c r="D47" i="66"/>
  <c r="F46" i="66"/>
  <c r="D46" i="66"/>
  <c r="D41" i="63"/>
  <c r="D40" i="63"/>
  <c r="D39" i="63"/>
  <c r="F38" i="63"/>
  <c r="D38" i="63"/>
  <c r="F37" i="63"/>
  <c r="D37" i="63"/>
  <c r="D53" i="57"/>
  <c r="D54" i="57"/>
  <c r="G147" i="71"/>
  <c r="X82" i="72" s="1"/>
  <c r="G109" i="70"/>
  <c r="V82" i="72" s="1"/>
  <c r="G149" i="69"/>
  <c r="T82" i="72" s="1"/>
  <c r="G132" i="68"/>
  <c r="R82" i="72" s="1"/>
  <c r="G107" i="67"/>
  <c r="P82" i="72" s="1"/>
  <c r="G210" i="66"/>
  <c r="N82" i="72" s="1"/>
  <c r="L82" i="72"/>
  <c r="J82" i="72"/>
  <c r="G164" i="63"/>
  <c r="H82" i="72" s="1"/>
  <c r="G168" i="57"/>
  <c r="F82" i="72" s="1"/>
  <c r="A77" i="71"/>
  <c r="A78" i="71" s="1"/>
  <c r="A79" i="71" s="1"/>
  <c r="A80" i="71" s="1"/>
  <c r="A81" i="71" s="1"/>
  <c r="A82" i="71" s="1"/>
  <c r="A83" i="71" s="1"/>
  <c r="A84" i="71" s="1"/>
  <c r="A85" i="71" s="1"/>
  <c r="A86" i="71" s="1"/>
  <c r="A87" i="71" s="1"/>
  <c r="A88" i="71" s="1"/>
  <c r="A89" i="71" s="1"/>
  <c r="A90" i="71" s="1"/>
  <c r="A91" i="71" s="1"/>
  <c r="A92" i="71" s="1"/>
  <c r="A93" i="71" s="1"/>
  <c r="A94" i="71" s="1"/>
  <c r="A95" i="71" s="1"/>
  <c r="A96" i="71" s="1"/>
  <c r="A97" i="71" s="1"/>
  <c r="A98" i="71" s="1"/>
  <c r="A99" i="71" s="1"/>
  <c r="A100" i="71" s="1"/>
  <c r="A101" i="71" s="1"/>
  <c r="A102" i="71" s="1"/>
  <c r="A103" i="71" s="1"/>
  <c r="A104" i="71" s="1"/>
  <c r="A105" i="71" s="1"/>
  <c r="A106" i="71" s="1"/>
  <c r="J70" i="71"/>
  <c r="J69" i="71"/>
  <c r="J68" i="71"/>
  <c r="J67" i="71"/>
  <c r="J66" i="71"/>
  <c r="N65" i="71"/>
  <c r="J65" i="71"/>
  <c r="J63" i="71"/>
  <c r="I63" i="71"/>
  <c r="A47" i="69"/>
  <c r="A48" i="69" s="1"/>
  <c r="A49" i="69" s="1"/>
  <c r="A50" i="69" s="1"/>
  <c r="A51" i="69" s="1"/>
  <c r="A58" i="69" s="1"/>
  <c r="A65" i="69" s="1"/>
  <c r="A66" i="69" s="1"/>
  <c r="A67" i="69" s="1"/>
  <c r="A68" i="69" s="1"/>
  <c r="A75" i="69" s="1"/>
  <c r="A76" i="69" s="1"/>
  <c r="A77" i="69" s="1"/>
  <c r="A78" i="69" s="1"/>
  <c r="A79" i="69" s="1"/>
  <c r="A80" i="69" s="1"/>
  <c r="A81" i="69" s="1"/>
  <c r="A82" i="69" s="1"/>
  <c r="A83" i="69" s="1"/>
  <c r="A84" i="69" s="1"/>
  <c r="A85" i="69" s="1"/>
  <c r="A86" i="69" s="1"/>
  <c r="A87" i="69" s="1"/>
  <c r="A88" i="69" s="1"/>
  <c r="A93" i="69" s="1"/>
  <c r="A98" i="69" s="1"/>
  <c r="A105" i="69" s="1"/>
  <c r="A106" i="69" s="1"/>
  <c r="A107" i="69" s="1"/>
  <c r="A108" i="69" s="1"/>
  <c r="J38" i="69"/>
  <c r="J37" i="69"/>
  <c r="J36" i="69"/>
  <c r="J35" i="69"/>
  <c r="J34" i="69"/>
  <c r="J33" i="69"/>
  <c r="I31" i="69"/>
  <c r="A62" i="68"/>
  <c r="A63" i="68" s="1"/>
  <c r="A64" i="68" s="1"/>
  <c r="A65" i="68" s="1"/>
  <c r="A66" i="68" s="1"/>
  <c r="A67" i="68" s="1"/>
  <c r="A68" i="68" s="1"/>
  <c r="A69" i="68" s="1"/>
  <c r="A70" i="68" s="1"/>
  <c r="A71" i="68" s="1"/>
  <c r="A72" i="68" s="1"/>
  <c r="A73" i="68" s="1"/>
  <c r="A74" i="68" s="1"/>
  <c r="A75" i="68" s="1"/>
  <c r="A76" i="68" s="1"/>
  <c r="A77" i="68" s="1"/>
  <c r="A78" i="68" s="1"/>
  <c r="A79" i="68" s="1"/>
  <c r="A80" i="68" s="1"/>
  <c r="A81" i="68" s="1"/>
  <c r="A82" i="68" s="1"/>
  <c r="A83" i="68" s="1"/>
  <c r="A84" i="68" s="1"/>
  <c r="A85" i="68" s="1"/>
  <c r="A86" i="68" s="1"/>
  <c r="A87" i="68" s="1"/>
  <c r="A88" i="68" s="1"/>
  <c r="A89" i="68" s="1"/>
  <c r="A90" i="68" s="1"/>
  <c r="A91" i="68" s="1"/>
  <c r="J53" i="68"/>
  <c r="J52" i="68"/>
  <c r="J51" i="68"/>
  <c r="J50" i="68"/>
  <c r="J49" i="68"/>
  <c r="N48" i="68"/>
  <c r="J48" i="68"/>
  <c r="A37" i="67"/>
  <c r="A38" i="67" s="1"/>
  <c r="A39" i="67" s="1"/>
  <c r="A40" i="67" s="1"/>
  <c r="A41" i="67" s="1"/>
  <c r="A42" i="67" s="1"/>
  <c r="A43" i="67" s="1"/>
  <c r="A44" i="67" s="1"/>
  <c r="A45" i="67" s="1"/>
  <c r="A46" i="67" s="1"/>
  <c r="A47" i="67" s="1"/>
  <c r="A48" i="67" s="1"/>
  <c r="A49" i="67" s="1"/>
  <c r="A50" i="67" s="1"/>
  <c r="A51" i="67" s="1"/>
  <c r="A52" i="67" s="1"/>
  <c r="A53" i="67" s="1"/>
  <c r="A54" i="67" s="1"/>
  <c r="A55" i="67" s="1"/>
  <c r="A56" i="67" s="1"/>
  <c r="A57" i="67" s="1"/>
  <c r="A58" i="67" s="1"/>
  <c r="A59" i="67" s="1"/>
  <c r="A60" i="67" s="1"/>
  <c r="A61" i="67" s="1"/>
  <c r="A62" i="67" s="1"/>
  <c r="A63" i="67" s="1"/>
  <c r="A64" i="67" s="1"/>
  <c r="A65" i="67" s="1"/>
  <c r="A66" i="67" s="1"/>
  <c r="J28" i="67"/>
  <c r="J27" i="67"/>
  <c r="J26" i="67"/>
  <c r="J25" i="67"/>
  <c r="J24" i="67"/>
  <c r="N23" i="67"/>
  <c r="J23" i="67"/>
  <c r="J21" i="67"/>
  <c r="I21" i="67"/>
  <c r="A65" i="66"/>
  <c r="A67" i="66" s="1"/>
  <c r="A68" i="66" s="1"/>
  <c r="A75" i="66" s="1"/>
  <c r="A78" i="66" s="1"/>
  <c r="A84" i="66" s="1"/>
  <c r="A89" i="66" s="1"/>
  <c r="A91" i="66" s="1"/>
  <c r="A92" i="66" s="1"/>
  <c r="A93" i="66" s="1"/>
  <c r="A95" i="66" s="1"/>
  <c r="A97" i="66" s="1"/>
  <c r="A99" i="66" s="1"/>
  <c r="A102" i="66" s="1"/>
  <c r="A105" i="66" s="1"/>
  <c r="A106" i="66" s="1"/>
  <c r="A107" i="66" s="1"/>
  <c r="A113" i="66" s="1"/>
  <c r="A124" i="66" s="1"/>
  <c r="A131" i="66" s="1"/>
  <c r="A140" i="66" s="1"/>
  <c r="A149" i="66" s="1"/>
  <c r="A150" i="66" s="1"/>
  <c r="A151" i="66" s="1"/>
  <c r="A155" i="66" s="1"/>
  <c r="A159" i="66" s="1"/>
  <c r="A163" i="66" s="1"/>
  <c r="A167" i="66" s="1"/>
  <c r="A168" i="66" s="1"/>
  <c r="A169" i="66" s="1"/>
  <c r="J52" i="66"/>
  <c r="J51" i="66"/>
  <c r="J50" i="66"/>
  <c r="J49" i="66"/>
  <c r="J48" i="66"/>
  <c r="N47" i="66"/>
  <c r="J47" i="66"/>
  <c r="A54" i="65"/>
  <c r="A57" i="65" s="1"/>
  <c r="A63" i="65" s="1"/>
  <c r="A64" i="65" s="1"/>
  <c r="A65" i="65" s="1"/>
  <c r="A76" i="65" s="1"/>
  <c r="A82" i="65" s="1"/>
  <c r="A90" i="65" s="1"/>
  <c r="A95" i="65" s="1"/>
  <c r="A96" i="65" s="1"/>
  <c r="A97" i="65" s="1"/>
  <c r="A98" i="65" s="1"/>
  <c r="A102" i="65" s="1"/>
  <c r="A109" i="65" s="1"/>
  <c r="A114" i="65" s="1"/>
  <c r="A115" i="65" s="1"/>
  <c r="A120" i="65" s="1"/>
  <c r="A121" i="65" s="1"/>
  <c r="A122" i="65" s="1"/>
  <c r="A123" i="65" s="1"/>
  <c r="A134" i="65" s="1"/>
  <c r="A139" i="65" s="1"/>
  <c r="A142" i="65" s="1"/>
  <c r="A145" i="65" s="1"/>
  <c r="A146" i="65" s="1"/>
  <c r="A147" i="65" s="1"/>
  <c r="A148" i="65" s="1"/>
  <c r="A151" i="65" s="1"/>
  <c r="A157" i="65" s="1"/>
  <c r="J128" i="72"/>
  <c r="J126" i="72"/>
  <c r="J125" i="72"/>
  <c r="J118" i="72"/>
  <c r="A51" i="63"/>
  <c r="A52" i="63" s="1"/>
  <c r="A53" i="63" s="1"/>
  <c r="A57" i="63" s="1"/>
  <c r="A62" i="63" s="1"/>
  <c r="A63" i="63" s="1"/>
  <c r="A68" i="63" s="1"/>
  <c r="A70" i="63" s="1"/>
  <c r="A71" i="63" s="1"/>
  <c r="A72" i="63" s="1"/>
  <c r="A75" i="63" s="1"/>
  <c r="A79" i="63" s="1"/>
  <c r="A82" i="63" s="1"/>
  <c r="A85" i="63" s="1"/>
  <c r="A86" i="63" s="1"/>
  <c r="A87" i="63" s="1"/>
  <c r="A88" i="63" s="1"/>
  <c r="A93" i="63" s="1"/>
  <c r="A96" i="63" s="1"/>
  <c r="A99" i="63" s="1"/>
  <c r="A100" i="63" s="1"/>
  <c r="A101" i="63" s="1"/>
  <c r="A102" i="63" s="1"/>
  <c r="A103" i="63" s="1"/>
  <c r="A107" i="63" s="1"/>
  <c r="A113" i="63" s="1"/>
  <c r="A118" i="63" s="1"/>
  <c r="A121" i="63" s="1"/>
  <c r="A122" i="63" s="1"/>
  <c r="A123" i="63" s="1"/>
  <c r="J43" i="63"/>
  <c r="J42" i="63"/>
  <c r="J41" i="63"/>
  <c r="J40" i="63"/>
  <c r="I36" i="63"/>
  <c r="F118" i="72"/>
  <c r="F128" i="72"/>
  <c r="F126" i="72"/>
  <c r="F125" i="72"/>
  <c r="F124" i="72"/>
  <c r="F123" i="72"/>
  <c r="A62" i="57"/>
  <c r="A63" i="57" s="1"/>
  <c r="A64" i="57" s="1"/>
  <c r="A65" i="57" s="1"/>
  <c r="A66" i="57" s="1"/>
  <c r="A67" i="57" s="1"/>
  <c r="A68" i="57" s="1"/>
  <c r="A69" i="57" s="1"/>
  <c r="A70" i="57" s="1"/>
  <c r="A71" i="57" s="1"/>
  <c r="A72" i="57" s="1"/>
  <c r="A73" i="57" s="1"/>
  <c r="A74" i="57" s="1"/>
  <c r="A78" i="57" s="1"/>
  <c r="A81" i="57" s="1"/>
  <c r="A87" i="57" s="1"/>
  <c r="A94" i="57" s="1"/>
  <c r="A96" i="57" s="1"/>
  <c r="A97" i="57" s="1"/>
  <c r="A98" i="57" s="1"/>
  <c r="I24" i="54"/>
  <c r="I32" i="54"/>
  <c r="I49" i="57"/>
  <c r="J36" i="54"/>
  <c r="J35" i="54"/>
  <c r="I26" i="54"/>
  <c r="H37" i="54"/>
  <c r="I27" i="54"/>
  <c r="H24" i="54"/>
  <c r="H36" i="49"/>
  <c r="H40" i="49"/>
  <c r="H39" i="49"/>
  <c r="H38" i="49"/>
  <c r="H37" i="49"/>
  <c r="H35" i="49"/>
  <c r="H34" i="49"/>
  <c r="J35" i="49"/>
  <c r="J34" i="49"/>
  <c r="I30" i="49"/>
  <c r="I29" i="49"/>
  <c r="I28" i="49"/>
  <c r="I27" i="49"/>
  <c r="I26" i="49"/>
  <c r="I24" i="49"/>
  <c r="H24" i="49"/>
  <c r="D52" i="57"/>
  <c r="I31" i="49"/>
  <c r="J49" i="57"/>
  <c r="F51" i="57"/>
  <c r="F50" i="57"/>
  <c r="H41" i="54"/>
  <c r="H40" i="54"/>
  <c r="H39" i="54"/>
  <c r="H38" i="54"/>
  <c r="H36" i="54"/>
  <c r="H35" i="54"/>
  <c r="J55" i="57"/>
  <c r="J54" i="57"/>
  <c r="J53" i="57"/>
  <c r="J52" i="57"/>
  <c r="I31" i="54"/>
  <c r="I30" i="54"/>
  <c r="I29" i="54"/>
  <c r="I28" i="54"/>
  <c r="J39" i="72" l="1"/>
  <c r="F51" i="64"/>
  <c r="J35" i="72"/>
  <c r="F36" i="70"/>
  <c r="R27" i="72"/>
  <c r="E33" i="72"/>
  <c r="V35" i="72"/>
  <c r="J43" i="54"/>
  <c r="C37" i="72"/>
  <c r="E37" i="72"/>
  <c r="I27" i="72"/>
  <c r="I33" i="72"/>
  <c r="I38" i="72"/>
  <c r="O39" i="72"/>
  <c r="V37" i="72"/>
  <c r="J42" i="49"/>
  <c r="B39" i="72"/>
  <c r="V36" i="72"/>
  <c r="G27" i="72"/>
  <c r="U39" i="72"/>
  <c r="C35" i="72"/>
  <c r="U33" i="72"/>
  <c r="V13" i="72"/>
  <c r="F74" i="76"/>
  <c r="I35" i="72"/>
  <c r="U37" i="72"/>
  <c r="I36" i="72"/>
  <c r="I37" i="72"/>
  <c r="U34" i="72"/>
  <c r="U38" i="72"/>
  <c r="M34" i="72"/>
  <c r="N34" i="72"/>
  <c r="V33" i="72"/>
  <c r="L37" i="72"/>
  <c r="N37" i="72"/>
  <c r="W34" i="72"/>
  <c r="W38" i="72"/>
  <c r="X33" i="72"/>
  <c r="F74" i="82"/>
  <c r="C38" i="72"/>
  <c r="L35" i="72"/>
  <c r="D37" i="72"/>
  <c r="O38" i="72"/>
  <c r="M33" i="72"/>
  <c r="K34" i="72"/>
  <c r="B35" i="72"/>
  <c r="L33" i="72"/>
  <c r="K33" i="72"/>
  <c r="E34" i="72"/>
  <c r="E38" i="72"/>
  <c r="Q33" i="72"/>
  <c r="Y37" i="72"/>
  <c r="Y39" i="72"/>
  <c r="R36" i="72"/>
  <c r="T35" i="72"/>
  <c r="T39" i="72"/>
  <c r="L39" i="72"/>
  <c r="F55" i="68"/>
  <c r="F37" i="72"/>
  <c r="P36" i="72"/>
  <c r="B13" i="72"/>
  <c r="H38" i="72"/>
  <c r="Z21" i="72"/>
  <c r="F74" i="80"/>
  <c r="F74" i="81"/>
  <c r="R34" i="72"/>
  <c r="G35" i="72"/>
  <c r="G36" i="72"/>
  <c r="S39" i="72"/>
  <c r="C33" i="72"/>
  <c r="U36" i="72"/>
  <c r="H34" i="72"/>
  <c r="F51" i="65"/>
  <c r="H35" i="72"/>
  <c r="F74" i="71"/>
  <c r="F59" i="57"/>
  <c r="I39" i="72"/>
  <c r="N33" i="72"/>
  <c r="S33" i="72"/>
  <c r="S38" i="72"/>
  <c r="U35" i="72"/>
  <c r="X38" i="72"/>
  <c r="H27" i="72"/>
  <c r="T34" i="72"/>
  <c r="T37" i="72"/>
  <c r="T38" i="72"/>
  <c r="H39" i="72"/>
  <c r="H33" i="72"/>
  <c r="Z6" i="72"/>
  <c r="K37" i="72"/>
  <c r="M35" i="72"/>
  <c r="D36" i="70"/>
  <c r="D74" i="75"/>
  <c r="C13" i="72"/>
  <c r="Y36" i="72"/>
  <c r="E13" i="72"/>
  <c r="D46" i="63"/>
  <c r="D31" i="67"/>
  <c r="F40" i="69"/>
  <c r="D74" i="71"/>
  <c r="E35" i="72"/>
  <c r="E39" i="72"/>
  <c r="P34" i="72"/>
  <c r="P38" i="72"/>
  <c r="X39" i="72"/>
  <c r="N27" i="72"/>
  <c r="V39" i="72"/>
  <c r="J36" i="72"/>
  <c r="F54" i="66"/>
  <c r="F37" i="77"/>
  <c r="D40" i="69"/>
  <c r="G39" i="72"/>
  <c r="R35" i="72"/>
  <c r="E36" i="72"/>
  <c r="J33" i="72"/>
  <c r="M36" i="72"/>
  <c r="M38" i="72"/>
  <c r="F74" i="75"/>
  <c r="F74" i="86"/>
  <c r="I34" i="72"/>
  <c r="N36" i="72"/>
  <c r="Y35" i="72"/>
  <c r="W33" i="72"/>
  <c r="O37" i="72"/>
  <c r="W37" i="72"/>
  <c r="K39" i="72"/>
  <c r="L34" i="72"/>
  <c r="G37" i="72"/>
  <c r="G38" i="72"/>
  <c r="F74" i="79"/>
  <c r="D35" i="72"/>
  <c r="D39" i="72"/>
  <c r="F36" i="72"/>
  <c r="Q37" i="72"/>
  <c r="Y33" i="72"/>
  <c r="J37" i="72"/>
  <c r="K13" i="72"/>
  <c r="K38" i="72"/>
  <c r="D74" i="82"/>
  <c r="F74" i="85"/>
  <c r="D74" i="85"/>
  <c r="R39" i="72"/>
  <c r="H36" i="72"/>
  <c r="D51" i="65"/>
  <c r="Y13" i="72"/>
  <c r="B36" i="72"/>
  <c r="Z8" i="72"/>
  <c r="D36" i="72"/>
  <c r="Q34" i="72"/>
  <c r="Q38" i="72"/>
  <c r="T36" i="72"/>
  <c r="Y34" i="72"/>
  <c r="Y38" i="72"/>
  <c r="C27" i="72"/>
  <c r="D59" i="57"/>
  <c r="F31" i="67"/>
  <c r="D55" i="68"/>
  <c r="B34" i="72"/>
  <c r="J38" i="72"/>
  <c r="G33" i="72"/>
  <c r="D74" i="78"/>
  <c r="D74" i="80"/>
  <c r="K35" i="72"/>
  <c r="K36" i="72"/>
  <c r="R38" i="72"/>
  <c r="K27" i="72"/>
  <c r="D74" i="81"/>
  <c r="N38" i="72"/>
  <c r="J27" i="72"/>
  <c r="F74" i="78"/>
  <c r="D74" i="86"/>
  <c r="F35" i="72"/>
  <c r="R13" i="72"/>
  <c r="R37" i="72"/>
  <c r="T33" i="72"/>
  <c r="B33" i="72"/>
  <c r="D27" i="72"/>
  <c r="Z24" i="72"/>
  <c r="O34" i="72"/>
  <c r="W35" i="72"/>
  <c r="O36" i="72"/>
  <c r="W36" i="72"/>
  <c r="L38" i="72"/>
  <c r="Z25" i="72"/>
  <c r="F74" i="83"/>
  <c r="F74" i="84"/>
  <c r="H42" i="49"/>
  <c r="Q35" i="72"/>
  <c r="Q39" i="72"/>
  <c r="S36" i="72"/>
  <c r="V34" i="72"/>
  <c r="N39" i="72"/>
  <c r="M37" i="72"/>
  <c r="L36" i="72"/>
  <c r="D74" i="76"/>
  <c r="C39" i="72"/>
  <c r="F46" i="63"/>
  <c r="D54" i="66"/>
  <c r="C34" i="72"/>
  <c r="Q36" i="72"/>
  <c r="S37" i="72"/>
  <c r="Q27" i="72"/>
  <c r="X35" i="72"/>
  <c r="P37" i="72"/>
  <c r="F13" i="72"/>
  <c r="T13" i="72"/>
  <c r="L27" i="72"/>
  <c r="S35" i="72"/>
  <c r="S13" i="72"/>
  <c r="X13" i="72"/>
  <c r="X34" i="72"/>
  <c r="Z22" i="72"/>
  <c r="F27" i="72"/>
  <c r="F33" i="72"/>
  <c r="S34" i="72"/>
  <c r="S27" i="72"/>
  <c r="G13" i="72"/>
  <c r="Z19" i="72"/>
  <c r="D34" i="72"/>
  <c r="D51" i="64"/>
  <c r="H13" i="72"/>
  <c r="Z5" i="72"/>
  <c r="J34" i="72"/>
  <c r="O33" i="72"/>
  <c r="O13" i="72"/>
  <c r="N13" i="72"/>
  <c r="B27" i="72"/>
  <c r="M13" i="72"/>
  <c r="D38" i="72"/>
  <c r="P13" i="72"/>
  <c r="P33" i="72"/>
  <c r="R33" i="72"/>
  <c r="U13" i="72"/>
  <c r="W27" i="72"/>
  <c r="V38" i="72"/>
  <c r="V27" i="72"/>
  <c r="D37" i="77"/>
  <c r="B37" i="72"/>
  <c r="Z23" i="72"/>
  <c r="F39" i="72"/>
  <c r="Z11" i="72"/>
  <c r="H43" i="54"/>
  <c r="Z7" i="72"/>
  <c r="Z9" i="72"/>
  <c r="H37" i="72"/>
  <c r="X27" i="72"/>
  <c r="J13" i="72"/>
  <c r="O27" i="72"/>
  <c r="L13" i="72"/>
  <c r="E27" i="72"/>
  <c r="Z10" i="72"/>
  <c r="D33" i="72"/>
  <c r="D13" i="72"/>
  <c r="D74" i="79"/>
  <c r="D74" i="83"/>
  <c r="M27" i="72"/>
  <c r="W13" i="72"/>
  <c r="D74" i="84"/>
  <c r="I13" i="72"/>
  <c r="O35" i="72"/>
  <c r="Q13" i="72"/>
  <c r="W39" i="72"/>
  <c r="X37" i="72"/>
  <c r="Z20" i="72"/>
  <c r="E41" i="72" l="1"/>
  <c r="H41" i="72"/>
  <c r="U41" i="72"/>
  <c r="P41" i="72"/>
  <c r="J41" i="72"/>
  <c r="Z38" i="72"/>
  <c r="L41" i="72"/>
  <c r="Z35" i="72"/>
  <c r="M41" i="72"/>
  <c r="Z39" i="72"/>
  <c r="X41" i="72"/>
  <c r="G41" i="72"/>
  <c r="Y41" i="72"/>
  <c r="I41" i="72"/>
  <c r="T41" i="72"/>
  <c r="N41" i="72"/>
  <c r="V41" i="72"/>
  <c r="Q41" i="72"/>
  <c r="K41" i="72"/>
  <c r="C41" i="72"/>
  <c r="W41" i="72"/>
  <c r="S41" i="72"/>
  <c r="R41" i="72"/>
  <c r="Z36" i="72"/>
  <c r="Z34" i="72"/>
  <c r="D41" i="72"/>
  <c r="Z37" i="72"/>
  <c r="O41" i="72"/>
  <c r="B41" i="72"/>
  <c r="Z33" i="72"/>
  <c r="F41" i="72"/>
  <c r="Z41" i="7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tc={4CDE611C-9544-4E17-9536-62474AE9B476}</author>
    <author>tc={71434DCD-BC80-4223-B123-8D58AF7DB756}</author>
    <author>tc={1F6EF6AC-A2C6-40D9-80D8-65A291B07220}</author>
    <author>tc={42063BCE-4CC6-4227-93CB-8D4E64BDC8E5}</author>
    <author>tc={AE84E5EC-B505-4824-AA39-D1BACE4BB2F4}</author>
    <author>tc={08D9790D-24C9-4BD6-B900-E8E81D5170FB}</author>
    <author>tc={0BB80FA0-62E0-45A3-875D-B0B50A275E8B}</author>
    <author>tc={84C58BEE-B649-4EE9-9669-B0C96514A50D}</author>
    <author>tc={2B3ABF15-924F-463F-A594-ACF715C072F2}</author>
    <author>tc={CDDD4DCC-41CD-4010-8EF3-40F75DD7E72D}</author>
    <author>tc={1E0F5582-11C5-456E-A338-A5F204EC378F}</author>
    <author>tc={E039F8BA-9CE4-42F1-8A62-D4A5B0073EB8}</author>
    <author>tc={9767B618-7DDD-46D6-A1CA-8E9B3D661D1F}</author>
    <author>tc={5526F8C1-60ED-42AE-8CFA-F708ED8B680B}</author>
    <author>tc={B53E6ABD-1F66-4B0F-807C-0FBCAE2DD299}</author>
    <author>tc={02DA9F64-C1D9-4B56-B62E-A139C4878106}</author>
    <author>tc={2D3F577D-49DA-4997-8BDA-17E73ABD776B}</author>
    <author>tc={9626F1FC-0DD1-4425-932D-6588284F0117}</author>
    <author>tc={19CD767E-685B-4315-906B-060E961D21ED}</author>
    <author>tc={1B6AD895-4615-4273-8E2C-47ADDEDDD42F}</author>
    <author>tc={63354260-7C17-4536-9930-284036E48D69}</author>
    <author>tc={A9787125-395C-4AE1-9B8F-590B110E234A}</author>
    <author>tc={426BD171-FF5C-428D-9AD7-9C9C8B9566D6}</author>
    <author>tc={65E1D1B7-45CB-4D95-BD16-73BB37E5DFDA}</author>
    <author>tc={29EA661A-3273-4F3F-9E0C-41BE79B2A47C}</author>
    <author>tc={1E58DAE7-EE38-4EC7-A823-C2A6A197E2B2}</author>
    <author>tc={0C6397DA-1D18-40E3-8453-536E17D99AAD}</author>
    <author>tc={703E0C2D-BBCA-49CE-89CC-9BBD9FA5B146}</author>
    <author>tc={4055167A-5AFA-4EF1-BB53-941E48A4B59F}</author>
    <author>tc={077DF0DF-0DC4-4CFC-8053-E9B9CE07152F}</author>
    <author>tc={7254E768-2089-4414-AE8D-1A7EC366D3F9}</author>
    <author>tc={E750881F-C969-49B0-8BB2-C342318280E5}</author>
    <author>tc={1EE1597B-B9E8-45D2-BDF1-9FB568BD139C}</author>
    <author>tc={DF646855-584E-4C2F-8E02-382D0963A375}</author>
    <author>tc={62B3DDC8-FAE6-47F0-96DA-E932F4FDD794}</author>
    <author>tc={FA543734-156B-47F2-83CD-AC1E8F173E77}</author>
    <author>tc={0ECF729C-236C-45C0-B3A7-76A62D1F8035}</author>
    <author>tc={5596AF85-3171-4AB3-BA95-6091A63583EA}</author>
    <author>tc={DAA6EC31-F11B-4301-8FEF-2BF58DE9FDC4}</author>
    <author>tc={6FB9148E-32F5-4450-8CC2-FB4A21836993}</author>
    <author>tc={EDD3ECDA-69FF-4D4A-A3B6-CEA315463A37}</author>
    <author>tc={948BBFDF-D60B-4CCA-8067-E3ECCD0B011F}</author>
    <author>tc={B0F326DE-CB70-4754-ACD9-D9CD1CB08B4F}</author>
    <author>tc={766636BC-0637-46E1-A6A7-C1B461155295}</author>
    <author>tc={B6F127A0-FF57-455A-B9F7-16A02F9F4EAE}</author>
    <author>tc={F8C77776-B156-4D97-ABCF-84FFE594700B}</author>
    <author>tc={8D18E512-D13D-4C8C-919A-522C40E781EB}</author>
    <author>tc={B59BFB8A-68BB-4B3B-BC10-E477652301BD}</author>
    <author>tc={7B385D6C-0524-42C3-9363-18B696663955}</author>
    <author>tc={D26C9C26-9416-42CF-B283-D94BF7F596A7}</author>
    <author>tc={0DF1BC42-B4E6-4A8A-B99C-F901EC3F7BF2}</author>
    <author>tc={AA299626-A949-4059-B52D-E3DA42CC84F2}</author>
  </authors>
  <commentList>
    <comment ref="AF2" authorId="0" shapeId="0" xr:uid="{4CDE611C-9544-4E17-9536-62474AE9B476}">
      <text>
        <t>[Comentario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S BEL-120
COD. 5044006</t>
      </text>
    </comment>
    <comment ref="BB2" authorId="1" shapeId="0" xr:uid="{71434DCD-BC80-4223-B123-8D58AF7DB756}">
      <text>
        <t>[Comentario encadenado]
Tu versión de Excel te permite leer este comentario encadenado; sin embargo, las ediciones que se apliquen se quitarán si el archivo se abre en una versión más reciente de Excel. Más información: https://go.microsoft.com/fwlink/?linkid=870924
Comentario:
    ROJO COPEC</t>
      </text>
    </comment>
    <comment ref="BD2" authorId="2" shapeId="0" xr:uid="{1F6EF6AC-A2C6-40D9-80D8-65A291B07220}">
      <text>
        <t>[Comentario encadenado]
Tu versión de Excel te permite leer este comentario encadenado; sin embargo, las ediciones que se apliquen se quitarán si el archivo se abre en una versión más reciente de Excel. Más información: https://go.microsoft.com/fwlink/?linkid=870924
Comentario:
    1        PL XAR 3.000x8x10.000
1 1/2  PL. XAR 2.000X10X6.000
1        PL. A36 2.440x10x6.000
2        PL. A36 2.440x8x6.000
1,1/2  PL. A36 2.440x6x6000
1        PL. 1.500x5x6000
2        PL. 1.000.2.5.6000</t>
      </text>
    </comment>
    <comment ref="AF3" authorId="3" shapeId="0" xr:uid="{42063BCE-4CC6-4227-93CB-8D4E64BDC8E5}">
      <text>
        <t>[Comentario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S BEL-120
COD. 5044006</t>
      </text>
    </comment>
    <comment ref="BB3" authorId="4" shapeId="0" xr:uid="{AE84E5EC-B505-4824-AA39-D1BACE4BB2F4}">
      <text>
        <t>[Comentario encadenado]
Tu versión de Excel te permite leer este comentario encadenado; sin embargo, las ediciones que se apliquen se quitarán si el archivo se abre en una versión más reciente de Excel. Más información: https://go.microsoft.com/fwlink/?linkid=870924
Comentario:
    ROJO COPEC</t>
      </text>
    </comment>
    <comment ref="BD3" authorId="5" shapeId="0" xr:uid="{08D9790D-24C9-4BD6-B900-E8E81D5170FB}">
      <text>
        <t>[Comentario encadenado]
Tu versión de Excel te permite leer este comentario encadenado; sin embargo, las ediciones que se apliquen se quitarán si el archivo se abre en una versión más reciente de Excel. Más información: https://go.microsoft.com/fwlink/?linkid=870924
Comentario:
    1       PL XAR 3.000x8x10.10.000
1 1/2 PL. XAR 2.000X10X6.000
1       PL  A36 2.440x10x6.000
2       PL . A36 2.440x8x6.000
11/2  PL. A36 2.440x6x6000
1       PL. 1.500x5x6000
2       PL. 1.000.2.5.6000</t>
      </text>
    </comment>
    <comment ref="AD4" authorId="6" shapeId="0" xr:uid="{0BB80FA0-62E0-45A3-875D-B0B50A275E8B}">
      <text>
        <t>[Comentario encadenado]
Tu versión de Excel te permite leer este comentario encadenado; sin embargo, las ediciones que se apliquen se quitarán si el archivo se abre en una versión más reciente de Excel. Más información: https://go.microsoft.com/fwlink/?linkid=870924
Comentario:
    BASE PTO KIT 1.1.32 REDUCE HOUSING
PTO 1010K03-1 BEZARES</t>
      </text>
    </comment>
    <comment ref="AF4" authorId="7" shapeId="0" xr:uid="{84C58BEE-B649-4EE9-9669-B0C96514A50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4" authorId="8" shapeId="0" xr:uid="{2B3ABF15-924F-463F-A594-ACF715C072F2}">
      <text>
        <t>[Comentario encadenado]
Tu versión de Excel te permite leer este comentario encadenado; sin embargo, las ediciones que se apliquen se quitarán si el archivo se abre en una versión más reciente de Excel. Más información: https://go.microsoft.com/fwlink/?linkid=870924
Comentario:
    AZUL PACIFICO</t>
      </text>
    </comment>
    <comment ref="BD4" authorId="9" shapeId="0" xr:uid="{CDDD4DCC-41CD-4010-8EF3-40F75DD7E72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PL.A36 10x2.440
2       PL.A36 8x2.440x6.000
3 1/2 PL. A36 6x2.440x6.000
1.1/2 PL. A36 1.500x5x6.000
1       PL . A36 1000x4x3.000 
1       PL.  A36 3x1.000x3.000
1       PL.  A36 1.000x2x3000
</t>
      </text>
    </comment>
    <comment ref="AF5" authorId="10" shapeId="0" xr:uid="{1E0F5582-11C5-456E-A338-A5F204EC378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5" authorId="11" shapeId="0" xr:uid="{E039F8BA-9CE4-42F1-8A62-D4A5B0073EB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CAT
</t>
      </text>
    </comment>
    <comment ref="BD5" authorId="12" shapeId="0" xr:uid="{9767B618-7DDD-46D6-A1CA-8E9B3D661D1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2440X10X6000
11/2 PL A-36 2440X8X6000
4      PL  A-36 1500X6X6000
1      PL  A -36  2440X6X6000
1      PL  A-36  1500X6X6000
1      PL  A-36  1500X4X6000
1/0   PL  A-36  1500X3X6000
1       PL  A-36  1000X2X6000
 </t>
      </text>
    </comment>
    <comment ref="AF6" authorId="13" shapeId="0" xr:uid="{5526F8C1-60ED-42AE-8CFA-F708ED8B680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6" authorId="14" shapeId="0" xr:uid="{B53E6ABD-1F66-4B0F-807C-0FBCAE2DD299}">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CAT</t>
      </text>
    </comment>
    <comment ref="BD6" authorId="15" shapeId="0" xr:uid="{02DA9F64-C1D9-4B56-B62E-A139C487810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2440X10X6000
11/2 PL A-36 2440X8X6000
4      PL  A-36 1500X6X6000
1      PL  A -36  2440X6X6000
1      PL  A-36  1500X6X6000
1      PL  A-36  1500X4X6000
1/0   PL  A-36  1500X3X6000
1       PL  A-36  1000X2X6000
 </t>
      </text>
    </comment>
    <comment ref="AF7" authorId="16" shapeId="0" xr:uid="{2D3F577D-49DA-4997-8BDA-17E73ABD776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7" authorId="17" shapeId="0" xr:uid="{9626F1FC-0DD1-4425-932D-6588284F0117}">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CAT</t>
      </text>
    </comment>
    <comment ref="BD7" authorId="18" shapeId="0" xr:uid="{19CD767E-685B-4315-906B-060E961D21E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2440X10X6000
11/2 PL A-36 2440X8X6000
4      PL  A-36 1500X6X6000
1      PL  A -36  2440X6X6000
1      PL  A-36  1500X6X6000
1      PL  A-36  1500X4X6000
1/0   PL  A-36  1500X3X6000
1       PL  A-36  1000X2X6000
 </t>
      </text>
    </comment>
    <comment ref="AD8" authorId="19" shapeId="0" xr:uid="{1B6AD895-4615-4273-8E2C-47ADDEDDD42F}">
      <text>
        <t>[Comentario encadenado]
Tu versión de Excel te permite leer este comentario encadenado; sin embargo, las ediciones que se apliquen se quitarán si el archivo se abre en una versión más reciente de Excel. Más información: https://go.microsoft.com/fwlink/?linkid=870924
Comentario:
    1010K03
EJE 018104</t>
      </text>
    </comment>
    <comment ref="AF8" authorId="20" shapeId="0" xr:uid="{63354260-7C17-4536-9930-284036E48D6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8" authorId="21" shapeId="0" xr:uid="{A9787125-395C-4AE1-9B8F-590B110E234A}">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D8" authorId="22" shapeId="0" xr:uid="{426BD171-FF5C-428D-9AD7-9C9C8B9566D6}">
      <text>
        <t>[Comentario encadenado]
Tu versión de Excel te permite leer este comentario encadenado; sin embargo, las ediciones que se apliquen se quitarán si el archivo se abre en una versión más reciente de Excel. Más información: https://go.microsoft.com/fwlink/?linkid=870924
Comentario:
    5 1/2     PL  INOX   1500X5X6000
1 1/2     PL  A-36    2440X6X6000
1           PL  A-36    1500X5X6000
1           PL  A-36    2440X8X6000
1           PL A-36     1500X3X6000 
1/2       PL  A-36     1000X2X6000</t>
      </text>
    </comment>
    <comment ref="AD9" authorId="23" shapeId="0" xr:uid="{65E1D1B7-45CB-4D95-BD16-73BB37E5DFDA}">
      <text>
        <t>[Comentario encadenado]
Tu versión de Excel te permite leer este comentario encadenado; sin embargo, las ediciones que se apliquen se quitarán si el archivo se abre en una versión más reciente de Excel. Más información: https://go.microsoft.com/fwlink/?linkid=870924
Comentario:
    1010K03
EJE 018104</t>
      </text>
    </comment>
    <comment ref="AF9" authorId="24" shapeId="0" xr:uid="{29EA661A-3273-4F3F-9E0C-41BE79B2A47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9" authorId="25" shapeId="0" xr:uid="{1E58DAE7-EE38-4EC7-A823-C2A6A197E2B2}">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D9" authorId="26" shapeId="0" xr:uid="{0C6397DA-1D18-40E3-8453-536E17D99AA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5 1/2     PL  INOX   1500X5X6000
1 1/2     PL  A-36    2440X6X8
1           PL  A-36    1500X5X6000
1           PL  A-36    2440X8X6000
1           PL A-36     1500X3X6000 
1/2       PL  A-36     1000X2X6000
</t>
      </text>
    </comment>
    <comment ref="BB10" authorId="27" shapeId="0" xr:uid="{703E0C2D-BBCA-49CE-89CC-9BBD9FA5B14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AZUL PACIFICO
</t>
      </text>
    </comment>
    <comment ref="BD10" authorId="28" shapeId="0" xr:uid="{4055167A-5AFA-4EF1-BB53-941E48A4B59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2000x10x6000
1/2     PL A-36 2440x8x6000
3         PL A-36 2440x6x6000
1         PL A-36 1500x5x6000
1/2      PL A-36 1000x4x3000
1/2      PL A-36 1500x3x6000
1 /2     PL A-36 1000x2x3000
1         PL  T-1  2500X6X6000
 </t>
      </text>
    </comment>
    <comment ref="BB11" authorId="29" shapeId="0" xr:uid="{077DF0DF-0DC4-4CFC-8053-E9B9CE07152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AZUL PACIFICO
</t>
      </text>
    </comment>
    <comment ref="BD11" authorId="30" shapeId="0" xr:uid="{7254E768-2089-4414-AE8D-1A7EC366D3F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2000x10x6000
1/2     PL A-36 2440x8x6000
3         PL A-36 2440x6x6000
1         PL A-36 1500x5x6000
1/2      PL A-36 1000x4x3000
1/2      PL A-36 1500x3x6000
1 /2     PL A-36 1000x2x3000
1         PL  T-1  2500X6X6000
 </t>
      </text>
    </comment>
    <comment ref="AD12" authorId="31" shapeId="0" xr:uid="{E750881F-C969-49B0-8BB2-C342318280E5}">
      <text>
        <t>[Comentario encadenado]
Tu versión de Excel te permite leer este comentario encadenado; sin embargo, las ediciones que se apliquen se quitarán si el archivo se abre en una versión más reciente de Excel. Más información: https://go.microsoft.com/fwlink/?linkid=870924
Comentario:
    BASE PTO KIT 1.1.32 REDUCE HOUSING
PTO 1010K03-1 BEZARES</t>
      </text>
    </comment>
    <comment ref="AF12" authorId="32" shapeId="0" xr:uid="{1EE1597B-B9E8-45D2-BDF1-9FB568BD139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12" authorId="33" shapeId="0" xr:uid="{DF646855-584E-4C2F-8E02-382D0963A375}">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D12" authorId="34" shapeId="0" xr:uid="{62B3DDC8-FAE6-47F0-96DA-E932F4FDD79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2440X10X6000
2         PL A-36  2440X8X6000
3         PL A-36  2440X6X6000
11/2    PL A-36  1500X5X6000
1/2      PL A-36  1500X4X6000   
1         PL A-36  1500X3X6000
1/2      PL A-36  1000X2X6000
</t>
      </text>
    </comment>
    <comment ref="AD13" authorId="35" shapeId="0" xr:uid="{FA543734-156B-47F2-83CD-AC1E8F173E77}">
      <text>
        <t>[Comentario encadenado]
Tu versión de Excel te permite leer este comentario encadenado; sin embargo, las ediciones que se apliquen se quitarán si el archivo se abre en una versión más reciente de Excel. Más información: https://go.microsoft.com/fwlink/?linkid=870924
Comentario:
    1010K03
EJE 018104</t>
      </text>
    </comment>
    <comment ref="AF13" authorId="36" shapeId="0" xr:uid="{0ECF729C-236C-45C0-B3A7-76A62D1F803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13" authorId="37" shapeId="0" xr:uid="{5596AF85-3171-4AB3-BA95-6091A63583EA}">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D13" authorId="38" shapeId="0" xr:uid="{DAA6EC31-F11B-4301-8FEF-2BF58DE9FDC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2440X10X6000
2         PL A-36  2440X8X6000
3         PL A-36  2440X6X6000
11/2    PL A-36  1500X5X6000
1/2      PL A-36  1500X4X6000   
1         PL A-36  1500X3X6000
1/2      PL A-36  1000X2X6000
</t>
      </text>
    </comment>
    <comment ref="AF14" authorId="39" shapeId="0" xr:uid="{6FB9148E-32F5-4450-8CC2-FB4A2183699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14" authorId="40" shapeId="0" xr:uid="{EDD3ECDA-69FF-4D4A-A3B6-CEA315463A3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VERDE SEGUN FOTO </t>
      </text>
    </comment>
    <comment ref="BD14" authorId="41" shapeId="0" xr:uid="{948BBFDF-D60B-4CCA-8067-E3ECCD0B011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2440X10X6000
2         PL A-36  2440X8X6000
3         PL A-36  2440X6X6000
11/2    PL A-36  1500X5X6000
1/2      PL A-36  1500X4X6000   
1         PL A-36  1500X3X6000
1/2      PL A-36  1000X2X6000
</t>
      </text>
    </comment>
    <comment ref="BB15" authorId="42" shapeId="0" xr:uid="{B0F326DE-CB70-4754-ACD9-D9CD1CB08B4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AZUL PACIFICO
</t>
      </text>
    </comment>
    <comment ref="BD15" authorId="43" shapeId="0" xr:uid="{766636BC-0637-46E1-A6A7-C1B46115529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2440X10X6000
2         PL A-36  2440X8X6000
3         PL A-36  2440X6X6000
11/2    PL A-36  1500X5X6000
1/2      PL A-36  1500X4X6000   
1         PL A-36  1500X3X6000
1/2      PL A-36  1000X2X6000
</t>
      </text>
    </comment>
    <comment ref="AD16" authorId="44" shapeId="0" xr:uid="{B6F127A0-FF57-455A-B9F7-16A02F9F4EAE}">
      <text>
        <t>[Comentario encadenado]
Tu versión de Excel te permite leer este comentario encadenado; sin embargo, las ediciones que se apliquen se quitarán si el archivo se abre en una versión más reciente de Excel. Más información: https://go.microsoft.com/fwlink/?linkid=870924
Comentario:
    t/f 1010k03 multiplicado
t/f 1015k03 - eje 1012704</t>
      </text>
    </comment>
    <comment ref="BB16" authorId="45" shapeId="0" xr:uid="{F8C77776-B156-4D97-ABCF-84FFE594700B}">
      <text>
        <t>[Comentario encadenado]
Tu versión de Excel te permite leer este comentario encadenado; sin embargo, las ediciones que se apliquen se quitarán si el archivo se abre en una versión más reciente de Excel. Más información: https://go.microsoft.com/fwlink/?linkid=870924
Comentario:
    4 GL  NARANJO
1 GL  WASH PRIMER</t>
      </text>
    </comment>
    <comment ref="BD16" authorId="46" shapeId="0" xr:uid="{8D18E512-D13D-4C8C-919A-522C40E781EB}">
      <text>
        <t>[Comentario encadenado]
Tu versión de Excel te permite leer este comentario encadenado; sin embargo, las ediciones que se apliquen se quitarán si el archivo se abre en una versión más reciente de Excel. Más información: https://go.microsoft.com/fwlink/?linkid=870924
Comentario:
    7  PL INOX 1500X5X6000
3  PL INOX  1500X4X6000
1  PL A-36 2440x6x6000
1   PL A-36 1000x4x6000
1   PL A-36 1000x3x6000
1   PL A-36 1000x2x3000</t>
      </text>
    </comment>
    <comment ref="AD18" authorId="47" shapeId="0" xr:uid="{B59BFB8A-68BB-4B3B-BC10-E477652301BD}">
      <text>
        <t>[Comentario encadenado]
Tu versión de Excel te permite leer este comentario encadenado; sin embargo, las ediciones que se apliquen se quitarán si el archivo se abre en una versión más reciente de Excel. Más información: https://go.microsoft.com/fwlink/?linkid=870924
Comentario:
    1010K03
EJE 018104</t>
      </text>
    </comment>
    <comment ref="BB18" authorId="48" shapeId="0" xr:uid="{7B385D6C-0524-42C3-9363-18B696663955}">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D18" authorId="49" shapeId="0" xr:uid="{D26C9C26-9416-42CF-B283-D94BF7F596A7}">
      <text>
        <t>[Comentario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2440X10X6000
2         PL A-36  2440X8X6000
3         PL A-36  2440X6X6000
11/2    PL A-36  1500X5X6000
1/2      PL A-36  1500X4X6000   
1         PL A-36  1500X3X6000
1/2      PL A-36  1000X2X6000</t>
      </text>
    </comment>
    <comment ref="BD19" authorId="50" shapeId="0" xr:uid="{0DF1BC42-B4E6-4A8A-B99C-F901EC3F7BF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2440X10X6000
2         PL A-36  2440X8X6000
3         PL A-36  2440X6X6000
11/2    PL A-36  1500X5X6000
1/2      PL A-36  1500X4X6000   
1         PL A-36  1500X3X6000
1/2      PL A-36  1000X2X6000
</t>
      </text>
    </comment>
    <comment ref="BB20" authorId="51" shapeId="0" xr:uid="{AA299626-A949-4059-B52D-E3DA42CC84F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ROJO CON AMARILLO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tc={02DC10CF-A47C-413F-80D7-983BA5242885}</author>
    <author>tc={2A606A85-7507-4995-A77C-D42C5FDCB718}</author>
    <author>tc={1A2A7ABF-FBE3-4333-888B-10FD3844C6B7}</author>
    <author>tc={2D64BC5A-8C79-4D4F-9CFE-A04272098D78}</author>
    <author>tc={23020530-5240-4060-AA64-7203357DA017}</author>
    <author>tc={DA4D58C3-1458-40A4-9F73-E4D70C631D95}</author>
    <author>tc={01FE21CF-5BEA-48A8-A0D3-FC459FBA23F9}</author>
    <author>tc={F84EB683-ED9E-4462-8E5D-12F78C6DEFC1}</author>
    <author>tc={3EB5D9A0-3CEC-48D6-8970-C28E2D1128CE}</author>
    <author>tc={1474CAA4-4D5B-4744-BEE2-D76F989642DB}</author>
    <author>tc={2384CB74-8B24-4609-8DD7-CD26BB8D354B}</author>
    <author>tc={86B89F01-2F80-4FBA-8156-A3B13C89DA04}</author>
    <author>tc={E746701C-6F81-4521-802D-FDBFFB339C62}</author>
    <author>tc={D011252D-D551-4C90-B69B-8B39A5648D3F}</author>
    <author>tc={F1A5C8D3-51B7-4086-9054-2A18AFFC996C}</author>
    <author>tc={9CD16960-2BA1-4682-A010-40B4114133FB}</author>
    <author>tc={EF1AD6EE-0D17-4883-BCF9-A0BB4A3A5286}</author>
    <author>tc={8CD04E1D-D2EC-41F4-81CE-BE6B473270A3}</author>
    <author>tc={35EC14D1-57FC-4D7A-BF74-B251C4F36F2D}</author>
    <author>tc={93982A3C-BEA6-4D13-B424-6D928852E1AD}</author>
    <author>tc={4746E38A-A35E-43CE-9CA7-7AA931889333}</author>
    <author>tc={5B5DA21A-CE81-4B9F-BDCB-743DA920FB89}</author>
    <author>tc={2AA77B37-9A62-4B68-85C5-25D7F1D3854A}</author>
    <author>tc={79120B17-B88D-4D96-AFF6-D6F468D1DBB8}</author>
    <author>tc={3D77F8C4-8366-4B29-B2AA-B74B0968F955}</author>
    <author>tc={DA0DAA2A-1E84-4FF0-AC2D-98B804EC4379}</author>
    <author>tc={977F358D-C236-46CA-9945-4ED6106BDF63}</author>
    <author>tc={548FC5C0-C3A3-4DE7-9788-0C0D72A0B649}</author>
    <author>tc={2FDE4E5E-DCE9-4EC5-9F8D-42F66CAE7AA4}</author>
    <author>tc={20A37A4D-286A-4AEA-9FB0-C66DD425D76C}</author>
    <author>tc={FB339B87-14D2-4B51-A664-C4089214767A}</author>
    <author>tc={8DAD6208-ABF8-4585-8C53-92FA7A96F2B8}</author>
    <author>tc={1252C8C0-6D84-4819-B132-8A180B38B650}</author>
    <author>tc={5B98B435-5B63-4EF6-BE5E-482B0BAEFC15}</author>
    <author>tc={64900414-6F63-44F4-AB3D-B483C110E4CC}</author>
    <author>tc={3BB579B6-DDF1-47A0-AB18-23EDD68ABC71}</author>
    <author>tc={2DE22BB5-C847-41B3-B629-6A1209D64D48}</author>
    <author>tc={C12EE9FE-3C1E-46B1-BFCD-20C991087528}</author>
    <author>tc={59955AD3-8035-49B3-9F31-F48CE4357EBE}</author>
    <author>tc={1BBE5A74-BEC8-487E-9D59-80AF92FFBC81}</author>
    <author>tc={41E27A9C-2BC6-444C-B7E6-AB9E7FA5D846}</author>
    <author>tc={502376FA-843E-4AB5-A4B4-1D68BE431E74}</author>
    <author>tc={3F5EE303-548E-4B76-B0CA-D8710F18F659}</author>
    <author>tc={ED0C91E8-2C1F-495B-BFD5-F05F5FC9B566}</author>
    <author>tc={227D9CEC-AFB0-4CAD-AD86-C1780261C1A2}</author>
    <author>tc={CC3BB901-D8B2-44B1-82ED-47092851214F}</author>
    <author>tc={44D8DF93-42D9-4BFC-B2C3-EBCBFA0101F3}</author>
    <author>tc={AD44C08F-8772-44C1-A0D5-1E44A1CB4AD8}</author>
    <author>tc={05C23651-D02E-468E-9585-B3CC0CC05C4A}</author>
    <author>tc={699BC863-7F2B-40DF-95DE-A79A69291EDF}</author>
    <author>tc={7C9CF7B9-13B9-4591-9C9C-DAEFDD1BA0E0}</author>
    <author>tc={521BF6BA-5993-43C8-9BF1-960927947A01}</author>
    <author>tc={2CE98BD7-EE73-4DD6-9912-8E8287676692}</author>
    <author>tc={461FDD81-54D5-40DA-A261-8D3C67F8B4A2}</author>
    <author>tc={41A56EC0-772E-4813-9337-CAF66D07B385}</author>
    <author>tc={3520809D-FA4A-49A2-AFC3-6B1154899779}</author>
    <author>tc={5E4E0A5C-732B-4B6F-8858-B269E1CF776C}</author>
  </authors>
  <commentList>
    <comment ref="BB2" authorId="0" shapeId="0" xr:uid="{02DC10CF-A47C-413F-80D7-983BA5242885}">
      <text>
        <t>[Comentario encadenado]
Tu versión de Excel te permite leer este comentario encadenado; sin embargo, las ediciones que se apliquen se quitarán si el archivo se abre en una versión más reciente de Excel. Más información: https://go.microsoft.com/fwlink/?linkid=870924
Comentario:
    GRIS RAL 7015</t>
      </text>
    </comment>
    <comment ref="BD2" authorId="1" shapeId="0" xr:uid="{2A606A85-7507-4995-A77C-D42C5FDCB718}">
      <text>
        <t>[Comentario encadenado]
Tu versión de Excel te permite leer este comentario encadenado; sin embargo, las ediciones que se apliquen se quitarán si el archivo se abre en una versión más reciente de Excel. Más información: https://go.microsoft.com/fwlink/?linkid=870924
Comentario:
    1       PL XAR 3.000x8x.10.000
1 1/2 PL. XAR 2.000X10X6.000
1       PL. A36 2.440x10x6.000
2       PL. A36 2.440x8x6.000
11/2  PL. A36 2.440x6x6000
1       PL. 1.500x5x6000
2       PL. 1.000.2.5.6000</t>
      </text>
    </comment>
    <comment ref="BB3" authorId="2" shapeId="0" xr:uid="{1A2A7ABF-FBE3-4333-888B-10FD3844C6B7}">
      <text>
        <t>[Comentario encadenado]
Tu versión de Excel te permite leer este comentario encadenado; sin embargo, las ediciones que se apliquen se quitarán si el archivo se abre en una versión más reciente de Excel. Más información: https://go.microsoft.com/fwlink/?linkid=870924
Comentario:
    GRIS RAL 7015</t>
      </text>
    </comment>
    <comment ref="BD3" authorId="3" shapeId="0" xr:uid="{2D64BC5A-8C79-4D4F-9CFE-A04272098D78}">
      <text>
        <t>[Comentario encadenado]
Tu versión de Excel te permite leer este comentario encadenado; sin embargo, las ediciones que se apliquen se quitarán si el archivo se abre en una versión más reciente de Excel. Más información: https://go.microsoft.com/fwlink/?linkid=870924
Comentario:
    1       PL XAR 3.000x8x10.10.000
1 1/2 PL. XAR 2.000X10X6.000
1       PL. A36 2.440x10x6.000
2       PL. A36 2.440x8x6.000
11/2  PL. A36 2.440x6x6000
1       PL. 1.500x5x6000
2       PL. 1.000.2.5.6000</t>
      </text>
    </comment>
    <comment ref="BB4" authorId="4" shapeId="0" xr:uid="{23020530-5240-4060-AA64-7203357DA017}">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cabina</t>
      </text>
    </comment>
    <comment ref="BD4" authorId="5" shapeId="0" xr:uid="{DA4D58C3-1458-40A4-9F73-E4D70C631D9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2440X10X6000
2         PL A-36  2440X8X6000
3         PL A-36  2440X6X6000
11/2    PL A-36  1500X5X6000
1/2      PL A-36  1500X4X6000   
1         PL A-36  1500X3X6000
1/2      PL A-36  1000X2X6000
</t>
      </text>
    </comment>
    <comment ref="AF5" authorId="6" shapeId="0" xr:uid="{01FE21CF-5BEA-48A8-A0D3-FC459FBA23F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5" authorId="7" shapeId="0" xr:uid="{F84EB683-ED9E-4462-8E5D-12F78C6DEFC1}">
      <text>
        <t>[Comentario encadenado]
Tu versión de Excel te permite leer este comentario encadenado; sin embargo, las ediciones que se apliquen se quitarán si el archivo se abre en una versión más reciente de Excel. Más información: https://go.microsoft.com/fwlink/?linkid=870924
Comentario:
    RAL 9616 BLANCO</t>
      </text>
    </comment>
    <comment ref="BD5" authorId="8" shapeId="0" xr:uid="{3EB5D9A0-3CEC-48D6-8970-C28E2D1128C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2440X10X6000
2         PL A-36  2440X8X6000
3         PL A-36  2440X6X6000
11/2    PL A-36  1500X5X6000
1/2      PL A-36  1500X4X6000   
1         PL A-36  1500X3X6000
1/2      PL A-36  1000X2X6000
</t>
      </text>
    </comment>
    <comment ref="BB6" authorId="9" shapeId="0" xr:uid="{1474CAA4-4D5B-4744-BEE2-D76F989642DB}">
      <text>
        <t>[Comentario encadenado]
Tu versión de Excel te permite leer este comentario encadenado; sin embargo, las ediciones que se apliquen se quitarán si el archivo se abre en una versión más reciente de Excel. Más información: https://go.microsoft.com/fwlink/?linkid=870924
Comentario:
    GRIS RAL  7015</t>
      </text>
    </comment>
    <comment ref="BD6" authorId="10" shapeId="0" xr:uid="{2384CB74-8B24-4609-8DD7-CD26BB8D354B}">
      <text>
        <t>[Comentario encadenado]
Tu versión de Excel te permite leer este comentario encadenado; sin embargo, las ediciones que se apliquen se quitarán si el archivo se abre en una versión más reciente de Excel. Más información: https://go.microsoft.com/fwlink/?linkid=870924
Comentario:
    1       PL XAR 3.000x8x.10.000
1 1/2 PL. XAR 2.000X10X6.000
1       PL. A36 2.440x10x6.000
2       PL. A36 2.440x8x6.000
11/2  PL. A36 2.440x6x6000
1       PL. 1.500x5x6000
2       PL. 1.000.2.5.6000</t>
      </text>
    </comment>
    <comment ref="AF7" authorId="11" shapeId="0" xr:uid="{86B89F01-2F80-4FBA-8156-A3B13C89DA0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7" authorId="12" shapeId="0" xr:uid="{E746701C-6F81-4521-802D-FDBFFB339C62}">
      <text>
        <t>[Comentario encadenado]
Tu versión de Excel te permite leer este comentario encadenado; sin embargo, las ediciones que se apliquen se quitarán si el archivo se abre en una versión más reciente de Excel. Más información: https://go.microsoft.com/fwlink/?linkid=870924
Comentario:
    CABINA NARANJO</t>
      </text>
    </comment>
    <comment ref="BD7" authorId="13" shapeId="0" xr:uid="{D011252D-D551-4C90-B69B-8B39A5648D3F}">
      <text>
        <t>[Comentario encadenado]
Tu versión de Excel te permite leer este comentario encadenado; sin embargo, las ediciones que se apliquen se quitarán si el archivo se abre en una versión más reciente de Excel. Más información: https://go.microsoft.com/fwlink/?linkid=870924
Comentario:
    1       PL XAR 3.000x8x.10.000
1 1/2 PL. XAR 2.000X10X6.000
1       PL. A36 2.440x10x6.000
2       PL. A36 2.440x8x6.000
11/2  PL. A36 2.440x6x6000
1       PL. 1.500x5x6000
2       PL. 1.000.2.5.6000</t>
      </text>
    </comment>
    <comment ref="AD8" authorId="14" shapeId="0" xr:uid="{F1A5C8D3-51B7-4086-9054-2A18AFFC996C}">
      <text>
        <t>[Comentario encadenado]
Tu versión de Excel te permite leer este comentario encadenado; sin embargo, las ediciones que se apliquen se quitarán si el archivo se abre en una versión más reciente de Excel. Más información: https://go.microsoft.com/fwlink/?linkid=870924
Comentario:
    1010K03
EJE 018104</t>
      </text>
    </comment>
    <comment ref="AF8" authorId="15" shapeId="0" xr:uid="{9CD16960-2BA1-4682-A010-40B4114133F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8" authorId="16" shapeId="0" xr:uid="{EF1AD6EE-0D17-4883-BCF9-A0BB4A3A5286}">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D8" authorId="17" shapeId="0" xr:uid="{8CD04E1D-D2EC-41F4-81CE-BE6B473270A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2440X10X6000
2         PL A-36  2440X8X6000
3         PL A-36  2440X6X6000
11/2    PL A-36  1500X5X6000
1/2      PL A-36  1500X4X6000   
1         PL A-36  1500X3X6000
1/2      PL A-36  1000X2X6000
</t>
      </text>
    </comment>
    <comment ref="AD9" authorId="18" shapeId="0" xr:uid="{35EC14D1-57FC-4D7A-BF74-B251C4F36F2D}">
      <text>
        <t>[Comentario encadenado]
Tu versión de Excel te permite leer este comentario encadenado; sin embargo, las ediciones que se apliquen se quitarán si el archivo se abre en una versión más reciente de Excel. Más información: https://go.microsoft.com/fwlink/?linkid=870924
Comentario:
    1010K03
EJE 018104</t>
      </text>
    </comment>
    <comment ref="AF9" authorId="19" shapeId="0" xr:uid="{93982A3C-BEA6-4D13-B424-6D928852E1A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9" authorId="20" shapeId="0" xr:uid="{4746E38A-A35E-43CE-9CA7-7AA93188933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NARANJO
</t>
      </text>
    </comment>
    <comment ref="BD9" authorId="21" shapeId="0" xr:uid="{5B5DA21A-CE81-4B9F-BDCB-743DA920FB8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2440X10X6000
2         PL A-36  2440X8X6000
3         PL A-36  2440X6X6000
11/2    PL A-36  1500X5X6000
1/2      PL A-36  1500X4X6000   
1         PL A-36  1500X3X6000
1/2      PL A-36  1000X2X6000
</t>
      </text>
    </comment>
    <comment ref="BB10" authorId="22" shapeId="0" xr:uid="{2AA77B37-9A62-4B68-85C5-25D7F1D3854A}">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D10" authorId="23" shapeId="0" xr:uid="{79120B17-B88D-4D96-AFF6-D6F468D1DBB8}">
      <text>
        <t>[Comentario encadenado]
Tu versión de Excel te permite leer este comentario encadenado; sin embargo, las ediciones que se apliquen se quitarán si el archivo se abre en una versión más reciente de Excel. Más información: https://go.microsoft.com/fwlink/?linkid=870924
Comentario:
    7  PL INOX 1500X5X6000
3  PL INOX  1500X4X6000
1  PL A-36 2440x6x6000
1   PL A-36 1000x4x6000
1   PL A-36 1000x3x6000
1   PL A-36 1000x2x3000</t>
      </text>
    </comment>
    <comment ref="AD11" authorId="24" shapeId="0" xr:uid="{3D77F8C4-8366-4B29-B2AA-B74B0968F955}">
      <text>
        <t>[Comentario encadenado]
Tu versión de Excel te permite leer este comentario encadenado; sin embargo, las ediciones que se apliquen se quitarán si el archivo se abre en una versión más reciente de Excel. Más información: https://go.microsoft.com/fwlink/?linkid=870924
Comentario:
    1010K03
EJE 018104</t>
      </text>
    </comment>
    <comment ref="BB11" authorId="25" shapeId="0" xr:uid="{DA0DAA2A-1E84-4FF0-AC2D-98B804EC4379}">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D11" authorId="26" shapeId="0" xr:uid="{977F358D-C236-46CA-9945-4ED6106BDF63}">
      <text>
        <t>[Comentario encadenado]
Tu versión de Excel te permite leer este comentario encadenado; sin embargo, las ediciones que se apliquen se quitarán si el archivo se abre en una versión más reciente de Excel. Más información: https://go.microsoft.com/fwlink/?linkid=870924
Comentario:
    7  PL INOX 1500X5X6000
3  PL INOX  1500X4X6000
1  PL A-36 2440x6x6000
1   PL A-36 1000x4x6000
1   PL A-36 1000x3x6000
1   PL A-36 1000x2x3000</t>
      </text>
    </comment>
    <comment ref="AD12" authorId="27" shapeId="0" xr:uid="{548FC5C0-C3A3-4DE7-9788-0C0D72A0B649}">
      <text>
        <t>[Comentario encadenado]
Tu versión de Excel te permite leer este comentario encadenado; sin embargo, las ediciones que se apliquen se quitarán si el archivo se abre en una versión más reciente de Excel. Más información: https://go.microsoft.com/fwlink/?linkid=870924
Comentario:
    1010K03
EJE 018104</t>
      </text>
    </comment>
    <comment ref="BB12" authorId="28" shapeId="0" xr:uid="{2FDE4E5E-DCE9-4EC5-9F8D-42F66CAE7AA4}">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 CABINA</t>
      </text>
    </comment>
    <comment ref="BD12" authorId="29" shapeId="0" xr:uid="{20A37A4D-286A-4AEA-9FB0-C66DD425D76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7    PL INOX 1500X4X6000
3    PL INOX  1500X5X3000
1    PL A-36    2440X6X6000
1    PL A-36    1000X4X6000
 1   PL A-36    1000X3X6000
 1   PL A-36    1000X2X3000  </t>
      </text>
    </comment>
    <comment ref="AD13" authorId="30" shapeId="0" xr:uid="{FB339B87-14D2-4B51-A664-C4089214767A}">
      <text>
        <t>[Comentario encadenado]
Tu versión de Excel te permite leer este comentario encadenado; sin embargo, las ediciones que se apliquen se quitarán si el archivo se abre en una versión más reciente de Excel. Más información: https://go.microsoft.com/fwlink/?linkid=870924
Comentario:
    1010K03
EJE 018104</t>
      </text>
    </comment>
    <comment ref="AN13" authorId="31" shapeId="0" xr:uid="{8DAD6208-ABF8-4585-8C53-92FA7A96F2B8}">
      <text>
        <t>[Comentario encadenado]
Tu versión de Excel te permite leer este comentario encadenado; sin embargo, las ediciones que se apliquen se quitarán si el archivo se abre en una versión más reciente de Excel. Más información: https://go.microsoft.com/fwlink/?linkid=870924
Comentario:
    BOMBA BLACKMER 4"</t>
      </text>
    </comment>
    <comment ref="AP13" authorId="32" shapeId="0" xr:uid="{1252C8C0-6D84-4819-B132-8A180B38B65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CUENTA LITRO M-10 C1 LIQUID CONTROLS
CUENTA LITRO M-25 C1 LIQUID CONTROLS
</t>
      </text>
    </comment>
    <comment ref="AR13" authorId="33" shapeId="0" xr:uid="{5B98B435-5B63-4EF6-BE5E-482B0BAEFC15}">
      <text>
        <t>[Comentario encadenado]
Tu versión de Excel te permite leer este comentario encadenado; sin embargo, las ediciones que se apliquen se quitarán si el archivo se abre en una versión más reciente de Excel. Más información: https://go.microsoft.com/fwlink/?linkid=870924
Comentario:
    VALVULA FONDO NEUMATICA
VALVULA ALIVIO
VALVULA MEMBRANA
VALVULA RECUPERADORA DE GASES
ESCOTILLA 16"
VALVULA INTERLOCK
VALVULA LIBERADORA DE GASES (PIPA)
VALVULA CARGA Y DESCARGA
SENSOR OPTICO</t>
      </text>
    </comment>
    <comment ref="AT13" authorId="34" shapeId="0" xr:uid="{64900414-6F63-44F4-AB3D-B483C110E4C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CARRETE  RETRACTIL 1" HANAN REELS PARA 15 MTS. DE MANGUERA
CARRETE ELECTRICO 11/2" 24 V. HANNAN REELS PARA 15 MTS. DE MANGUERA
CARRETE ELECTRICO 24 V. HANNAN REELS PARA 10 MTS. DE MANGUERA
</t>
      </text>
    </comment>
    <comment ref="AV13" authorId="35" shapeId="0" xr:uid="{3BB579B6-DDF1-47A0-AB18-23EDD68ABC71}">
      <text>
        <t>[Comentario encadenado]
Tu versión de Excel te permite leer este comentario encadenado; sin embargo, las ediciones que se apliquen se quitarán si el archivo se abre en una versión más reciente de Excel. Más información: https://go.microsoft.com/fwlink/?linkid=870924
Comentario:
    15 MTS. MANGUERA 1" TERMOHID
15 MTS. MANGUERA 11/2" TERMOHID
10 MTS. MANGUERA 21/2" TERMOHID</t>
      </text>
    </comment>
    <comment ref="AX13" authorId="36" shapeId="0" xr:uid="{2DE22BB5-C847-41B3-B629-6A1209D64D4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PISTOLA 1" OPW CORTE AUTOMATICO
PISTOLA 11/2 WIGGINS ZZ9A1
PISTOLA WIGGINS VR 300
</t>
      </text>
    </comment>
    <comment ref="AZ13" authorId="37" shapeId="0" xr:uid="{C12EE9FE-3C1E-46B1-BFCD-20C99108752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MICRO FILTRO 300 G.PM HIDROSUMI
</t>
      </text>
    </comment>
    <comment ref="BB13" authorId="38" shapeId="0" xr:uid="{59955AD3-8035-49B3-9F31-F48CE4357EBE}">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D13" authorId="39" shapeId="0" xr:uid="{1BBE5A74-BEC8-487E-9D59-80AF92FFBC81}">
      <text>
        <t>[Comentario encadenado]
Tu versión de Excel te permite leer este comentario encadenado; sin embargo, las ediciones que se apliquen se quitarán si el archivo se abre en una versión más reciente de Excel. Más información: https://go.microsoft.com/fwlink/?linkid=870924
Comentario:
    7  PL INOX 1500X5X6000
3  PL INOX  1500X4X6000
1  PL A-36 2440x6x6000
1   PL A-36 1000x4x6000
1   PL A-36 1000x3x6000
1   PL A-36 1000x2x3000</t>
      </text>
    </comment>
    <comment ref="BB14" authorId="40" shapeId="0" xr:uid="{41E27A9C-2BC6-444C-B7E6-AB9E7FA5D846}">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D14" authorId="41" shapeId="0" xr:uid="{502376FA-843E-4AB5-A4B4-1D68BE431E74}">
      <text>
        <t>[Comentario encadenado]
Tu versión de Excel te permite leer este comentario encadenado; sin embargo, las ediciones que se apliquen se quitarán si el archivo se abre en una versión más reciente de Excel. Más información: https://go.microsoft.com/fwlink/?linkid=870924
Comentario:
    7  PL INOX 1500X5X6000
3  PL INOX  1500X4X6000
1  PL A-36 2440x6x6000
1   PL A-36 1000x4x6000
1   PL A-36 1000x3x6000
1   PL A-36 1000x2x3000</t>
      </text>
    </comment>
    <comment ref="AR15" authorId="42" shapeId="0" xr:uid="{3F5EE303-548E-4B76-B0CA-D8710F18F659}">
      <text>
        <t>[Comentario encadenado]
Tu versión de Excel te permite leer este comentario encadenado; sin embargo, las ediciones que se apliquen se quitarán si el archivo se abre en una versión más reciente de Excel. Más información: https://go.microsoft.com/fwlink/?linkid=870924
Comentario:
    VALVULA FONDO NEUMATICA
VALVULA ALIVIO
VALVULA MEMBRANA
VALVULA RECUPERADORA DE GASES
ESCOTILLA 16"
VALVULA INTERLOCK
VALVULA LIBERADORA DE GASES (PIPA)
VALVULA CARGA Y DESCARGA
SENSOR OPTICO</t>
      </text>
    </comment>
    <comment ref="AT15" authorId="43" shapeId="0" xr:uid="{ED0C91E8-2C1F-495B-BFD5-F05F5FC9B566}">
      <text>
        <t>[Comentario encadenado]
Tu versión de Excel te permite leer este comentario encadenado; sin embargo, las ediciones que se apliquen se quitarán si el archivo se abre en una versión más reciente de Excel. Más información: https://go.microsoft.com/fwlink/?linkid=870924
Comentario:
    CARRETE IPT 11/2 RETRACTIL
CARRETE  1" IPT RETRACTIL</t>
      </text>
    </comment>
    <comment ref="BB15" authorId="44" shapeId="0" xr:uid="{227D9CEC-AFB0-4CAD-AD86-C1780261C1A2}">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D15" authorId="45" shapeId="0" xr:uid="{CC3BB901-D8B2-44B1-82ED-47092851214F}">
      <text>
        <t>[Comentario encadenado]
Tu versión de Excel te permite leer este comentario encadenado; sin embargo, las ediciones que se apliquen se quitarán si el archivo se abre en una versión más reciente de Excel. Más información: https://go.microsoft.com/fwlink/?linkid=870924
Comentario:
    6  PL  A-36  1500x4x6000
3  PL  A-36  1000x2x6000
1  PL DIAM  1000x2.5x3000</t>
      </text>
    </comment>
    <comment ref="AR16" authorId="46" shapeId="0" xr:uid="{44D8DF93-42D9-4BFC-B2C3-EBCBFA0101F3}">
      <text>
        <t>[Comentario encadenado]
Tu versión de Excel te permite leer este comentario encadenado; sin embargo, las ediciones que se apliquen se quitarán si el archivo se abre en una versión más reciente de Excel. Más información: https://go.microsoft.com/fwlink/?linkid=870924
Comentario:
    VALVULA FONDO NEUMATICA
VALVULA ALIVIO
VALVULA MEMBRANA
VALVULA RECUPERADORA DE GASES
ESCOTILLA 16"
VALVULA INTERLOCK
VALVULA LIBERADORA DE GASES (PIPA)
VALVULA CARGA Y DESCARGA
SENSOR OPTICO</t>
      </text>
    </comment>
    <comment ref="AZ16" authorId="47" shapeId="0" xr:uid="{AD44C08F-8772-44C1-A0D5-1E44A1CB4AD8}">
      <text>
        <t>[Comentario encadenado]
Tu versión de Excel te permite leer este comentario encadenado; sin embargo, las ediciones que se apliquen se quitarán si el archivo se abre en una versión más reciente de Excel. Más información: https://go.microsoft.com/fwlink/?linkid=870924
Comentario:
    PARKER FBO 14-DPL 11/2</t>
      </text>
    </comment>
    <comment ref="BD16" authorId="48" shapeId="0" xr:uid="{05C23651-D02E-468E-9585-B3CC0CC05C4A}">
      <text>
        <t>[Comentario encadenado]
Tu versión de Excel te permite leer este comentario encadenado; sin embargo, las ediciones que se apliquen se quitarán si el archivo se abre en una versión más reciente de Excel. Más información: https://go.microsoft.com/fwlink/?linkid=870924
Comentario:
    SE USA TARRO EN PLANTA</t>
      </text>
    </comment>
    <comment ref="AD17" authorId="49" shapeId="0" xr:uid="{699BC863-7F2B-40DF-95DE-A79A69291EDF}">
      <text>
        <t>[Comentario encadenado]
Tu versión de Excel te permite leer este comentario encadenado; sin embargo, las ediciones que se apliquen se quitarán si el archivo se abre en una versión más reciente de Excel. Más información: https://go.microsoft.com/fwlink/?linkid=870924
Comentario:
    1010K03
EJE 018104</t>
      </text>
    </comment>
    <comment ref="BB17" authorId="50" shapeId="0" xr:uid="{7C9CF7B9-13B9-4591-9C9C-DAEFDD1BA0E0}">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B18" authorId="51" shapeId="0" xr:uid="{521BF6BA-5993-43C8-9BF1-960927947A0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VERDE RAL 6037
</t>
      </text>
    </comment>
    <comment ref="BD18" authorId="52" shapeId="0" xr:uid="{2CE98BD7-EE73-4DD6-9912-8E8287676692}">
      <text>
        <t>[Comentario encadenado]
Tu versión de Excel te permite leer este comentario encadenado; sin embargo, las ediciones que se apliquen se quitarán si el archivo se abre en una versión más reciente de Excel. Más información: https://go.microsoft.com/fwlink/?linkid=870924
Comentario:
    5   PL  A-36 2440x6x6000
2   PL  A-36  1500x5x6000
1   PL  A-36   1500x4x6000
1   PL  A-36   1000x3x6000
1   PL  A-36   1000x2x3000</t>
      </text>
    </comment>
    <comment ref="BB19" authorId="53" shapeId="0" xr:uid="{461FDD81-54D5-40DA-A261-8D3C67F8B4A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NARANJO
</t>
      </text>
    </comment>
    <comment ref="BD19" authorId="54" shapeId="0" xr:uid="{41A56EC0-772E-4813-9337-CAF66D07B38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2440X10X6000
2         PL A-36  2440X8X6000
3         PL A-36  2440X6X6000
11/2    PL A-36  1500X5X6000
1/2      PL A-36  1500X4X6000   
1         PL A-36  1500X3X6000
1/2      PL A-36  1000X2X6000
</t>
      </text>
    </comment>
    <comment ref="BB20" authorId="55" shapeId="0" xr:uid="{3520809D-FA4A-49A2-AFC3-6B1154899779}">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CAT</t>
      </text>
    </comment>
    <comment ref="BB21" authorId="56" shapeId="0" xr:uid="{5E4E0A5C-732B-4B6F-8858-B269E1CF776C}">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tc={5A2983B3-3B10-49F4-99AE-0905354CB2FE}</author>
    <author>tc={D0A70279-1295-4F1A-8BD2-8245A38BE75F}</author>
    <author>tc={71570DAA-41BD-4872-B578-625074667236}</author>
    <author>tc={9D8FA3D6-3444-4127-A23B-EF7F0B774B59}</author>
    <author>tc={B0EDB555-3169-444C-9DFE-E0B093A0B621}</author>
    <author>tc={422695DE-13B5-421A-9501-9E6530AE0009}</author>
    <author>tc={1383A349-1371-4ED4-8ADB-BF35859DF24C}</author>
    <author>tc={09E7996D-D08C-4CF6-A7AE-0902953341D1}</author>
    <author>tc={73A1CA71-FCDB-40E8-8F78-C2785A13744E}</author>
    <author>tc={6D3CC857-B441-401A-A5BE-BFCFD65951DC}</author>
    <author>tc={90B564A5-CAA4-4BD4-9018-2B2129F007A5}</author>
    <author>tc={6E0415AC-1BE3-46B4-BB1B-BC107B3C0382}</author>
    <author>tc={00003115-2BE5-4100-93CB-9B555B50E3DE}</author>
    <author>tc={748FF313-8921-47F5-BBAA-38D43AA89EF7}</author>
    <author>tc={94934880-4211-40BB-8DFE-37F003C8C76E}</author>
    <author>tc={A7F20E4B-B84A-4AF6-9A18-EF04783AA49D}</author>
    <author>tc={4F92ED40-C597-4048-BF3F-87A99E2F3E53}</author>
    <author>tc={605BAD24-026E-4723-AD9C-A2DE8F467009}</author>
    <author>tc={A904EED5-F65E-42AB-A405-71201039DB81}</author>
    <author>tc={9127FD7F-A724-45EA-92AB-CACE94793F22}</author>
    <author>tc={B955D2DE-90BF-4605-99D7-B146F7D01E06}</author>
    <author>tc={A3CD875F-8C08-43FF-9A4D-7E05B95AA11F}</author>
    <author>tc={96568FB1-7968-40EC-8299-E3C57FA0A200}</author>
    <author>tc={483FA93B-EFE2-4362-BD3F-3F7E00939E1D}</author>
    <author>tc={5CC2AC27-6CB4-4AF4-9792-EEA6A8B2E4C2}</author>
    <author>tc={9EFAC611-FD70-439B-B144-051AE9D39E9F}</author>
    <author>tc={A7169D58-0F46-4231-BB48-4CFE853434FB}</author>
    <author>tc={CDF93AAA-75BF-467D-87D5-AD477C90CC36}</author>
    <author>tc={88EB7F41-0D2B-4271-8366-9D18F3DA4D95}</author>
    <author>tc={C554721D-9D63-4C7E-904F-DB89240FCD8E}</author>
    <author>tc={DF9A03D3-1B3B-4385-9D8F-AD6FE31EAE71}</author>
    <author>tc={240C3F65-9E26-4B9E-846D-8B3E6FE26CA7}</author>
    <author>tc={EA070F7E-F1C0-4F55-ADB4-9DEC31FB059C}</author>
    <author>tc={3E208ACD-8D5B-4613-80C8-BAC1024337D3}</author>
    <author>tc={32AD6CED-8A4F-4102-A8CA-4515BD36E5C9}</author>
    <author>tc={7330F8A6-65D8-4A3F-B300-97AEBE6D679C}</author>
    <author>tc={18DA807A-E767-4714-AE99-D610B7131D96}</author>
    <author>tc={A0E2112C-491A-46DE-91C6-08C21032904F}</author>
    <author>tc={8BB55339-63C7-4CEC-830B-3CA32BDFC110}</author>
    <author>tc={463DA21D-927E-4D1F-A945-D19A35037825}</author>
    <author>tc={CA45B1C1-BB8A-4A47-AE4D-9D70F41719A6}</author>
    <author>tc={C0FA69D1-90B7-48B0-AAB6-0BD8F235034E}</author>
    <author>tc={D4168D6D-777D-4C3C-96AB-0E314F8C1944}</author>
    <author>tc={BC8374F0-A2B3-4D87-9A07-B58B41F02AA1}</author>
    <author>tc={DE56D4AA-8818-4C0B-8C22-15EF7F1B843B}</author>
    <author>tc={C559706D-8A79-47B7-9F55-5F0853926E1B}</author>
    <author>tc={0890545A-8793-47AE-A233-C047D52BE6C9}</author>
    <author>tc={45F7904C-F364-46E4-A1D5-6059B8FA3934}</author>
    <author>tc={0A5C8066-B9E3-40E1-8E97-71407EE762D0}</author>
    <author>tc={F52C4F1E-825B-421C-BE39-203C93490B29}</author>
    <author>tc={7CBA48DF-257A-45A5-AF06-EBA9ADA4E4B0}</author>
    <author>tc={6B791179-7329-4DE9-A131-46BC32E80D86}</author>
    <author>tc={056AB04B-CE4B-4848-801C-01BCBD6869E0}</author>
    <author>tc={56E0E3FC-92CE-4DD0-B76A-00892E529692}</author>
    <author>tc={7F65DD50-6344-4561-AD22-557B6561D337}</author>
    <author>tc={82C5309F-DFE8-4D1F-8B9D-E3BA146B29A0}</author>
    <author>tc={3890E33E-71D4-4CB1-BCF0-062EAE0235D0}</author>
    <author>tc={EE2F0846-ACAB-48F5-905E-66BB685D812A}</author>
    <author>tc={3F80F36D-627F-41E5-A58F-F272987FAD82}</author>
    <author>tc={2E108B26-5FB3-4757-BB2F-AC08B8576735}</author>
    <author>tc={0FE55145-AC84-4EF3-AE04-E55181D10CA5}</author>
    <author>tc={7FBD999E-E09E-495C-8923-679BCCFB9A4D}</author>
    <author>tc={036C10DB-762A-4971-814B-646043A4B194}</author>
    <author>tc={83EF7032-C27B-47E5-8203-05DD38A0D79E}</author>
    <author>tc={0B5A90E7-E10A-4A06-A362-4000F2ADD03B}</author>
    <author>tc={EC6F280C-ED3D-4372-8D09-1C7112399A3A}</author>
  </authors>
  <commentList>
    <comment ref="AF2" authorId="0" shapeId="0" xr:uid="{5A2983B3-3B10-49F4-99AE-0905354CB2F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2" authorId="1" shapeId="0" xr:uid="{D0A70279-1295-4F1A-8BD2-8245A38BE75F}">
      <text>
        <t>[Comentario encadenado]
Tu versión de Excel te permite leer este comentario encadenado; sin embargo, las ediciones que se apliquen se quitarán si el archivo se abre en una versión más reciente de Excel. Más información: https://go.microsoft.com/fwlink/?linkid=870924
Comentario:
    CABINA NARANJO</t>
      </text>
    </comment>
    <comment ref="BD2" authorId="2" shapeId="0" xr:uid="{71570DAA-41BD-4872-B578-625074667236}">
      <text>
        <t>[Comentario encadenado]
Tu versión de Excel te permite leer este comentario encadenado; sin embargo, las ediciones que se apliquen se quitarán si el archivo se abre en una versión más reciente de Excel. Más información: https://go.microsoft.com/fwlink/?linkid=870924
Comentario:
    1       PL XAR 3.000x8x.10.000
1 1/2 PL. XAR 2.000X10X6.000
1       PL. A36 2.440x10x6.000
2       PL. A36 2.440x8x6.000
11/2  PL. A36 2.440x6x6000
1       PL. 1.500x5x6000
2       PL. 1.000.2.5.6000</t>
      </text>
    </comment>
    <comment ref="AF3" authorId="3" shapeId="0" xr:uid="{9D8FA3D6-3444-4127-A23B-EF7F0B774B5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3" authorId="4" shapeId="0" xr:uid="{B0EDB555-3169-444C-9DFE-E0B093A0B621}">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D3" authorId="5" shapeId="0" xr:uid="{422695DE-13B5-421A-9501-9E6530AE000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   PL A-36  2440x10x2000
1   PL A-36  2440x8x6000
3   PL A-36  2440x6x6000
1   PL A-36  1500x5x6000
1   PL  A36  1000x3x6000
1   PL  A-36 1000x2x6000 </t>
      </text>
    </comment>
    <comment ref="BB4" authorId="6" shapeId="0" xr:uid="{1383A349-1371-4ED4-8ADB-BF35859DF24C}">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D4" authorId="7" shapeId="0" xr:uid="{09E7996D-D08C-4CF6-A7AE-0902953341D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A-36  2440X10X6000
2         PL A-36  2440X8X6000
3         PL A-36  2440X6X6000
11/2    PL A-36  1500X5X6000
1/2      PL A-36  1500X4X6000   
1         PL A-36  1500X3X6000
1/2      PL A-36  1000X2X6000
</t>
      </text>
    </comment>
    <comment ref="BB5" authorId="8" shapeId="0" xr:uid="{73A1CA71-FCDB-40E8-8F78-C2785A13744E}">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IDEM CABINA</t>
      </text>
    </comment>
    <comment ref="BB6" authorId="9" shapeId="0" xr:uid="{6D3CC857-B441-401A-A5BE-BFCFD65951DC}">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CAT</t>
      </text>
    </comment>
    <comment ref="BD6" authorId="10" shapeId="0" xr:uid="{90B564A5-CAA4-4BD4-9018-2B2129F007A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1/4  PL  2440X10X6000
11/2 PL   2440X8X6000
31/2 PL   2440X6X6000 
11/2 PL   1500X5X6000
1/4   PL   1500X4X6000 
1      PL    1500X3X6000
1/2   PL    1000X2X6000
</t>
      </text>
    </comment>
    <comment ref="BB7" authorId="11" shapeId="0" xr:uid="{6E0415AC-1BE3-46B4-BB1B-BC107B3C0382}">
      <text>
        <t>[Comentario encadenado]
Tu versión de Excel te permite leer este comentario encadenado; sin embargo, las ediciones que se apliquen se quitarán si el archivo se abre en una versión más reciente de Excel. Más información: https://go.microsoft.com/fwlink/?linkid=870924
Comentario:
    AZUL -BLANCO</t>
      </text>
    </comment>
    <comment ref="BB8" authorId="12" shapeId="0" xr:uid="{00003115-2BE5-4100-93CB-9B555B50E3DE}">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AR9" authorId="13" shapeId="0" xr:uid="{748FF313-8921-47F5-BBAA-38D43AA89EF7}">
      <text>
        <t>[Comentario encadenado]
Tu versión de Excel te permite leer este comentario encadenado; sin embargo, las ediciones que se apliquen se quitarán si el archivo se abre en una versión más reciente de Excel. Más información: https://go.microsoft.com/fwlink/?linkid=870924
Comentario:
    VALVULA FONDO NEUMATICA
VALVULA ALIVIO
VALVULA MEMBRANA
VALVULA RECUPERADORA DE GASES
ESCOTILLA 16"
VALVULA INTERLOCK
VALVULA LIBERADORA DE GASES (PIPA)
VALVULA CARGA Y DESCARGA
SENSOR OPTICO</t>
      </text>
    </comment>
    <comment ref="BB9" authorId="14" shapeId="0" xr:uid="{94934880-4211-40BB-8DFE-37F003C8C76E}">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C9" authorId="15" shapeId="0" xr:uid="{A7F20E4B-B84A-4AF6-9A18-EF04783AA49D}">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D9" authorId="16" shapeId="0" xr:uid="{4F92ED40-C597-4048-BF3F-87A99E2F3E53}">
      <text>
        <t>[Comentario encadenado]
Tu versión de Excel te permite leer este comentario encadenado; sin embargo, las ediciones que se apliquen se quitarán si el archivo se abre en una versión más reciente de Excel. Más información: https://go.microsoft.com/fwlink/?linkid=870924
Comentario:
    6  PL  A-36  1500x5x6000
3  PL  A-36  1000x2x6000
1  PL DIAM  1000x2.5x3000</t>
      </text>
    </comment>
    <comment ref="BB10" authorId="17" shapeId="0" xr:uid="{605BAD24-026E-4723-AD9C-A2DE8F467009}">
      <text>
        <t>[Comentario encadenado]
Tu versión de Excel te permite leer este comentario encadenado; sin embargo, las ediciones que se apliquen se quitarán si el archivo se abre en una versión más reciente de Excel. Más información: https://go.microsoft.com/fwlink/?linkid=870924
Comentario:
    AZUL PACIFICO</t>
      </text>
    </comment>
    <comment ref="BB11" authorId="18" shapeId="0" xr:uid="{A904EED5-F65E-42AB-A405-71201039DB81}">
      <text>
        <t>[Comentario encadenado]
Tu versión de Excel te permite leer este comentario encadenado; sin embargo, las ediciones que se apliquen se quitarán si el archivo se abre en una versión más reciente de Excel. Más información: https://go.microsoft.com/fwlink/?linkid=870924
Comentario:
    ROJO BERMELLON</t>
      </text>
    </comment>
    <comment ref="BD11" authorId="19" shapeId="0" xr:uid="{9127FD7F-A724-45EA-92AB-CACE94793F22}">
      <text>
        <t>[Comentario encadenado]
Tu versión de Excel te permite leer este comentario encadenado; sin embargo, las ediciones que se apliquen se quitarán si el archivo se abre en una versión más reciente de Excel. Más información: https://go.microsoft.com/fwlink/?linkid=870924
Comentario:
    2  PL  A-36  2440X8X6000
5  PL  A-36  2400x6x6000
2  PL  A-36  1500x5x6000
1  PL  A-36  1500x4x6000
1  PL  A-36  1000x3x3000
1  PL  A-36  1000x2x6000</t>
      </text>
    </comment>
    <comment ref="BB12" authorId="20" shapeId="0" xr:uid="{B955D2DE-90BF-4605-99D7-B146F7D01E06}">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D12" authorId="21" shapeId="0" xr:uid="{A3CD875F-8C08-43FF-9A4D-7E05B95AA11F}">
      <text>
        <t>[Comentario encadenado]
Tu versión de Excel te permite leer este comentario encadenado; sin embargo, las ediciones que se apliquen se quitarán si el archivo se abre en una versión más reciente de Excel. Más información: https://go.microsoft.com/fwlink/?linkid=870924
Comentario:
    6  PL  A-36  1500x5x6000
3  PL  A-36  1000x2x6000
1  PL DIAM  1000x2.5x3000</t>
      </text>
    </comment>
    <comment ref="BB13" authorId="22" shapeId="0" xr:uid="{96568FB1-7968-40EC-8299-E3C57FA0A200}">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IDEM CABINA</t>
      </text>
    </comment>
    <comment ref="BD13" authorId="23" shapeId="0" xr:uid="{483FA93B-EFE2-4362-BD3F-3F7E00939E1D}">
      <text>
        <t>[Comentario encadenado]
Tu versión de Excel te permite leer este comentario encadenado; sin embargo, las ediciones que se apliquen se quitarán si el archivo se abre en una versión más reciente de Excel. Más información: https://go.microsoft.com/fwlink/?linkid=870924
Comentario:
    5   PL  A-36 2440x6x6000
2   PL  A-36  1500x5x6000
1   PL  A-36   1500x4x6000
1   PL  A-36   1000x3x6000
1   PL  A-36   1000x2x3000</t>
      </text>
    </comment>
    <comment ref="BB14" authorId="24" shapeId="0" xr:uid="{5CC2AC27-6CB4-4AF4-9792-EEA6A8B2E4C2}">
      <text>
        <t>[Comentario encadenado]
Tu versión de Excel te permite leer este comentario encadenado; sin embargo, las ediciones que se apliquen se quitarán si el archivo se abre en una versión más reciente de Excel. Más información: https://go.microsoft.com/fwlink/?linkid=870924
Comentario:
    4 NARANJO-3 BLANCO</t>
      </text>
    </comment>
    <comment ref="AN15" authorId="25" shapeId="0" xr:uid="{9EFAC611-FD70-439B-B144-051AE9D39E9F}">
      <text>
        <t>[Comentario encadenado]
Tu versión de Excel te permite leer este comentario encadenado; sin embargo, las ediciones que se apliquen se quitarán si el archivo se abre en una versión más reciente de Excel. Más información: https://go.microsoft.com/fwlink/?linkid=870924
Comentario:
    BOMBA BLACKMER 4"</t>
      </text>
    </comment>
    <comment ref="AP15" authorId="26" shapeId="0" xr:uid="{A7169D58-0F46-4231-BB48-4CFE853434F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CUENTA LITRO M-10 C1 LIQUID CONTROLS
CUENTA LITRO M-25 C1 LIQUID CONTROLS
</t>
      </text>
    </comment>
    <comment ref="AR15" authorId="27" shapeId="0" xr:uid="{CDF93AAA-75BF-467D-87D5-AD477C90CC36}">
      <text>
        <t>[Comentario encadenado]
Tu versión de Excel te permite leer este comentario encadenado; sin embargo, las ediciones que se apliquen se quitarán si el archivo se abre en una versión más reciente de Excel. Más información: https://go.microsoft.com/fwlink/?linkid=870924
Comentario:
    VALVULA FONDO NEUMATICA
VALVULA ALIVIO
VALVULA MEMBRANA
VALVULA RECUPERADORA DE GASES
ESCOTILLA 16"
VALVULA INTERLOCK
VALVULA LIBERADORA DE GASES (PIPA)
VALVULA CARGA Y DESCARGA
SENSOR OPTICO</t>
      </text>
    </comment>
    <comment ref="AT15" authorId="28" shapeId="0" xr:uid="{88EB7F41-0D2B-4271-8366-9D18F3DA4D9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CARRETE  RETRACTIL 1" HANAN REELS PARA 15 MTS. DE MANGUERA
CARRETE ELECTRICO 11/2" 24 V. HANNAN REELS PARA 15 MTS. DE MANGUERA
CARRETE ELECTRICO 24 V. HANNAN REELS PARA 10 MTS. DE MANGUERA
</t>
      </text>
    </comment>
    <comment ref="AV15" authorId="29" shapeId="0" xr:uid="{C554721D-9D63-4C7E-904F-DB89240FCD8E}">
      <text>
        <t>[Comentario encadenado]
Tu versión de Excel te permite leer este comentario encadenado; sin embargo, las ediciones que se apliquen se quitarán si el archivo se abre en una versión más reciente de Excel. Más información: https://go.microsoft.com/fwlink/?linkid=870924
Comentario:
    15 MTS. MANGUERA 1" TERMOHID
15 MTS. MANGUERA 11/2" TERMOHID
10 MTS. MANGUERA 21/2" TERMOHID</t>
      </text>
    </comment>
    <comment ref="AX15" authorId="30" shapeId="0" xr:uid="{DF9A03D3-1B3B-4385-9D8F-AD6FE31EAE7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PISTOLA 1" OPW CORTE AUTOMATICO
PISTOLA 11/2 WIGGINS ZZ9A1
PISTOLA WIGGINS VR 300
</t>
      </text>
    </comment>
    <comment ref="AZ15" authorId="31" shapeId="0" xr:uid="{240C3F65-9E26-4B9E-846D-8B3E6FE26CA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MICRO FILTRO 300 G.PM HIDROSUMI
</t>
      </text>
    </comment>
    <comment ref="BB15" authorId="32" shapeId="0" xr:uid="{EA070F7E-F1C0-4F55-ADB4-9DEC31FB059C}">
      <text>
        <t>[Comentario encadenado]
Tu versión de Excel te permite leer este comentario encadenado; sin embargo, las ediciones que se apliquen se quitarán si el archivo se abre en una versión más reciente de Excel. Más información: https://go.microsoft.com/fwlink/?linkid=870924
Comentario:
    INTERIOR BLANCO,  2TARROS Y EXTERIOR NARANJO 4 TARROS</t>
      </text>
    </comment>
    <comment ref="BD15" authorId="33" shapeId="0" xr:uid="{3E208ACD-8D5B-4613-80C8-BAC1024337D3}">
      <text>
        <t>[Comentario encadenado]
Tu versión de Excel te permite leer este comentario encadenado; sin embargo, las ediciones que se apliquen se quitarán si el archivo se abre en una versión más reciente de Excel. Más información: https://go.microsoft.com/fwlink/?linkid=870924
Comentario:
    11 PL  A-36 1500X5X6000
4   PL  A-36 1000X2X6000
1   PL. A-36  1500X3X6000
1/2PL. A-36  2440X6X6000
2   PL. DIAM. 1000X205X6000</t>
      </text>
    </comment>
    <comment ref="BB16" authorId="34" shapeId="0" xr:uid="{32AD6CED-8A4F-4102-A8CA-4515BD36E5C9}">
      <text>
        <t>[Comentario encadenado]
Tu versión de Excel te permite leer este comentario encadenado; sin embargo, las ediciones que se apliquen se quitarán si el archivo se abre en una versión más reciente de Excel. Más información: https://go.microsoft.com/fwlink/?linkid=870924
Comentario:
    INTERIOR BLANCO,  2TARROS Y EXTERIOR NARANJO 4 TARROS</t>
      </text>
    </comment>
    <comment ref="BB17" authorId="35" shapeId="0" xr:uid="{7330F8A6-65D8-4A3F-B300-97AEBE6D679C}">
      <text>
        <t>[Comentario encadenado]
Tu versión de Excel te permite leer este comentario encadenado; sin embargo, las ediciones que se apliquen se quitarán si el archivo se abre en una versión más reciente de Excel. Más información: https://go.microsoft.com/fwlink/?linkid=870924
Comentario:
    ROJO BERMELLON</t>
      </text>
    </comment>
    <comment ref="BB18" authorId="36" shapeId="0" xr:uid="{18DA807A-E767-4714-AE99-D610B7131D9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NARANJO
</t>
      </text>
    </comment>
    <comment ref="BB19" authorId="37" shapeId="0" xr:uid="{A0E2112C-491A-46DE-91C6-08C21032904F}">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B20" authorId="38" shapeId="0" xr:uid="{8BB55339-63C7-4CEC-830B-3CA32BDFC110}">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B21" authorId="39" shapeId="0" xr:uid="{463DA21D-927E-4D1F-A945-D19A35037825}">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AF23" authorId="40" shapeId="0" xr:uid="{CA45B1C1-BB8A-4A47-AE4D-9D70F41719A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23" authorId="41" shapeId="0" xr:uid="{C0FA69D1-90B7-48B0-AAB6-0BD8F235034E}">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D23" authorId="42" shapeId="0" xr:uid="{D4168D6D-777D-4C3C-96AB-0E314F8C194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T1     3000X6X10000
1/2   PL T-1    2500X8X10000
1/2    PL A-36 2440X6X6000
11/2  PL A-36 1500X5X6000
1/2    PL A-36 1500X3X6000  
1       PL  A-36 1000X2X3000 </t>
      </text>
    </comment>
    <comment ref="AF24" authorId="43" shapeId="0" xr:uid="{BC8374F0-A2B3-4D87-9A07-B58B41F02AA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24" authorId="44" shapeId="0" xr:uid="{DE56D4AA-8818-4C0B-8C22-15EF7F1B843B}">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D24" authorId="45" shapeId="0" xr:uid="{C559706D-8A79-47B7-9F55-5F0853926E1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T1     3000X6X10000
1/2   PL T-1    2500X8X10000
1/2    PL A-36 2440X6X6000
11/2  PL A-36 1500X5X6000
1/2    PL A-36 1500X3X6000  
1       PL  A-36 1000X2X3000 </t>
      </text>
    </comment>
    <comment ref="AF25" authorId="46" shapeId="0" xr:uid="{0890545A-8793-47AE-A233-C047D52BE6C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25" authorId="47" shapeId="0" xr:uid="{45F7904C-F364-46E4-A1D5-6059B8FA3934}">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D25" authorId="48" shapeId="0" xr:uid="{0A5C8066-B9E3-40E1-8E97-71407EE762D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T1     3000X6X10000
1/2   PL T-1    2500X8X10000
1/2    PL A-36 2440X6X6000
11/2  PL A-36 1500X5X6000
1/2    PL A-36 1500X3X6000  
1       PL  A-36 1000X2X3000 </t>
      </text>
    </comment>
    <comment ref="AF26" authorId="49" shapeId="0" xr:uid="{F52C4F1E-825B-421C-BE39-203C93490B2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B26" authorId="50" shapeId="0" xr:uid="{7CBA48DF-257A-45A5-AF06-EBA9ADA4E4B0}">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D26" authorId="51" shapeId="0" xr:uid="{6B791179-7329-4DE9-A131-46BC32E80D8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T1     3000X6X10000
1/2   PL T-1    2500X8X10000
1/2    PL A-36 2440X6X6000
11/2  PL A-36 1500X5X6000
1/2    PL A-36 1500X3X6000  
1       PL  A-36 1000X2X3000 </t>
      </text>
    </comment>
    <comment ref="BD27" authorId="52" shapeId="0" xr:uid="{056AB04B-CE4B-4848-801C-01BCBD6869E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1/4  PL  2440X10X6000
11/2 PL   2440X8X6000
31/2 PL   2440X6X6000 
11/2 PL   1500X5X6000
1/4   PL   1500X4X6000 
1      PL    1500X3X6000
1/2   PL    1000X2X6000
</t>
      </text>
    </comment>
    <comment ref="BB29" authorId="53" shapeId="0" xr:uid="{56E0E3FC-92CE-4DD0-B76A-00892E529692}">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 AZUL COPEC + GRAFICA</t>
      </text>
    </comment>
    <comment ref="BD29" authorId="54" shapeId="0" xr:uid="{7F65DD50-6344-4561-AD22-557B6561D337}">
      <text>
        <t>[Comentario encadenado]
Tu versión de Excel te permite leer este comentario encadenado; sin embargo, las ediciones que se apliquen se quitarán si el archivo se abre en una versión más reciente de Excel. Más información: https://go.microsoft.com/fwlink/?linkid=870924
Comentario:
    6  PL  A-36  1500x5x6000
3  PL  A-36  1000x2x6000
1  PL DIAM  1000x2.5x3000</t>
      </text>
    </comment>
    <comment ref="AN31" authorId="55" shapeId="0" xr:uid="{82C5309F-DFE8-4D1F-8B9D-E3BA146B29A0}">
      <text>
        <t>[Comentario encadenado]
Tu versión de Excel te permite leer este comentario encadenado; sin embargo, las ediciones que se apliquen se quitarán si el archivo se abre en una versión más reciente de Excel. Más información: https://go.microsoft.com/fwlink/?linkid=870924
Comentario:
    BOMBA BLACKMER 4"</t>
      </text>
    </comment>
    <comment ref="AP31" authorId="56" shapeId="0" xr:uid="{3890E33E-71D4-4CB1-BCF0-062EAE0235D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CUENTA LITRO M-10 C1 LIQUID CONTROLS
CUENTA LITRO M-25 C1 LIQUID CONTROLS
</t>
      </text>
    </comment>
    <comment ref="AR31" authorId="57" shapeId="0" xr:uid="{EE2F0846-ACAB-48F5-905E-66BB685D812A}">
      <text>
        <t>[Comentario encadenado]
Tu versión de Excel te permite leer este comentario encadenado; sin embargo, las ediciones que se apliquen se quitarán si el archivo se abre en una versión más reciente de Excel. Más información: https://go.microsoft.com/fwlink/?linkid=870924
Comentario:
    VALVULA FONDO NEUMATICA
VALVULA ALIVIO
VALVULA MEMBRANA
VALVULA RECUPERADORA DE GASES
ESCOTILLA 16"
VALVULA INTERLOCK
VALVULA LIBERADORA DE GASES (PIPA)
VALVULA CARGA Y DESCARGA
SENSOR OPTICO</t>
      </text>
    </comment>
    <comment ref="AT31" authorId="58" shapeId="0" xr:uid="{3F80F36D-627F-41E5-A58F-F272987FAD8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CARRETE  RETRACTIL 1" HANAN REELS PARA 15 MTS. DE MANGUERA
CARRETE ELECTRICO 11/2" 24 V. HANNAN REELS PARA 15 MTS. DE MANGUERA
CARRETE ELECTRICO 24 V. HANNAN REELS PARA 10 MTS. DE MANGUERA
</t>
      </text>
    </comment>
    <comment ref="AV31" authorId="59" shapeId="0" xr:uid="{2E108B26-5FB3-4757-BB2F-AC08B8576735}">
      <text>
        <t>[Comentario encadenado]
Tu versión de Excel te permite leer este comentario encadenado; sin embargo, las ediciones que se apliquen se quitarán si el archivo se abre en una versión más reciente de Excel. Más información: https://go.microsoft.com/fwlink/?linkid=870924
Comentario:
    15 MTS. MANGUERA 1" TERMOHID
15 MTS. MANGUERA 11/2" TERMOHID
10 MTS. MANGUERA 21/2" TERMOHID</t>
      </text>
    </comment>
    <comment ref="AX31" authorId="60" shapeId="0" xr:uid="{0FE55145-AC84-4EF3-AE04-E55181D10CA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PISTOLA 1" OPW CORTE AUTOMATICO
PISTOLA 11/2 WIGGINS ZZ9A1
PISTOLA WIGGINS VR 300
</t>
      </text>
    </comment>
    <comment ref="AZ31" authorId="61" shapeId="0" xr:uid="{7FBD999E-E09E-495C-8923-679BCCFB9A4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MICRO FILTRO 300 G.PM HIDROSUMI
</t>
      </text>
    </comment>
    <comment ref="BB31" authorId="62" shapeId="0" xr:uid="{036C10DB-762A-4971-814B-646043A4B194}">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D31" authorId="63" shapeId="0" xr:uid="{83EF7032-C27B-47E5-8203-05DD38A0D79E}">
      <text>
        <t>[Comentario encadenado]
Tu versión de Excel te permite leer este comentario encadenado; sin embargo, las ediciones que se apliquen se quitarán si el archivo se abre en una versión más reciente de Excel. Más información: https://go.microsoft.com/fwlink/?linkid=870924
Comentario:
    7  PL INOX 1500X5X6000
3  PL INOX  1500X4X6000
1  PL A-36 2440x6x6000
1   PL A-36 1000x4x6000
1   PL A-36 1000x3x6000
1   PL A-36 1000x2x3000</t>
      </text>
    </comment>
    <comment ref="BB33" authorId="64" shapeId="0" xr:uid="{0B5A90E7-E10A-4A06-A362-4000F2ADD03B}">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B34" authorId="65" shapeId="0" xr:uid="{EC6F280C-ED3D-4372-8D09-1C7112399A3A}">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tc={DE1DBCDE-5794-45C4-B4A2-C6FCF3E8C85A}</author>
    <author>tc={36C12EC0-28BF-44C5-BE50-0F0B10E24E71}</author>
    <author>tc={19A816DB-58EC-4993-ADE8-7FC06F02AD8B}</author>
    <author>tc={AD0758F0-5C4C-4782-A0CD-F6BA9045199B}</author>
    <author>tc={BD196734-A552-4F61-BE9F-92FDE4BE78EB}</author>
    <author>tc={182D5D17-ABC0-4881-B394-A973EF370760}</author>
    <author>tc={C434EA2D-E425-4637-B80D-E7BE90BB2BCA}</author>
    <author>tc={917B9D60-C195-421D-A396-8DF1F17E0A23}</author>
    <author>tc={517C1ED6-F676-46F3-92A9-D303765AA14A}</author>
    <author>tc={B361BA9A-C0FC-45E4-BF20-0B6268DD240F}</author>
    <author>tc={8BFC702B-408F-4C9E-AB12-2454D5FC2B5C}</author>
    <author>tc={C181F008-5D39-4AA0-B211-F63BCE9C466A}</author>
    <author>tc={101463F7-F73D-4475-979B-34EF02F84774}</author>
    <author>tc={F8C13677-072B-4305-8C56-FA0CC46008E0}</author>
    <author>tc={2C857855-B3DE-4679-94EF-B1AC73E23673}</author>
    <author>tc={1FBDA163-35A2-4541-B9CA-5C2A889415AC}</author>
    <author>tc={28BF5DC0-3930-4BB0-9B5B-2612F6592B5B}</author>
    <author>tc={4CA33A0A-14A5-411A-B77D-471F369F03B6}</author>
    <author>tc={7B290354-4B06-40C7-911A-5C2EC12DB576}</author>
    <author>tc={E44CCD52-2284-4691-BC93-770021D94655}</author>
    <author>tc={37ED5030-F720-4B76-A6B6-2409DDDBDE62}</author>
    <author>tc={F3210335-587B-4C5A-AF1D-AE205469667C}</author>
    <author>tc={E3B33492-8AA9-4BB5-AFBD-1EB427384826}</author>
    <author>tc={A4AD705F-67D2-46CD-826A-4F2D78413C03}</author>
    <author>tc={9C4AFB05-6BD1-462E-A81F-A2189C6D4562}</author>
    <author>tc={96CE7177-3C14-4217-8871-062FBEFC4790}</author>
    <author>tc={7D5DB17B-747E-4B2A-968F-818EFC13C9AC}</author>
    <author>tc={FC54EF8E-5E63-4318-91C4-30C9D5A9409B}</author>
    <author>tc={84AC1EC9-08E0-4A93-8B0F-BDF3595F38AD}</author>
    <author>tc={528A5AE0-FE30-4819-9037-01D76139FA03}</author>
  </authors>
  <commentList>
    <comment ref="BG2" authorId="0" shapeId="0" xr:uid="{DE1DBCDE-5794-45C4-B4A2-C6FCF3E8C85A}">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G3" authorId="1" shapeId="0" xr:uid="{36C12EC0-28BF-44C5-BE50-0F0B10E24E71}">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AK4" authorId="2" shapeId="0" xr:uid="{19A816DB-58EC-4993-ADE8-7FC06F02AD8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G4" authorId="3" shapeId="0" xr:uid="{AD0758F0-5C4C-4782-A0CD-F6BA9045199B}">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CAT</t>
      </text>
    </comment>
    <comment ref="BI4" authorId="4" shapeId="0" xr:uid="{BD196734-A552-4F61-BE9F-92FDE4BE78E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T1     3000X6X10000
1/2   PL T-1    2500X8X10000
1/2    PL A-36 2440X6X6000
11/2  PL A-36 1500X5X6000
1/2    PL A-36 1500X3X6000  
1       PL  A-36 1000X2X3000 </t>
      </text>
    </comment>
    <comment ref="AK5" authorId="5" shapeId="0" xr:uid="{182D5D17-ABC0-4881-B394-A973EF37076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BOMBA DE ENGRANAJE BELD 80 BZ
CODIGO BELD80814
</t>
      </text>
    </comment>
    <comment ref="BG5" authorId="6" shapeId="0" xr:uid="{C434EA2D-E425-4637-B80D-E7BE90BB2BCA}">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CAT</t>
      </text>
    </comment>
    <comment ref="BI5" authorId="7" shapeId="0" xr:uid="{917B9D60-C195-421D-A396-8DF1F17E0A2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1/2   PL T1     3000X6X10000
1/2   PL T-1    2500X8X10000
1/2    PL A-36 2440X6X6000
11/2  PL A-36 1500X5X6000
1/2    PL A-36 1500X3X6000  
1       PL  A-36 1000X2X3000 </t>
      </text>
    </comment>
    <comment ref="BG6" authorId="8" shapeId="0" xr:uid="{517C1ED6-F676-46F3-92A9-D303765AA14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NARANJO
</t>
      </text>
    </comment>
    <comment ref="BI6" authorId="9" shapeId="0" xr:uid="{B361BA9A-C0FC-45E4-BF20-0B6268DD240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1/4  PL  2440X10X6000
11/2 PL   2440X8X6000
31/2 PL   2440X6X6000 
11/2 PL   1500X5X6000
1/4   PL   1500X4X6000 
1      PL    1500X3X6000
1/2   PL    1000X2X6000
</t>
      </text>
    </comment>
    <comment ref="BG7" authorId="10" shapeId="0" xr:uid="{8BFC702B-408F-4C9E-AB12-2454D5FC2B5C}">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CABINA</t>
      </text>
    </comment>
    <comment ref="BG8" authorId="11" shapeId="0" xr:uid="{C181F008-5D39-4AA0-B211-F63BCE9C466A}">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 AZUL COPEC + GRAFICA</t>
      </text>
    </comment>
    <comment ref="BI8" authorId="12" shapeId="0" xr:uid="{101463F7-F73D-4475-979B-34EF02F84774}">
      <text>
        <t>[Comentario encadenado]
Tu versión de Excel te permite leer este comentario encadenado; sin embargo, las ediciones que se apliquen se quitarán si el archivo se abre en una versión más reciente de Excel. Más información: https://go.microsoft.com/fwlink/?linkid=870924
Comentario:
    6  PL  A-36  1500x5x6000
3  PL  A-36  1000x2x6000
1  PL DIAM  1000x2.5x3000</t>
      </text>
    </comment>
    <comment ref="BG9" authorId="13" shapeId="0" xr:uid="{F8C13677-072B-4305-8C56-FA0CC46008E0}">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AS10" authorId="14" shapeId="0" xr:uid="{2C857855-B3DE-4679-94EF-B1AC73E23673}">
      <text>
        <t>[Comentario encadenado]
Tu versión de Excel te permite leer este comentario encadenado; sin embargo, las ediciones que se apliquen se quitarán si el archivo se abre en una versión más reciente de Excel. Más información: https://go.microsoft.com/fwlink/?linkid=870924
Comentario:
    BOMBA BLACKMER 4"</t>
      </text>
    </comment>
    <comment ref="AU10" authorId="15" shapeId="0" xr:uid="{1FBDA163-35A2-4541-B9CA-5C2A889415A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CUENTA LITRO M-10 C1 LIQUID CONTROLS
CUENTA LITRO M-25 C1 LIQUID CONTROLS
</t>
      </text>
    </comment>
    <comment ref="AW10" authorId="16" shapeId="0" xr:uid="{28BF5DC0-3930-4BB0-9B5B-2612F6592B5B}">
      <text>
        <t>[Comentario encadenado]
Tu versión de Excel te permite leer este comentario encadenado; sin embargo, las ediciones que se apliquen se quitarán si el archivo se abre en una versión más reciente de Excel. Más información: https://go.microsoft.com/fwlink/?linkid=870924
Comentario:
    VALVULA FONDO NEUMATICA
VALVULA ALIVIO
VALVULA MEMBRANA
VALVULA RECUPERADORA DE GASES
ESCOTILLA 16"
VALVULA INTERLOCK
VALVULA LIBERADORA DE GASES (PIPA)
VALVULA CARGA Y DESCARGA
SENSOR OPTICO</t>
      </text>
    </comment>
    <comment ref="AY10" authorId="17" shapeId="0" xr:uid="{4CA33A0A-14A5-411A-B77D-471F369F03B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CARRETE  RETRACTIL 1" HANAN REELS PARA 15 MTS. DE MANGUERA
CARRETE ELECTRICO 11/2" 24 V. HANNAN REELS PARA 15 MTS. DE MANGUERA
CARRETE ELECTRICO 24 V. HANNAN REELS PARA 10 MTS. DE MANGUERA
</t>
      </text>
    </comment>
    <comment ref="BA10" authorId="18" shapeId="0" xr:uid="{7B290354-4B06-40C7-911A-5C2EC12DB576}">
      <text>
        <t>[Comentario encadenado]
Tu versión de Excel te permite leer este comentario encadenado; sin embargo, las ediciones que se apliquen se quitarán si el archivo se abre en una versión más reciente de Excel. Más información: https://go.microsoft.com/fwlink/?linkid=870924
Comentario:
    15 MTS. MANGUERA 1" TERMOHID
15 MTS. MANGUERA 11/2" TERMOHID
10 MTS. MANGUERA 21/2" TERMOHID</t>
      </text>
    </comment>
    <comment ref="BC10" authorId="19" shapeId="0" xr:uid="{E44CCD52-2284-4691-BC93-770021D9465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PISTOLA 1" OPW CORTE AUTOMATICO
PISTOLA 11/2 WIGGINS ZZ9A1
PISTOLA WIGGINS VR 300
</t>
      </text>
    </comment>
    <comment ref="BE10" authorId="20" shapeId="0" xr:uid="{37ED5030-F720-4B76-A6B6-2409DDDBDE6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MICRO FILTRO 300 G.PM HIDROSUMI
</t>
      </text>
    </comment>
    <comment ref="BG10" authorId="21" shapeId="0" xr:uid="{F3210335-587B-4C5A-AF1D-AE205469667C}">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I10" authorId="22" shapeId="0" xr:uid="{E3B33492-8AA9-4BB5-AFBD-1EB427384826}">
      <text>
        <t>[Comentario encadenado]
Tu versión de Excel te permite leer este comentario encadenado; sin embargo, las ediciones que se apliquen se quitarán si el archivo se abre en una versión más reciente de Excel. Más información: https://go.microsoft.com/fwlink/?linkid=870924
Comentario:
    7  PL INOX 1500X5X6000
3  PL INOX  1500X4X6000
1  PL A-36 2440x6x6000
1   PL A-36 1000x4x6000
1   PL A-36 1000x3x6000
1   PL A-36 1000x2x3000</t>
      </text>
    </comment>
    <comment ref="BG11" authorId="23" shapeId="0" xr:uid="{A4AD705F-67D2-46CD-826A-4F2D78413C03}">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1023-+ PILARES Y PISO NEGRO</t>
      </text>
    </comment>
    <comment ref="BG12" authorId="24" shapeId="0" xr:uid="{9C4AFB05-6BD1-462E-A81F-A2189C6D4562}">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G13" authorId="25" shapeId="0" xr:uid="{96CE7177-3C14-4217-8871-062FBEFC4790}">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G14" authorId="26" shapeId="0" xr:uid="{7D5DB17B-747E-4B2A-968F-818EFC13C9AC}">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G15" authorId="27" shapeId="0" xr:uid="{FC54EF8E-5E63-4318-91C4-30C9D5A9409B}">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CAT</t>
      </text>
    </comment>
    <comment ref="BG16" authorId="28" shapeId="0" xr:uid="{84AC1EC9-08E0-4A93-8B0F-BDF3595F38AD}">
      <text>
        <t>[Comentario encadenado]
Tu versión de Excel te permite leer este comentario encadenado; sin embargo, las ediciones que se apliquen se quitarán si el archivo se abre en una versión más reciente de Excel. Más información: https://go.microsoft.com/fwlink/?linkid=870924
Comentario:
    PASILLO Y LIMONES BLANCO</t>
      </text>
    </comment>
    <comment ref="BG17" authorId="29" shapeId="0" xr:uid="{528A5AE0-FE30-4819-9037-01D76139FA03}">
      <text>
        <t>[Comentario encadenado]
Tu versión de Excel te permite leer este comentario encadenado; sin embargo, las ediciones que se apliquen se quitarán si el archivo se abre en una versión más reciente de Excel. Más información: https://go.microsoft.com/fwlink/?linkid=870924
Comentario:
    PASILLO Y LIMONES BLANCO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tc={12B94570-FDED-4C78-B5F3-3426FCD321C3}</author>
    <author>tc={679B2848-4E87-4094-94D0-D787E8F7DF9A}</author>
    <author>tc={60AA093D-DBB9-4EFC-A93D-6AD67B196C3E}</author>
    <author>tc={D0EE1BF3-DCED-44E1-A3A9-365AC266F5EB}</author>
    <author>tc={5B58724C-5430-4F9C-A39D-3BB975CD91AF}</author>
    <author>tc={3E293FDE-6DD7-4BBB-BD06-92E09AE4B476}</author>
    <author>tc={BEFF65D5-AA09-478E-AB42-7EA35E45E116}</author>
    <author>tc={CB617CAD-096F-4168-9D3D-D2DADBA95EE2}</author>
    <author>tc={7895B76A-EAE0-4962-8251-594D9954B91A}</author>
    <author>tc={3B91DAD4-39A0-4DCE-A579-077DB85904F4}</author>
    <author>Autor</author>
    <author>tc={EC2428B6-F4A3-4B59-8D11-8E1E2C93A1E6}</author>
  </authors>
  <commentList>
    <comment ref="BG2" authorId="0" shapeId="0" xr:uid="{12B94570-FDED-4C78-B5F3-3426FCD321C3}">
      <text>
        <t>[Comentario encadenado]
Tu versión de Excel te permite leer este comentario encadenado; sin embargo, las ediciones que se apliquen se quitarán si el archivo se abre en una versión más reciente de Excel. Más información: https://go.microsoft.com/fwlink/?linkid=870924
Comentario:
    ROJO MERCEDES</t>
      </text>
    </comment>
    <comment ref="BG3" authorId="1" shapeId="0" xr:uid="{679B2848-4E87-4094-94D0-D787E8F7DF9A}">
      <text>
        <t>[Comentario encadenado]
Tu versión de Excel te permite leer este comentario encadenado; sin embargo, las ediciones que se apliquen se quitarán si el archivo se abre en una versión más reciente de Excel. Más información: https://go.microsoft.com/fwlink/?linkid=870924
Comentario:
    GRIS-VERDE</t>
      </text>
    </comment>
    <comment ref="BG6" authorId="2" shapeId="0" xr:uid="{60AA093D-DBB9-4EFC-A93D-6AD67B196C3E}">
      <text>
        <t>[Comentario encadenado]
Tu versión de Excel te permite leer este comentario encadenado; sin embargo, las ediciones que se apliquen se quitarán si el archivo se abre en una versión más reciente de Excel. Más información: https://go.microsoft.com/fwlink/?linkid=870924
Comentario:
    AZUL PACIFICO-BLANCO IDEM ANTERIOR</t>
      </text>
    </comment>
    <comment ref="BG7" authorId="3" shapeId="0" xr:uid="{D0EE1BF3-DCED-44E1-A3A9-365AC266F5E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AMARILLO IDEM CABINA
</t>
      </text>
    </comment>
    <comment ref="BG8" authorId="4" shapeId="0" xr:uid="{5B58724C-5430-4F9C-A39D-3BB975CD91A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AMARILLO IDEM CABINA
</t>
      </text>
    </comment>
    <comment ref="BG9" authorId="5" shapeId="0" xr:uid="{3E293FDE-6DD7-4BBB-BD06-92E09AE4B476}">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1023</t>
      </text>
    </comment>
    <comment ref="BG10" authorId="6" shapeId="0" xr:uid="{BEFF65D5-AA09-478E-AB42-7EA35E45E116}">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G11" authorId="7" shapeId="0" xr:uid="{CB617CAD-096F-4168-9D3D-D2DADBA95EE2}">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 -CAJONES AZULES</t>
      </text>
    </comment>
    <comment ref="BG12" authorId="8" shapeId="0" xr:uid="{7895B76A-EAE0-4962-8251-594D9954B91A}">
      <text>
        <t>[Comentario encadenado]
Tu versión de Excel te permite leer este comentario encadenado; sin embargo, las ediciones que se apliquen se quitarán si el archivo se abre en una versión más reciente de Excel. Más información: https://go.microsoft.com/fwlink/?linkid=870924
Comentario:
    AZUL-VERDE-BLANCO PANTON  ENEX,- FRONTAL BLANCO
Respuesta:
    BLANCO- CAJONES AZUL</t>
      </text>
    </comment>
    <comment ref="BG13" authorId="9" shapeId="0" xr:uid="{3B91DAD4-39A0-4DCE-A579-077DB85904F4}">
      <text>
        <t>[Comentario encadenado]
Tu versión de Excel te permite leer este comentario encadenado; sin embargo, las ediciones que se apliquen se quitarán si el archivo se abre en una versión más reciente de Excel. Más información: https://go.microsoft.com/fwlink/?linkid=870924
Comentario:
    GRIS IDEM ANTERIOR</t>
      </text>
    </comment>
    <comment ref="F15" authorId="10" shapeId="0" xr:uid="{7AE151C6-71FD-4C39-954D-0AD34EE41895}">
      <text>
        <r>
          <rPr>
            <sz val="11"/>
            <color theme="1"/>
            <rFont val="Calibri"/>
            <family val="2"/>
            <scheme val="minor"/>
          </rPr>
          <t>ABONO 
$ 3.000.000.- 25/08/2022 - TRANSFERENCIA</t>
        </r>
      </text>
    </comment>
    <comment ref="BG19" authorId="11" shapeId="0" xr:uid="{EC2428B6-F4A3-4B59-8D11-8E1E2C93A1E6}">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1023</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tc={A151B68E-0B33-4117-A808-D5411E0B9D0C}</author>
    <author>tc={DE4E0DBB-D017-4405-8443-0400BEB662D6}</author>
    <author>tc={88A01620-DDBA-4265-BC7A-D01B8CAA0CEE}</author>
    <author>tc={AA372425-13C4-4704-B6B2-9D3EE4FF3DDE}</author>
    <author>tc={C1CAD4CE-C42F-4D0D-995C-6D833284FED1}</author>
    <author>Autor</author>
    <author>tc={600AC744-D4DE-4913-95E8-F09C3753AABB}</author>
    <author>tc={9543C58D-5CCC-4D21-95AF-6EC83079E1EB}</author>
    <author>tc={A6F44FF6-166F-4E4D-8F6D-7EB06BFDE694}</author>
    <author>tc={A7977243-EA96-4823-85A3-DA4AB2357DDC}</author>
    <author>tc={F7074895-0E07-4C71-AE69-D5050C20732F}</author>
    <author>tc={20B20420-C1A0-403A-98A2-6F31D319FBAF}</author>
    <author>tc={75BE76EA-1008-4350-B2E8-46D1FE693012}</author>
    <author>tc={B3BDE0F3-81DF-4227-B904-D3FF3C7A1020}</author>
    <author>tc={589F76CE-3A53-4138-9CDF-15BEAE235331}</author>
    <author>tc={77E5DD05-8AD7-4B44-8B0D-31A3148DEEEC}</author>
    <author>tc={115F65B0-8EF5-432E-BFC2-C78E4FD85DBA}</author>
    <author>tc={C55DE0F7-C53A-44CC-975D-2E0BD8267399}</author>
    <author>tc={D506F9ED-B28F-42A2-8401-E0A09A4772B2}</author>
    <author>tc={BF0DB76B-3964-4209-9B63-AD210A421545}</author>
    <author>tc={9087B884-DA57-4F24-A385-2DB15A35330B}</author>
    <author>tc={DF77DB4C-C7FC-45BD-A28A-571E6657067F}</author>
  </authors>
  <commentList>
    <comment ref="BG2" authorId="0" shapeId="0" xr:uid="{A151B68E-0B33-4117-A808-D5411E0B9D0C}">
      <text>
        <t>[Comentario encadenado]
Tu versión de Excel te permite leer este comentario encadenado; sin embargo, las ediciones que se apliquen se quitarán si el archivo se abre en una versión más reciente de Excel. Más información: https://go.microsoft.com/fwlink/?linkid=870924
Comentario:
    AZUL PACIFICO-BLANCO</t>
      </text>
    </comment>
    <comment ref="BG3" authorId="1" shapeId="0" xr:uid="{DE4E0DBB-D017-4405-8443-0400BEB662D6}">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G4" authorId="2" shapeId="0" xr:uid="{88A01620-DDBA-4265-BC7A-D01B8CAA0CEE}">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 ARTICO</t>
      </text>
    </comment>
    <comment ref="BG5" authorId="3" shapeId="0" xr:uid="{AA372425-13C4-4704-B6B2-9D3EE4FF3DDE}">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G6" authorId="4" shapeId="0" xr:uid="{C1CAD4CE-C42F-4D0D-995C-6D833284FED1}">
      <text>
        <t>[Comentario encadenado]
Tu versión de Excel te permite leer este comentario encadenado; sin embargo, las ediciones que se apliquen se quitarán si el archivo se abre en una versión más reciente de Excel. Más información: https://go.microsoft.com/fwlink/?linkid=870924
Comentario:
    ROJO CABINA SE PREPARA ACA</t>
      </text>
    </comment>
    <comment ref="F7" authorId="5" shapeId="0" xr:uid="{070F1661-059E-4AC6-BD14-508BB3AAAFFA}">
      <text>
        <r>
          <rPr>
            <sz val="11"/>
            <color theme="1"/>
            <rFont val="Calibri"/>
            <family val="2"/>
            <scheme val="minor"/>
          </rPr>
          <t>ABONO (OT 1414 - 1415)
$ 17.850.000 27/07/2022
CHEQUE AL DIA</t>
        </r>
      </text>
    </comment>
    <comment ref="BG7" authorId="6" shapeId="0" xr:uid="{600AC744-D4DE-4913-95E8-F09C3753AABB}">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G8" authorId="7" shapeId="0" xr:uid="{9543C58D-5CCC-4D21-95AF-6EC83079E1EB}">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G9" authorId="8" shapeId="0" xr:uid="{A6F44FF6-166F-4E4D-8F6D-7EB06BFDE694}">
      <text>
        <t>[Comentario encadenado]
Tu versión de Excel te permite leer este comentario encadenado; sin embargo, las ediciones que se apliquen se quitarán si el archivo se abre en una versión más reciente de Excel. Más información: https://go.microsoft.com/fwlink/?linkid=870924
Comentario:
    ROJO BERMELLON</t>
      </text>
    </comment>
    <comment ref="BG11" authorId="9" shapeId="0" xr:uid="{A7977243-EA96-4823-85A3-DA4AB2357DDC}">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CAT</t>
      </text>
    </comment>
    <comment ref="BG12" authorId="10" shapeId="0" xr:uid="{F7074895-0E07-4C71-AE69-D5050C20732F}">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CAT</t>
      </text>
    </comment>
    <comment ref="BG13" authorId="11" shapeId="0" xr:uid="{20B20420-C1A0-403A-98A2-6F31D319FBAF}">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G14" authorId="12" shapeId="0" xr:uid="{75BE76EA-1008-4350-B2E8-46D1FE693012}">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G15" authorId="13" shapeId="0" xr:uid="{B3BDE0F3-81DF-4227-B904-D3FF3C7A1020}">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G16" authorId="14" shapeId="0" xr:uid="{589F76CE-3A53-4138-9CDF-15BEAE235331}">
      <text>
        <t>[Comentario encadenado]
Tu versión de Excel te permite leer este comentario encadenado; sin embargo, las ediciones que se apliquen se quitarán si el archivo se abre en una versión más reciente de Excel. Más información: https://go.microsoft.com/fwlink/?linkid=870924
Comentario:
    ROJO IDEM CABINA</t>
      </text>
    </comment>
    <comment ref="BG17" authorId="15" shapeId="0" xr:uid="{77E5DD05-8AD7-4B44-8B0D-31A3148DEEEC}">
      <text>
        <t>[Comentario encadenado]
Tu versión de Excel te permite leer este comentario encadenado; sin embargo, las ediciones que se apliquen se quitarán si el archivo se abre en una versión más reciente de Excel. Más información: https://go.microsoft.com/fwlink/?linkid=870924
Comentario:
    ROJO IDEM CABINA</t>
      </text>
    </comment>
    <comment ref="BG18" authorId="16" shapeId="0" xr:uid="{115F65B0-8EF5-432E-BFC2-C78E4FD85DBA}">
      <text>
        <t>[Comentario encadenado]
Tu versión de Excel te permite leer este comentario encadenado; sin embargo, las ediciones que se apliquen se quitarán si el archivo se abre en una versión más reciente de Excel. Más información: https://go.microsoft.com/fwlink/?linkid=870924
Comentario:
    ROJO IDEM CABINA</t>
      </text>
    </comment>
    <comment ref="BG19" authorId="17" shapeId="0" xr:uid="{C55DE0F7-C53A-44CC-975D-2E0BD8267399}">
      <text>
        <t>[Comentario encadenado]
Tu versión de Excel te permite leer este comentario encadenado; sin embargo, las ediciones que se apliquen se quitarán si el archivo se abre en una versión más reciente de Excel. Más información: https://go.microsoft.com/fwlink/?linkid=870924
Comentario:
    AZUL PACIFICO</t>
      </text>
    </comment>
    <comment ref="BG20" authorId="18" shapeId="0" xr:uid="{D506F9ED-B28F-42A2-8401-E0A09A4772B2}">
      <text>
        <t>[Comentario encadenado]
Tu versión de Excel te permite leer este comentario encadenado; sin embargo, las ediciones que se apliquen se quitarán si el archivo se abre en una versión más reciente de Excel. Más información: https://go.microsoft.com/fwlink/?linkid=870924
Comentario:
    AZUL PACIFICO</t>
      </text>
    </comment>
    <comment ref="BG21" authorId="19" shapeId="0" xr:uid="{BF0DB76B-3964-4209-9B63-AD210A421545}">
      <text>
        <t>[Comentario encadenado]
Tu versión de Excel te permite leer este comentario encadenado; sin embargo, las ediciones que se apliquen se quitarán si el archivo se abre en una versión más reciente de Excel. Más información: https://go.microsoft.com/fwlink/?linkid=870924
Comentario:
    ROJO CABINA</t>
      </text>
    </comment>
    <comment ref="BG23" authorId="20" shapeId="0" xr:uid="{9087B884-DA57-4F24-A385-2DB15A35330B}">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G24" authorId="21" shapeId="0" xr:uid="{DF77DB4C-C7FC-45BD-A28A-571E6657067F}">
      <text>
        <t>[Comentario encadenado]
Tu versión de Excel te permite leer este comentario encadenado; sin embargo, las ediciones que se apliquen se quitarán si el archivo se abre en una versión más reciente de Excel. Más información: https://go.microsoft.com/fwlink/?linkid=870924
Comentario:
    AZUL PACIFICO</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tc={8393535F-A78F-4A0B-A61D-1DE28A352BAE}</author>
    <author>tc={D3881C79-D45C-4D81-A10D-954232E64F38}</author>
    <author>tc={744FA802-952E-45D5-BEA9-2C367A734FEF}</author>
    <author>tc={EBFC60A6-1C4B-47EC-865E-74F9E5FE0A03}</author>
    <author>tc={5EBC988D-5BD3-4469-BC20-ACBB35208A21}</author>
    <author>tc={2CAD5B03-1A7A-4015-A07F-375F4CBFB780}</author>
    <author>tc={2DBAD2D3-96A9-43C9-A590-FC730F1963C5}</author>
    <author>tc={F5E01801-3E3A-4325-9956-27ED2E60DCCA}</author>
    <author>tc={DF82A24A-28D2-4763-BCCF-4CB1155DDDDA}</author>
    <author>tc={239E7675-E567-4F99-8556-26E08594FD71}</author>
    <author>tc={D76C143F-5852-4A68-AFAD-7923B2EBD799}</author>
    <author>tc={7134ADA4-986B-4FB0-86E4-9BE1FD54E6E7}</author>
    <author>tc={1D4F2015-1D9C-4125-8EDD-EC82BFBDA2A0}</author>
    <author>tc={027B52BB-0B34-48B8-84C7-F1D2D3AC0D65}</author>
    <author>tc={D3754714-C1A0-40C5-9125-0BB09E3C61F2}</author>
    <author>tc={F6875D7B-388F-4EF3-8187-20367EEB24B3}</author>
  </authors>
  <commentList>
    <comment ref="BG3" authorId="0" shapeId="0" xr:uid="{8393535F-A78F-4A0B-A61D-1DE28A352BA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AMARILLO IDEM CABINA
</t>
      </text>
    </comment>
    <comment ref="BG4" authorId="1" shapeId="0" xr:uid="{D3881C79-D45C-4D81-A10D-954232E64F3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AMARILLO IDEM CABINA
</t>
      </text>
    </comment>
    <comment ref="BG5" authorId="2" shapeId="0" xr:uid="{744FA802-952E-45D5-BEA9-2C367A734FE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AMARILLO IDEM CABINA
</t>
      </text>
    </comment>
    <comment ref="BG6" authorId="3" shapeId="0" xr:uid="{EBFC60A6-1C4B-47EC-865E-74F9E5FE0A0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NARANJO
</t>
      </text>
    </comment>
    <comment ref="BG7" authorId="4" shapeId="0" xr:uid="{5EBC988D-5BD3-4469-BC20-ACBB35208A21}">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G8" authorId="5" shapeId="0" xr:uid="{2CAD5B03-1A7A-4015-A07F-375F4CBFB78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AMARILLO IDEM CABINA
</t>
      </text>
    </comment>
    <comment ref="BG9" authorId="6" shapeId="0" xr:uid="{2DBAD2D3-96A9-43C9-A590-FC730F1963C5}">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G10" authorId="7" shapeId="0" xr:uid="{F5E01801-3E3A-4325-9956-27ED2E60DCCA}">
      <text>
        <t>[Comentario encadenado]
Tu versión de Excel te permite leer este comentario encadenado; sin embargo, las ediciones que se apliquen se quitarán si el archivo se abre en una versión más reciente de Excel. Más información: https://go.microsoft.com/fwlink/?linkid=870924
Comentario:
    AZUL PACIFICO</t>
      </text>
    </comment>
    <comment ref="BG11" authorId="8" shapeId="0" xr:uid="{DF82A24A-28D2-4763-BCCF-4CB1155DDDDA}">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G12" authorId="9" shapeId="0" xr:uid="{239E7675-E567-4F99-8556-26E08594FD71}">
      <text>
        <t>[Comentario encadenado]
Tu versión de Excel te permite leer este comentario encadenado; sin embargo, las ediciones que se apliquen se quitarán si el archivo se abre en una versión más reciente de Excel. Más información: https://go.microsoft.com/fwlink/?linkid=870924
Comentario:
    ROJO-AMARILLO-NEGRO</t>
      </text>
    </comment>
    <comment ref="BG14" authorId="10" shapeId="0" xr:uid="{D76C143F-5852-4A68-AFAD-7923B2EBD799}">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G15" authorId="11" shapeId="0" xr:uid="{7134ADA4-986B-4FB0-86E4-9BE1FD54E6E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GRIS </t>
      </text>
    </comment>
    <comment ref="BG16" authorId="12" shapeId="0" xr:uid="{1D4F2015-1D9C-4125-8EDD-EC82BFBDA2A0}">
      <text>
        <t>[Comentario encadenado]
Tu versión de Excel te permite leer este comentario encadenado; sin embargo, las ediciones que se apliquen se quitarán si el archivo se abre en una versión más reciente de Excel. Más información: https://go.microsoft.com/fwlink/?linkid=870924
Comentario:
    GRIS</t>
      </text>
    </comment>
    <comment ref="BG17" authorId="13" shapeId="0" xr:uid="{027B52BB-0B34-48B8-84C7-F1D2D3AC0D65}">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CABINA</t>
      </text>
    </comment>
    <comment ref="BG19" authorId="14" shapeId="0" xr:uid="{D3754714-C1A0-40C5-9125-0BB09E3C61F2}">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t>
      </text>
    </comment>
    <comment ref="BG20" authorId="15" shapeId="0" xr:uid="{F6875D7B-388F-4EF3-8187-20367EEB24B3}">
      <text>
        <t>[Comentario encadenado]
Tu versión de Excel te permite leer este comentario encadenado; sin embargo, las ediciones que se apliquen se quitarán si el archivo se abre en una versión más reciente de Excel. Más información: https://go.microsoft.com/fwlink/?linkid=870924
Comentario:
    AZUL PACIFICO</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tc={16323848-0B3B-41D1-BC14-3DE9B9B530C7}</author>
    <author>tc={A48C9B19-DE52-4B04-8B18-1A1B6D567DEA}</author>
    <author>tc={DA83DD48-1320-4F8E-B6CA-51D674DC58DB}</author>
    <author>tc={99DABCE6-9D21-4454-87DF-168C82FB71D4}</author>
    <author>tc={A0F79379-6AB5-4AD4-ABD6-2610C87D3175}</author>
    <author>tc={8A055674-3C6C-4A83-8ABC-F70FB9026D78}</author>
    <author>Autor</author>
    <author>tc={AEB54AD6-E263-4C69-ABF0-918E081F6966}</author>
    <author>tc={42BC562D-BC2D-411F-8014-ABD9C1450447}</author>
    <author>tc={EE68B96E-990A-4B10-AEA1-8FE9C625671F}</author>
    <author>tc={CAB4A580-8755-4F26-B136-C792207BFC43}</author>
    <author>tc={78831FB4-F9AE-4BD6-ABA7-6D75C029F688}</author>
  </authors>
  <commentList>
    <comment ref="BG2" authorId="0" shapeId="0" xr:uid="{16323848-0B3B-41D1-BC14-3DE9B9B530C7}">
      <text>
        <t>[Comentario encadenado]
Tu versión de Excel te permite leer este comentario encadenado; sin embargo, las ediciones que se apliquen se quitarán si el archivo se abre en una versión más reciente de Excel. Más información: https://go.microsoft.com/fwlink/?linkid=870924
Comentario:
    NARANJOP</t>
      </text>
    </comment>
    <comment ref="BG3" authorId="1" shapeId="0" xr:uid="{A48C9B19-DE52-4B04-8B18-1A1B6D567DEA}">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G4" authorId="2" shapeId="0" xr:uid="{DA83DD48-1320-4F8E-B6CA-51D674DC58D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AMARILLO 1023
</t>
      </text>
    </comment>
    <comment ref="BG5" authorId="3" shapeId="0" xr:uid="{99DABCE6-9D21-4454-87DF-168C82FB71D4}">
      <text>
        <t>[Comentario encadenado]
Tu versión de Excel te permite leer este comentario encadenado; sin embargo, las ediciones que se apliquen se quitarán si el archivo se abre en una versión más reciente de Excel. Más información: https://go.microsoft.com/fwlink/?linkid=870924
Comentario:
    AZUL PACIFICO</t>
      </text>
    </comment>
    <comment ref="BG6" authorId="4" shapeId="0" xr:uid="{A0F79379-6AB5-4AD4-ABD6-2610C87D3175}">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BG7" authorId="5" shapeId="0" xr:uid="{8A055674-3C6C-4A83-8ABC-F70FB9026D78}">
      <text>
        <t>[Comentario encadenado]
Tu versión de Excel te permite leer este comentario encadenado; sin embargo, las ediciones que se apliquen se quitarán si el archivo se abre en una versión más reciente de Excel. Más información: https://go.microsoft.com/fwlink/?linkid=870924
Comentario:
    BLANCO</t>
      </text>
    </comment>
    <comment ref="F8" authorId="6" shapeId="0" xr:uid="{45578A07-4A95-4DB6-A657-7A98ECAB5BE8}">
      <text>
        <r>
          <rPr>
            <sz val="11"/>
            <color theme="1"/>
            <rFont val="Calibri"/>
            <family val="2"/>
            <scheme val="minor"/>
          </rPr>
          <t>ABONO 
$ 5.000.000 05/08/2022 TRANSF.
$ 7.000.000 05/08/2022 TRANSF.
$ 5.000.000 15/09/2022 TRANSF.</t>
        </r>
      </text>
    </comment>
    <comment ref="BG8" authorId="7" shapeId="0" xr:uid="{AEB54AD6-E263-4C69-ABF0-918E081F6966}">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CABINA</t>
      </text>
    </comment>
    <comment ref="BG9" authorId="8" shapeId="0" xr:uid="{42BC562D-BC2D-411F-8014-ABD9C1450447}">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PILARES ROJO</t>
      </text>
    </comment>
    <comment ref="BG11" authorId="9" shapeId="0" xr:uid="{EE68B96E-990A-4B10-AEA1-8FE9C625671F}">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CABINA</t>
      </text>
    </comment>
    <comment ref="BG12" authorId="10" shapeId="0" xr:uid="{CAB4A580-8755-4F26-B136-C792207BFC43}">
      <text>
        <t>[Comentario encadenado]
Tu versión de Excel te permite leer este comentario encadenado; sin embargo, las ediciones que se apliquen se quitarán si el archivo se abre en una versión más reciente de Excel. Más información: https://go.microsoft.com/fwlink/?linkid=870924
Comentario:
    AMARILLO CABINA</t>
      </text>
    </comment>
    <comment ref="BG13" authorId="11" shapeId="0" xr:uid="{78831FB4-F9AE-4BD6-ABA7-6D75C029F688}">
      <text>
        <t>[Comentario encadenado]
Tu versión de Excel te permite leer este comentario encadenado; sin embargo, las ediciones que se apliquen se quitarán si el archivo se abre en una versión más reciente de Excel. Más información: https://go.microsoft.com/fwlink/?linkid=870924
Comentario:
    ROJO IDEM CABINA</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tc={17495EB0-AEE8-47F9-928E-BDD67DD83F2A}</author>
    <author>tc={16755096-306F-4625-9A16-40EF9746490B}</author>
    <author>tc={4838807A-932D-4CD5-8E04-2876FAACF399}</author>
    <author>tc={BC098FCC-8E1A-4D12-A984-93D1779FD395}</author>
    <author>tc={33435FEA-BAD6-4897-A7CA-417D2D369F9D}</author>
  </authors>
  <commentList>
    <comment ref="J7" authorId="0" shapeId="0" xr:uid="{17495EB0-AEE8-47F9-928E-BDD67DD83F2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25-feb-26
</t>
      </text>
    </comment>
    <comment ref="L31" authorId="1" shapeId="0" xr:uid="{16755096-306F-4625-9A16-40EF9746490B}">
      <text>
        <t>[Comentario encadenado]
Tu versión de Excel te permite leer este comentario encadenado; sin embargo, las ediciones que se apliquen se quitarán si el archivo se abre en una versión más reciente de Excel. Más información: https://go.microsoft.com/fwlink/?linkid=870924
Comentario:
    NO INCLUYE MONTAJE</t>
      </text>
    </comment>
    <comment ref="J42" authorId="2" shapeId="0" xr:uid="{4838807A-932D-4CD5-8E04-2876FAACF399}">
      <text>
        <t>[Comentario encadenado]
Tu versión de Excel te permite leer este comentario encadenado; sin embargo, las ediciones que se apliquen se quitarán si el archivo se abre en una versión más reciente de Excel. Más información: https://go.microsoft.com/fwlink/?linkid=870924
Comentario:
    DEVOLUCION DE CAMION A SALFA LLEGADA 20-ABR-26
ENTREGA 18-may-26</t>
      </text>
    </comment>
    <comment ref="J43" authorId="3" shapeId="0" xr:uid="{BC098FCC-8E1A-4D12-A984-93D1779FD395}">
      <text>
        <t>[Comentario encadenado]
Tu versión de Excel te permite leer este comentario encadenado; sin embargo, las ediciones que se apliquen se quitarán si el archivo se abre en una versión más reciente de Excel. Más información: https://go.microsoft.com/fwlink/?linkid=870924
Comentario:
    DEVOLUCION DE CAMION A SALFA LLEGADA 11-may-26
ENTREGA 15-may-26</t>
      </text>
    </comment>
    <comment ref="L53" authorId="4" shapeId="0" xr:uid="{33435FEA-BAD6-4897-A7CA-417D2D369F9D}">
      <text>
        <t>[Comentario encadenado]
Tu versión de Excel te permite leer este comentario encadenado; sin embargo, las ediciones que se apliquen se quitarán si el archivo se abre en una versión más reciente de Excel. Más información: https://go.microsoft.com/fwlink/?linkid=870924
Comentario:
    LUBRICADOR $ 48.100.000 + 
EST. ADBLUE $ 6.190.000</t>
      </text>
    </comment>
  </commentList>
</comments>
</file>

<file path=xl/sharedStrings.xml><?xml version="1.0" encoding="utf-8"?>
<sst xmlns="http://schemas.openxmlformats.org/spreadsheetml/2006/main" count="28977" uniqueCount="1037">
  <si>
    <t>SOBRE ESTE DIAGRAMA DE GANTT</t>
  </si>
  <si>
    <t xml:space="preserve">Visualice y realice un seguimiento de sus proyectos con esta plantilla de diagrama de Gantt. Para empezar, escriba las tareas en las que está trabajando en la sección Descripción de hito y, después, escriba los detalles de cada tarea. Los datos se actualizarán automáticamente y es fácil insertar nuevas tareas o usar la barra de desplazamiento para desplazarse por la escala de tiempo. </t>
  </si>
  <si>
    <t xml:space="preserve">• Use Progreso para agregar la cantidad del proyecto que ha terminado agregando un número de porcentaje. 
• Agregue el día en que inició el proyecto en Fecha de inicio. 
• Complete los cálculos rellenando el número de días que necesita para completar el proyecto en el campo Nro. de días. </t>
  </si>
  <si>
    <t xml:space="preserve"> </t>
  </si>
  <si>
    <t>Cliente Interno</t>
  </si>
  <si>
    <t>Cliente</t>
  </si>
  <si>
    <t>Equipo</t>
  </si>
  <si>
    <t>Modelo/Capacidad</t>
  </si>
  <si>
    <t>Camion</t>
  </si>
  <si>
    <t>Modelo</t>
  </si>
  <si>
    <t>Vin / Patente</t>
  </si>
  <si>
    <t>VALOR NETO</t>
  </si>
  <si>
    <t>%</t>
  </si>
  <si>
    <t>SM</t>
  </si>
  <si>
    <t>Fecha</t>
  </si>
  <si>
    <t>INGENIERIA</t>
  </si>
  <si>
    <t>CORTE Y PLEGADO</t>
  </si>
  <si>
    <t>ARMADO</t>
  </si>
  <si>
    <t>MONTAJE</t>
  </si>
  <si>
    <t>PINTURA</t>
  </si>
  <si>
    <t>HIDRAULICA</t>
  </si>
  <si>
    <t>TERMINACIONES</t>
  </si>
  <si>
    <t>CENTRO EQUIPOS</t>
  </si>
  <si>
    <t>VOLVO</t>
  </si>
  <si>
    <t>ALJIBE</t>
  </si>
  <si>
    <t>20 M³</t>
  </si>
  <si>
    <t>VM 330</t>
  </si>
  <si>
    <t>OK</t>
  </si>
  <si>
    <t xml:space="preserve">OK </t>
  </si>
  <si>
    <t>ETP</t>
  </si>
  <si>
    <t>KAUFMANN / CMT</t>
  </si>
  <si>
    <t>COMBUSTIBLE</t>
  </si>
  <si>
    <t>6 M³</t>
  </si>
  <si>
    <t>M.BENZ</t>
  </si>
  <si>
    <t>CARROCERIA MINERA</t>
  </si>
  <si>
    <t>6.300x2.600x4x500 + PIÑAS</t>
  </si>
  <si>
    <t>FMX 420</t>
  </si>
  <si>
    <t>SALFA</t>
  </si>
  <si>
    <t>TOLVA</t>
  </si>
  <si>
    <t>TFR 24 M³ + PUERTA MINERA</t>
  </si>
  <si>
    <t>MACK</t>
  </si>
  <si>
    <t>GRANITE</t>
  </si>
  <si>
    <t>CARMONA</t>
  </si>
  <si>
    <t>TPI 15 M³</t>
  </si>
  <si>
    <t>V.WAGEN</t>
  </si>
  <si>
    <t>KAUFMANN</t>
  </si>
  <si>
    <t>LUBRICADOR</t>
  </si>
  <si>
    <t>MIXTO</t>
  </si>
  <si>
    <t>BESALCO</t>
  </si>
  <si>
    <t>15 M³</t>
  </si>
  <si>
    <t>INTER</t>
  </si>
  <si>
    <t>GKPH-94</t>
  </si>
  <si>
    <t>DIFOR</t>
  </si>
  <si>
    <t>TPI 14 A 15 M³</t>
  </si>
  <si>
    <t>MUNI. DE PERQUENCO</t>
  </si>
  <si>
    <t>TPI 12 M³ A 14 M³</t>
  </si>
  <si>
    <t>TRE 8 M³</t>
  </si>
  <si>
    <t>TRANSERIK</t>
  </si>
  <si>
    <t>TPI 16 M³ A 17 M³</t>
  </si>
  <si>
    <t>TFR 22 M³ + PUERTA MINERA</t>
  </si>
  <si>
    <t>RENAULT</t>
  </si>
  <si>
    <t>K 480</t>
  </si>
  <si>
    <t>AUTO SUMMIT</t>
  </si>
  <si>
    <t>ok</t>
  </si>
  <si>
    <t>PORSCHE / LABEL ING.</t>
  </si>
  <si>
    <t>SALFA / ISLA DE MAIPO</t>
  </si>
  <si>
    <t>ATMOSFERICO</t>
  </si>
  <si>
    <t>13 M³</t>
  </si>
  <si>
    <t>CHEVROLET</t>
  </si>
  <si>
    <t>FVR 1826</t>
  </si>
  <si>
    <t>DOCALL</t>
  </si>
  <si>
    <t>TRE 4 M³ A 5 M³ CON NICHO</t>
  </si>
  <si>
    <t>9-170</t>
  </si>
  <si>
    <t>Solo Para Bono</t>
  </si>
  <si>
    <t>Total equipo Febrero</t>
  </si>
  <si>
    <t>Equ. Fab. Y Facturado</t>
  </si>
  <si>
    <t xml:space="preserve">Equ. Facturado semanal </t>
  </si>
  <si>
    <t>31/01 al 4/02</t>
  </si>
  <si>
    <t>7/02 al 11/02</t>
  </si>
  <si>
    <t>14/02 al 18/02</t>
  </si>
  <si>
    <t>21/02 al 25/02</t>
  </si>
  <si>
    <t>28/02 al 4/03</t>
  </si>
  <si>
    <t>7/03 al 11/03</t>
  </si>
  <si>
    <t>Mix de Producto</t>
  </si>
  <si>
    <t xml:space="preserve">      </t>
  </si>
  <si>
    <t>COMBUSTIBLE AVIACION</t>
  </si>
  <si>
    <t>Distribucion de Hora Extra</t>
  </si>
  <si>
    <t>Hora Extra Entre semana</t>
  </si>
  <si>
    <t>Sabado</t>
  </si>
  <si>
    <t>Domingo</t>
  </si>
  <si>
    <t>Feriado</t>
  </si>
  <si>
    <t>Total Hora Extra</t>
  </si>
  <si>
    <t>OT</t>
  </si>
  <si>
    <t>PORSCHE / LAURO</t>
  </si>
  <si>
    <t>20 M³ INOX</t>
  </si>
  <si>
    <t xml:space="preserve">OSERVIN </t>
  </si>
  <si>
    <t>TRE 10 M³ A 12 M³ INOX</t>
  </si>
  <si>
    <t>TPI 14 M³</t>
  </si>
  <si>
    <t>VOLVO / M.VALDIVIA</t>
  </si>
  <si>
    <t>MOVITEC</t>
  </si>
  <si>
    <t>LUBRICADOR CERRADO</t>
  </si>
  <si>
    <t>JUAN CONTRERAS</t>
  </si>
  <si>
    <t>10 M³</t>
  </si>
  <si>
    <t>KOVACS</t>
  </si>
  <si>
    <t>10 M³ INOX + MOTOBOMBA</t>
  </si>
  <si>
    <t>FVR 1724</t>
  </si>
  <si>
    <t>SCANIA</t>
  </si>
  <si>
    <t>15 M³ + ESCALERA MELL</t>
  </si>
  <si>
    <t>P 410</t>
  </si>
  <si>
    <t>PORSCHE</t>
  </si>
  <si>
    <t>J.VERDEJO - PTO</t>
  </si>
  <si>
    <t>8 M³</t>
  </si>
  <si>
    <t>CYWY-86</t>
  </si>
  <si>
    <t>Total equipo Enero</t>
  </si>
  <si>
    <t>3/01 al 7/01</t>
  </si>
  <si>
    <t>10/01 al 14/01</t>
  </si>
  <si>
    <t>17/01 al 21/01</t>
  </si>
  <si>
    <t>24/01 al 28/01</t>
  </si>
  <si>
    <t>Prioridad</t>
  </si>
  <si>
    <t>Dia</t>
  </si>
  <si>
    <t>PTO</t>
  </si>
  <si>
    <t>BBA H</t>
  </si>
  <si>
    <t>CILINDRO</t>
  </si>
  <si>
    <t>DERIVADORA</t>
  </si>
  <si>
    <t>MOTOR H</t>
  </si>
  <si>
    <t>BBA CENT.</t>
  </si>
  <si>
    <t>BBA VACIO</t>
  </si>
  <si>
    <t>Entregada</t>
  </si>
  <si>
    <t>-</t>
  </si>
  <si>
    <t xml:space="preserve">15 M³ XAR </t>
  </si>
  <si>
    <t>MAN</t>
  </si>
  <si>
    <t>TGS 33.480</t>
  </si>
  <si>
    <t>OSERVIM</t>
  </si>
  <si>
    <t xml:space="preserve">KAUFMANN </t>
  </si>
  <si>
    <t xml:space="preserve">PORSCHE </t>
  </si>
  <si>
    <t>TRE 6 M³ A 8 M³</t>
  </si>
  <si>
    <t>CHILE ARIDOS</t>
  </si>
  <si>
    <t>TPI 14 M³ + PUERTA MINERA</t>
  </si>
  <si>
    <t>MAESTRANZA ALEMANIA</t>
  </si>
  <si>
    <t>FURGON CERRADO</t>
  </si>
  <si>
    <t>USIMECA</t>
  </si>
  <si>
    <t xml:space="preserve">14.5 + 1 M³ </t>
  </si>
  <si>
    <t>JET A1 10 M³</t>
  </si>
  <si>
    <t>VOLVO / PATRICIO ALVARADO</t>
  </si>
  <si>
    <t>6 M³ + 1 M³ ADDBLUE</t>
  </si>
  <si>
    <t>MUNI. DE LOS ALAMOS</t>
  </si>
  <si>
    <t>8 M³ + 2 M³</t>
  </si>
  <si>
    <t>HINO</t>
  </si>
  <si>
    <t>PTO 97</t>
  </si>
  <si>
    <t>Total equipo Marzo</t>
  </si>
  <si>
    <t>Equipo Fab. hasta</t>
  </si>
  <si>
    <t>28/02 al 04/03</t>
  </si>
  <si>
    <t>07/03 a 11/03</t>
  </si>
  <si>
    <t>14/03 a 18/03</t>
  </si>
  <si>
    <t>21/03 a 25/03</t>
  </si>
  <si>
    <t>28/03 a 01/04</t>
  </si>
  <si>
    <t>04/04 A 08/04</t>
  </si>
  <si>
    <t>Total</t>
  </si>
  <si>
    <t>Observaciones</t>
  </si>
  <si>
    <t>Atrasos por Areas</t>
  </si>
  <si>
    <t>Motivos de Atrasos</t>
  </si>
  <si>
    <t>Mar</t>
  </si>
  <si>
    <t>Mie</t>
  </si>
  <si>
    <t>Jue</t>
  </si>
  <si>
    <t>Vie</t>
  </si>
  <si>
    <t>Sab</t>
  </si>
  <si>
    <t>Dom</t>
  </si>
  <si>
    <t>Lun</t>
  </si>
  <si>
    <t>Falta maquina de soldar para completar cuadrilla de armado (Afecta avance en OT 1397)</t>
  </si>
  <si>
    <t>AR-A</t>
  </si>
  <si>
    <t>FM</t>
  </si>
  <si>
    <t xml:space="preserve">Problema en maquina, Torno averiado </t>
  </si>
  <si>
    <t>CP-A</t>
  </si>
  <si>
    <t>Hector Gonzalez, Ausente por motivo medio (Afecto avance en OT 1293 TFR 24M³)</t>
  </si>
  <si>
    <t>AP</t>
  </si>
  <si>
    <t>Falla en Yale</t>
  </si>
  <si>
    <t>John Anton Ausente por motivo medido (Afecto avance en OT 973 Comb. 20M³)</t>
  </si>
  <si>
    <t>Falla Electrica en el sector</t>
  </si>
  <si>
    <t>TMI</t>
  </si>
  <si>
    <t>FS</t>
  </si>
  <si>
    <t>Ausencia de personal en el area de montaje (Carlos Galdamez y Sergio Manque) (Afecta avance en OT 1292 y 1202)</t>
  </si>
  <si>
    <t>MON-A</t>
  </si>
  <si>
    <t xml:space="preserve">Renuncia de Batian Varga </t>
  </si>
  <si>
    <t>HID-A</t>
  </si>
  <si>
    <t>Reproceso en OT 1402 TPI 14M³ Por falta de informacion del aera de ventas (Afecta avance en OT 1328 Alj 20M³)</t>
  </si>
  <si>
    <t>REP</t>
  </si>
  <si>
    <t>Atraso en fabricacion de OT 1364 Comb. 18M³ por empalme de tapas de aljibe OT 1378 Alj. Inox 20M³</t>
  </si>
  <si>
    <t>CAP</t>
  </si>
  <si>
    <t>Falla en Yale, Atraso en cilindrado de OT 1364 Comb. 18M³</t>
  </si>
  <si>
    <t xml:space="preserve">Reproceso en OT 1268 Alj 20M³ Por falta de informacion del aera de ventas (Afecta avance en OT 1328 Alj 20M³)				</t>
  </si>
  <si>
    <t>Atraso en fabricacion de OT 1364 Comb. 18M³ por problemas en tapas</t>
  </si>
  <si>
    <t>FMAT</t>
  </si>
  <si>
    <t>Ausencia de personal en el area de Hidraulica (Jonathan Soto Afecta avance en OT 1268)</t>
  </si>
  <si>
    <t>Problema en maquina, sierra (Se requiere una hoja mas pequeña)</t>
  </si>
  <si>
    <t>Problema en plegadora  presenta un error y la cortina está bajando muy lento</t>
  </si>
  <si>
    <t>Ausencia de personal en el area de Maquina (Oscar Nuñes Afecta avance en OT 1250 y 1155)</t>
  </si>
  <si>
    <t xml:space="preserve">Ausencia de personal en el area de Armado (Paolo Zuetta y John Aton Afecta avance en OT 1335 y 973)					</t>
  </si>
  <si>
    <t>Se detiene trabajo en ot 1364 Comb. 18M³</t>
  </si>
  <si>
    <t>Se presente atraso en OT 1250 TPI 12 a 14 M³ por manguera quemada en mesa de corte (Pana de 3 Hora aprox)</t>
  </si>
  <si>
    <t xml:space="preserve">Ausencia de personal en el area de Armado (John Aton Afecta avance en OT 973)					</t>
  </si>
  <si>
    <t>Atraso en aera hidraulica por falta de material enviada a pato vidal (Afecta OT 1241 y 1328)</t>
  </si>
  <si>
    <t>Atraso en ot 1364 por falta de tapas</t>
  </si>
  <si>
    <t>Atraso por falta de mecanizado (Adecta OT 1293 y 1397)</t>
  </si>
  <si>
    <t>Ausencia de personal en el area de Armado (Luis Chauca y Manuel Salina Afecta avance en OT 1335)</t>
  </si>
  <si>
    <t>Falta de material acero para tolva</t>
  </si>
  <si>
    <t>Ausencia de personal en el area de montaje rafecta avance OT 1336</t>
  </si>
  <si>
    <t>Medio dia de 2 cuadrilla de armado parado por falta de material</t>
  </si>
  <si>
    <t>LEYENDA DE ATRASOS POR AREAS</t>
  </si>
  <si>
    <t>ING-A</t>
  </si>
  <si>
    <t>INGENIERIA = ING-ATRASO</t>
  </si>
  <si>
    <t>CORTE Y PLEGADO = CP-ATRASO</t>
  </si>
  <si>
    <t>ARMADO Y REMATE = AR-ATRASO</t>
  </si>
  <si>
    <t>MONTAJE = MON-ATRASO</t>
  </si>
  <si>
    <t>HIDRAULICA = HID-ATRASO</t>
  </si>
  <si>
    <t>PIN-A</t>
  </si>
  <si>
    <t>PINTURA = PIN-ATRASO</t>
  </si>
  <si>
    <t>TERM-A</t>
  </si>
  <si>
    <t>TERMINACIONES = TERM-ATRASO</t>
  </si>
  <si>
    <t>VEN-A</t>
  </si>
  <si>
    <t>VENTAS = VEN-ATRASO</t>
  </si>
  <si>
    <t>PS-A</t>
  </si>
  <si>
    <t>PATIO STOCK = PS-ATRASO</t>
  </si>
  <si>
    <t>TIEMPO MUERTO INICIO = TMI</t>
  </si>
  <si>
    <t>TMS</t>
  </si>
  <si>
    <t>TIEMPO MUERTO STOCK = TMS</t>
  </si>
  <si>
    <t>MOTIVOS DE ATRASOS</t>
  </si>
  <si>
    <t>FALLA MAQUINARIA</t>
  </si>
  <si>
    <t>FALTA MATERIAL</t>
  </si>
  <si>
    <t>FALLA SUMINISTRO</t>
  </si>
  <si>
    <t>FH</t>
  </si>
  <si>
    <t>FALTA HERRAMIENTA</t>
  </si>
  <si>
    <t>AUSENCIA PERSONAL</t>
  </si>
  <si>
    <t>EP</t>
  </si>
  <si>
    <t>ESPERA PROSESO</t>
  </si>
  <si>
    <t>CAMBIO PRIORIDAD</t>
  </si>
  <si>
    <t>PC</t>
  </si>
  <si>
    <t>PROBLEMA EN CAMION</t>
  </si>
  <si>
    <t>REPROCESO</t>
  </si>
  <si>
    <t>GA</t>
  </si>
  <si>
    <t>GARANTIA</t>
  </si>
  <si>
    <t>SI</t>
  </si>
  <si>
    <t>SIN INFORMACION</t>
  </si>
  <si>
    <t>SC</t>
  </si>
  <si>
    <t>SIN CAMION</t>
  </si>
  <si>
    <t>ET</t>
  </si>
  <si>
    <t>ESPERA TERCEROS</t>
  </si>
  <si>
    <t>STOCK</t>
  </si>
  <si>
    <t>Bomba Comb.</t>
  </si>
  <si>
    <t>Stock</t>
  </si>
  <si>
    <t>Cuenta Litro</t>
  </si>
  <si>
    <t>Kit Combustible</t>
  </si>
  <si>
    <t>Carrete</t>
  </si>
  <si>
    <t>Manguera</t>
  </si>
  <si>
    <t>Pistola</t>
  </si>
  <si>
    <t xml:space="preserve">Microfiltro </t>
  </si>
  <si>
    <t>Pintura</t>
  </si>
  <si>
    <t xml:space="preserve">Stock </t>
  </si>
  <si>
    <t>Acero</t>
  </si>
  <si>
    <t>INCORPORADO</t>
  </si>
  <si>
    <t>Bezares 120</t>
  </si>
  <si>
    <t>Hyva 179-5</t>
  </si>
  <si>
    <t>guia 2623 Hyva</t>
  </si>
  <si>
    <t>4.5 GL.</t>
  </si>
  <si>
    <t>planta</t>
  </si>
  <si>
    <t>PLANTA</t>
  </si>
  <si>
    <t>guia 2649 Hyva</t>
  </si>
  <si>
    <t>BEZARES</t>
  </si>
  <si>
    <t>Bezares 80</t>
  </si>
  <si>
    <t>Hyva 137-3</t>
  </si>
  <si>
    <t>3 GL</t>
  </si>
  <si>
    <t>PORSCHE / QUILIN</t>
  </si>
  <si>
    <t>guia 2647 Hyva</t>
  </si>
  <si>
    <t>Hyva 157-4</t>
  </si>
  <si>
    <t>Bezares 100</t>
  </si>
  <si>
    <t>guia 20.04.2022</t>
  </si>
  <si>
    <t>NARANJO</t>
  </si>
  <si>
    <t>CECOR</t>
  </si>
  <si>
    <t>TPI 12 M³</t>
  </si>
  <si>
    <t>FALTA CAMION</t>
  </si>
  <si>
    <t>BINOTTO 1494</t>
  </si>
  <si>
    <t>DOCAL</t>
  </si>
  <si>
    <t>EQUIPOS Y CAMIONES</t>
  </si>
  <si>
    <t>20 M³ AGUA INDUSTRIAL</t>
  </si>
  <si>
    <t>POR DEFINIR</t>
  </si>
  <si>
    <t>4 GL.</t>
  </si>
  <si>
    <t>PLanta</t>
  </si>
  <si>
    <t>ALCANT. CONDOR</t>
  </si>
  <si>
    <t>20 + 3</t>
  </si>
  <si>
    <t>PORSCHE / TRANSP. LLAIMA</t>
  </si>
  <si>
    <t>TOLVA TPI 15 M³ + KIT DE ARRASTRE + KIT HIDR.</t>
  </si>
  <si>
    <t>VOLVO / ALVARO VILLEGA</t>
  </si>
  <si>
    <t>2 GL</t>
  </si>
  <si>
    <t>PLATAFORMA LUBRICADOR</t>
  </si>
  <si>
    <t>Total equipo Abril</t>
  </si>
  <si>
    <t>04/04 a 08/04</t>
  </si>
  <si>
    <t>11/04 a 15/04</t>
  </si>
  <si>
    <t>18/04 a 22/04</t>
  </si>
  <si>
    <t>25/04 a 30/04</t>
  </si>
  <si>
    <t>02/05 a 07/05</t>
  </si>
  <si>
    <t>Ausencia de personal en armardo (Paolo Suetta y Sylvestre)</t>
  </si>
  <si>
    <t>Ausencia de personal en Montaje (Nelson Moraga Afecta avance en OT 1250)</t>
  </si>
  <si>
    <t>Falta de material atrasa fabricacion (Acero)</t>
  </si>
  <si>
    <t>Ausencia de personal en armardo (Gustavo Vega)</t>
  </si>
  <si>
    <t>Ausencia de personal en Montaje (Carlos Galdames Afecta avance en OT 1336)</t>
  </si>
  <si>
    <t xml:space="preserve">Ausencia de personal en maquina (Fredy Morales Afecta produccion en general) </t>
  </si>
  <si>
    <t>2 Cuadrilla de armado detenida por cambio de prioridad en maquina y falta de material (Acero)</t>
  </si>
  <si>
    <t>se detiene OT 1363 y 1410 por cambio de prioridad</t>
  </si>
  <si>
    <t>Ausencia de personal en armardo (Rene Polo)</t>
  </si>
  <si>
    <t>OT 1192 se detiene por cambio de prioridad</t>
  </si>
  <si>
    <t>OT 1191 se detiene por cambio de prioridad</t>
  </si>
  <si>
    <t>Reproceso en ot 1335 por mal cierre de puerta</t>
  </si>
  <si>
    <t>Atraso en el area de montaje por falta de camiones</t>
  </si>
  <si>
    <t>Ausencia de personal en Montaje (Nelson Moraga) Afecta avance ot 1378</t>
  </si>
  <si>
    <t>Atraso en el area de montaje por reproceso en OT 1335 y 1336</t>
  </si>
  <si>
    <t>Atraso en el area de montaje por falta de comion para ot 1378 y se asigna estanque a ot 1375</t>
  </si>
  <si>
    <t xml:space="preserve">Atraso en Ingenieria por cambio de prioridad					</t>
  </si>
  <si>
    <t>Atraso en corte y plegado por cambio de prioridad</t>
  </si>
  <si>
    <t>Ausencia de personal Nelson Moraga por licencia medica</t>
  </si>
  <si>
    <t xml:space="preserve">Falla en yale </t>
  </si>
  <si>
    <t>Atraso en la produccion por falta de materia prima procesada</t>
  </si>
  <si>
    <t xml:space="preserve">Atraso en OT 1202 por falta de componentes hidraulicos 					</t>
  </si>
  <si>
    <t>Ausencia de personal Rene Polo por licencia medica POR 5 DIAS</t>
  </si>
  <si>
    <t>Atraso en montaje por cambio de prioridad por camion de OT 973 a 1364</t>
  </si>
  <si>
    <t xml:space="preserve">Atraso en OT 1202 por falta de componentes hidraulicos </t>
  </si>
  <si>
    <t>Ausencia de personal en Montaje (Jonathan Escudero)</t>
  </si>
  <si>
    <t>Atraso en el area de armado por movimientos con el yale</t>
  </si>
  <si>
    <t>Atraso en area de montaje por falta de personal de planos</t>
  </si>
  <si>
    <t xml:space="preserve">Ausencia de personal en armardo (Paolo Suetta) Vacaciones </t>
  </si>
  <si>
    <t>Ausencia de personal en montaje (Sergio Manque)</t>
  </si>
  <si>
    <t>Ausencia de personal en montaje (Luis Chauca)</t>
  </si>
  <si>
    <t>Ausencia de personal en montaje (Nelson Moraga) Licencia medica</t>
  </si>
  <si>
    <t>Ausencia de personal en montaje (Moises Busto) Medio dia</t>
  </si>
  <si>
    <t>Medio dia 2 cuadrilla parada por falta de material procesado</t>
  </si>
  <si>
    <t>Carlos Galdames ausente medio dia por vacunacion</t>
  </si>
  <si>
    <t>Medio dia 1 cuadrilla parada por falta de mterial procesado</t>
  </si>
  <si>
    <t>Atraso por Falta de soldadura inoxidable</t>
  </si>
  <si>
    <t>Se detiene OT 1403 Lubricador de techin por falta de acero Plancha en 4mm</t>
  </si>
  <si>
    <t>Una cuadrilla de 3 persona se escuentra trabjando en JET A1 Reproceso.</t>
  </si>
  <si>
    <t>Atraso en OT 1369 por falta de planos para refuerzo de estanque</t>
  </si>
  <si>
    <t>Falla en yale  Fuera de servicio</t>
  </si>
  <si>
    <t>Atraso en OT 1374 por falta de material procesado (Corte y plegado)</t>
  </si>
  <si>
    <t>Atraso en el area de montaje por reparacion de estanque de combustible cliente mies</t>
  </si>
  <si>
    <t>Ausencia de personal en pintura (Ketnel)</t>
  </si>
  <si>
    <t>Ausencia de personal en Corte y plegado (Oscar Nuñez)</t>
  </si>
  <si>
    <t>Ausencia de personal en montaje (Maxi Rojas) Medio dia</t>
  </si>
  <si>
    <t>Medio dia 2 cuadrilla parada en el area de armado por falta de material procesado</t>
  </si>
  <si>
    <t xml:space="preserve">Atraso en area de armado por mal plegado en OT 1270 </t>
  </si>
  <si>
    <t>Atraso en el area de montaje por reparacion de estanque de combustible cliente mies (MEDIO DIA)</t>
  </si>
  <si>
    <t>Falla en yale Fuera de servicio</t>
  </si>
  <si>
    <t>Ausencia de personal en hidraulica (Richard Obreque) Licencia medica por 5 Dias</t>
  </si>
  <si>
    <t xml:space="preserve">Atraso en area de armado por falta de pilares en OT 1270 </t>
  </si>
  <si>
    <t>1 Cuadrilla parada por falta de material procesado</t>
  </si>
  <si>
    <t>Solo se trabajo medio dia por compartir del dia del trabajador</t>
  </si>
  <si>
    <t>ESPERA PROCESO</t>
  </si>
  <si>
    <t>Entregado</t>
  </si>
  <si>
    <t>TFR 25 M³</t>
  </si>
  <si>
    <t>FMX</t>
  </si>
  <si>
    <t>Hyva 169-4</t>
  </si>
  <si>
    <t>4 GL</t>
  </si>
  <si>
    <t>TRE 12 A 14 M³</t>
  </si>
  <si>
    <t>Hyva 137-4</t>
  </si>
  <si>
    <t>G500B</t>
  </si>
  <si>
    <t>TPI 15 M³ + GANCHO DE TIRO</t>
  </si>
  <si>
    <t>MAURICIO VALDIVIA</t>
  </si>
  <si>
    <t>AUTOSUMMIT / T VABA</t>
  </si>
  <si>
    <t>---------------</t>
  </si>
  <si>
    <t>LAURO RIOS</t>
  </si>
  <si>
    <t>SIN T/F</t>
  </si>
  <si>
    <t>--------------</t>
  </si>
  <si>
    <t>20 M³ AF</t>
  </si>
  <si>
    <t>4"</t>
  </si>
  <si>
    <t>m25 - m10</t>
  </si>
  <si>
    <t>valvulas</t>
  </si>
  <si>
    <t>1"-11/2" - 21/2"</t>
  </si>
  <si>
    <t>1" - 11/2" - 21/2"</t>
  </si>
  <si>
    <t>1" - 11/2" . - VR 300</t>
  </si>
  <si>
    <t>SOLICITADA</t>
  </si>
  <si>
    <t>300 glp</t>
  </si>
  <si>
    <t>3 M³ MINERO</t>
  </si>
  <si>
    <t>NPR 816</t>
  </si>
  <si>
    <t>BLACKMER 21/2</t>
  </si>
  <si>
    <t>SOLICITADO</t>
  </si>
  <si>
    <t>M7 LIQUID CONTROL</t>
  </si>
  <si>
    <t>VALVULAS</t>
  </si>
  <si>
    <t>11/2 - 1" IPT</t>
  </si>
  <si>
    <t>15 MT 1" 15 MTS 11/2</t>
  </si>
  <si>
    <t>FLOMAX 11/2 - OPW 1"</t>
  </si>
  <si>
    <t>NO</t>
  </si>
  <si>
    <t xml:space="preserve"> ----------</t>
  </si>
  <si>
    <t>DEFINIR</t>
  </si>
  <si>
    <t>INTERNATIONAL</t>
  </si>
  <si>
    <t>IPT 2"</t>
  </si>
  <si>
    <t>M5</t>
  </si>
  <si>
    <t>9039 PTO</t>
  </si>
  <si>
    <t>11/2 X 15 MTS</t>
  </si>
  <si>
    <t xml:space="preserve">OPW 11/2 </t>
  </si>
  <si>
    <t>SEPARADOR DE AGUA</t>
  </si>
  <si>
    <t>GRIS</t>
  </si>
  <si>
    <t>SACYR</t>
  </si>
  <si>
    <t>18 M³ +  2M³</t>
  </si>
  <si>
    <t>EQUIP. Y  CAM. / TRANSP. ARANCIBIA</t>
  </si>
  <si>
    <t>4.700x2.300x500</t>
  </si>
  <si>
    <t>XZU 616</t>
  </si>
  <si>
    <t>6.300x2.400x500</t>
  </si>
  <si>
    <t>FC 1118</t>
  </si>
  <si>
    <t>Total equipo Mayo</t>
  </si>
  <si>
    <t>Equipo Fab hasta</t>
  </si>
  <si>
    <t>09/05 a 14/05</t>
  </si>
  <si>
    <t>16/05 a 21/05</t>
  </si>
  <si>
    <t>23/05 a 28/05</t>
  </si>
  <si>
    <t>30/05 a 04/06</t>
  </si>
  <si>
    <t>Medio dia una cuadrilla de 3 persona parada en montaje por falta de equipos para montar</t>
  </si>
  <si>
    <t>OT 1262 se detiene por falta de material (Perfiles)</t>
  </si>
  <si>
    <t>Una Cuadrilla en armado parada por falta de material procesado</t>
  </si>
  <si>
    <t>Renuncia de de Jorge Rodriguez</t>
  </si>
  <si>
    <t>Una cuadrilla en armado parada por falta de material procesado</t>
  </si>
  <si>
    <t>Permiso a Gustavo Vega para vacunacion</t>
  </si>
  <si>
    <t>Ausencia de personal area de pintura (Ketnel)</t>
  </si>
  <si>
    <t>Pintura trabaja en reparacion de estanque de comb. Cliente Mies (Ronald y Cristian)</t>
  </si>
  <si>
    <t>Medio dia una cuadrilla de 2 persona parada en armado por falta de material procesado</t>
  </si>
  <si>
    <t xml:space="preserve">Permiso a Sebastian Candia </t>
  </si>
  <si>
    <t>Ausencia de personal area de pintura (Ketnel) Licencia medica</t>
  </si>
  <si>
    <t>Ausencia de personal area de pintura (Ronald Florian)</t>
  </si>
  <si>
    <t>Ausencia de personal area de Corte y plegado (Hernan Gonzalez)</t>
  </si>
  <si>
    <t xml:space="preserve">Dos Cuadrilla en montaje medio dia parada por falta de camion </t>
  </si>
  <si>
    <t>Ausencia de personal area de montaje (Luis Chauca)</t>
  </si>
  <si>
    <t>Atraso por falta de camiones</t>
  </si>
  <si>
    <t>Personal hidraulico (Gonzalo, Enrique, felipe) y terminaciones (Magdiel) en terreno por capacitacion y entrega de equipo</t>
  </si>
  <si>
    <t xml:space="preserve">Ausencia de personal area de armado (Sylvestre) Licencia medica					</t>
  </si>
  <si>
    <t>Atraso en area de armado por falta de material procesado</t>
  </si>
  <si>
    <t>Falla en mesa de corte</t>
  </si>
  <si>
    <t>Falla de tecle en area de montaje.</t>
  </si>
  <si>
    <t>una Cuadrilla en armado instalando los limones falso a ot 1364 para legar a la tocha del camion</t>
  </si>
  <si>
    <t>Atraso en area de corte y plegado por dudas en en planos... Ausente personal de ingenieria para aclarar duda... OT 1178 se detiene</t>
  </si>
  <si>
    <t>Ausencia de personal area de Montaje (Javier Melillan) permiso medico / Medio Dia</t>
  </si>
  <si>
    <t>Personal de pintura parado por falta de equipos para pintar</t>
  </si>
  <si>
    <t>Atraso en area de montaje por falta de taladro... solo se cuenta con uno para perforar chasis</t>
  </si>
  <si>
    <t>Una cuadrilla de 3 personas en el area de montaje trabajando en garantia OT 1244 Jet A1</t>
  </si>
  <si>
    <t>Atraso en area de montaje OT 1364 por la espera de confirmacion de caja lateral del equipo</t>
  </si>
  <si>
    <t xml:space="preserve">Atraso en area de armado OT 1354 por cambio de prioridad </t>
  </si>
  <si>
    <t>Area de pintura trabaja en desmanche y  pre avances de equipos..</t>
  </si>
  <si>
    <t>Una cuadrilla de 2 personas en el area de hidraulica  trabajando en garantia OT 1244 Jet A1</t>
  </si>
  <si>
    <t>Una cuadrilla de 2 personas en el area de terminaciones  trabajando en garantia OT 1244 Jet A1</t>
  </si>
  <si>
    <t>Atraso en OT 1178 y 1326 por certificacion de soldadores (John Aton, Sebastian Candia, Nelson Natanael)</t>
  </si>
  <si>
    <t>Falla de yale, impide montar tolva de 25 M³</t>
  </si>
  <si>
    <t>Permiso Medico medio dia Richard Hernandez</t>
  </si>
  <si>
    <t xml:space="preserve">Se detiene OT 1364 por falta de Cajas laterales </t>
  </si>
  <si>
    <t>Falla en torno</t>
  </si>
  <si>
    <t>Atraso en OT 1314 y 1315 por problema en  cubre cabima</t>
  </si>
  <si>
    <t>Una cuadrilla de 3 personas en el area de montaje trabajando en OT 1369 Instalacion de goma y puerta trasera</t>
  </si>
  <si>
    <t>Ausencia del personal area de montaje (Richard Hernandez) Licencia medica</t>
  </si>
  <si>
    <t>Ausencia del personal  Yalero ( Gillermo Mani)</t>
  </si>
  <si>
    <t>Una cuadrilla de 2 personas en el area de pintura, trabaja en equipo de PTO</t>
  </si>
  <si>
    <t>Ausencia del personal area de montaje (Manuel Fuentes)</t>
  </si>
  <si>
    <t>Una cuadrilla de 4 personas en el area de hidraulica  trabajando en garantia OT 1244 Jet A1</t>
  </si>
  <si>
    <t>Ausencia del personal area de montaje (Maxi Rojas)</t>
  </si>
  <si>
    <t>Una cuadrilla de 3 personas en el area de hidraulica se encuentra en valparaiso entregando OT 1244 Jet A1</t>
  </si>
  <si>
    <t>Una cuadrilla de 2 personas en el area de terminaciones se encuentra en valparaiso entregando OT 1244 Jet A1</t>
  </si>
  <si>
    <t>Ausencia del personal area de hidraulica (Magdiel obreque)</t>
  </si>
  <si>
    <t>Ausencia del personal area de montaje (Jonathan escudero)</t>
  </si>
  <si>
    <t xml:space="preserve">Ausencia del personal area de montaje (Javier Melillan) </t>
  </si>
  <si>
    <t>MUNI. DE PUNITAQUI</t>
  </si>
  <si>
    <t>TRE 10 M³</t>
  </si>
  <si>
    <t>TPI 14 M³ + KIT ARRASTRE</t>
  </si>
  <si>
    <t>PATAGON</t>
  </si>
  <si>
    <t>3,5 M³</t>
  </si>
  <si>
    <t>DIECI</t>
  </si>
  <si>
    <t>L4700</t>
  </si>
  <si>
    <t>P.DEFINIR</t>
  </si>
  <si>
    <t>HIDROSIR 120-5</t>
  </si>
  <si>
    <t>TPI 12 A 14 M³</t>
  </si>
  <si>
    <t>AUTOSUMMIT / ZION SERVICES</t>
  </si>
  <si>
    <t>2.5 M³ + 1 M³</t>
  </si>
  <si>
    <t>12.5</t>
  </si>
  <si>
    <t>HIDROMASS</t>
  </si>
  <si>
    <t>5 M³</t>
  </si>
  <si>
    <t xml:space="preserve"> ------------</t>
  </si>
  <si>
    <t>IPT</t>
  </si>
  <si>
    <t>1" IPT</t>
  </si>
  <si>
    <t>15MTS 1"</t>
  </si>
  <si>
    <t>1" OPW</t>
  </si>
  <si>
    <t xml:space="preserve"> ---------</t>
  </si>
  <si>
    <t>AUTOSUMMIT</t>
  </si>
  <si>
    <t>12 M³</t>
  </si>
  <si>
    <t>3GL</t>
  </si>
  <si>
    <t>30 M³</t>
  </si>
  <si>
    <t>K-480</t>
  </si>
  <si>
    <t>si</t>
  </si>
  <si>
    <t>VOLVO / LAURO RIOS</t>
  </si>
  <si>
    <t>MIES</t>
  </si>
  <si>
    <t>7 GL</t>
  </si>
  <si>
    <t>PORSCHE MAN</t>
  </si>
  <si>
    <t>CERRADO</t>
  </si>
  <si>
    <t>TGS 18.320</t>
  </si>
  <si>
    <t>no</t>
  </si>
  <si>
    <t>6 GL</t>
  </si>
  <si>
    <t>14-15 M³</t>
  </si>
  <si>
    <t>PORSCHE / AGRICOLA DON ALEJO</t>
  </si>
  <si>
    <t>Total equipo Junio</t>
  </si>
  <si>
    <t>06/06 a 11/06</t>
  </si>
  <si>
    <t>13/06 a 18/06</t>
  </si>
  <si>
    <t>20/06 a 25/06</t>
  </si>
  <si>
    <t>27/06 a 02/07</t>
  </si>
  <si>
    <t>Tecle dañado</t>
  </si>
  <si>
    <t>Falta de acero en 6 mm</t>
  </si>
  <si>
    <t>Ausencia de personal area de montaje (Javier Melillan) Licencia Medica</t>
  </si>
  <si>
    <t xml:space="preserve">Ausencia de personal area de  fabricacion propia  (Pedro Fernandez) Licencia Medica </t>
  </si>
  <si>
    <t>Falla en tadro en area de montaje</t>
  </si>
  <si>
    <t>Ausencia de personal area de armado (John aton)</t>
  </si>
  <si>
    <t>Ausencia de personal area de montaje (Manuel Fuentes)</t>
  </si>
  <si>
    <t>Ausencia de personal area de montaje (Moises bustos)</t>
  </si>
  <si>
    <t>Ausencia de personal area de  fabricacion propia  (Pedro Fernandez) Licencia Medica</t>
  </si>
  <si>
    <t>Una cuadrilla de 2 persona en montaje trabaja en cambio de estanque  de comb.  5M³ cliente Mies (OT PTO)</t>
  </si>
  <si>
    <t>Una cuadrilla de 3 persona en montaje trabajainstalacion de cilindro hidraulico (OT 1369) SACYR</t>
  </si>
  <si>
    <t>Personal del area hidraulica en terreno por entrega de equipo (Enrique Solar y Felipe Salina)</t>
  </si>
  <si>
    <t xml:space="preserve">Personal del area de terminaciones en terreno por entrega de equipo (Jorge Maureira y Diego)					</t>
  </si>
  <si>
    <t>Atraso en OT 1425 por falta de escotilla, se proceso tarde la fabricacion de la escotilla por falta de ingenieria</t>
  </si>
  <si>
    <t xml:space="preserve">Ausencia de personal area de montaje (Javier Melillan) Licencia Medica </t>
  </si>
  <si>
    <t xml:space="preserve">Ausencia de personal area de  fabricacion propia  (Pedro Fernandez) Licencia Medica  </t>
  </si>
  <si>
    <t xml:space="preserve">Ausencia de personal area de montaje (Carlos Galdames) 		</t>
  </si>
  <si>
    <t>Una cuadrilla de 2 persona en montaje trabajainstalacion de cilindro hidraulico (OT 1369) SACYR</t>
  </si>
  <si>
    <t xml:space="preserve">Ausencia de personal area de montaje (Carlos Galdames) Licencia Medica 	</t>
  </si>
  <si>
    <t>Ausencia de personal area de montaje (Carlos Galdames) Licencia Medica</t>
  </si>
  <si>
    <t>Falta de pintura epoxica para interior de OT 1269</t>
  </si>
  <si>
    <t xml:space="preserve">Falla en camion 128OT </t>
  </si>
  <si>
    <t>Atraso en proceso de OT 1283 por falta de acero en 4mm</t>
  </si>
  <si>
    <t>Ausencia de personal area de montaje (Juan Astudillo)</t>
  </si>
  <si>
    <t xml:space="preserve">Personal del area de terminaciones en terreno por entrega de equipo (Jorge Maureira y Juan torres)					</t>
  </si>
  <si>
    <t>Atrasas en OT 1282 por problema de calidad en pintura</t>
  </si>
  <si>
    <t xml:space="preserve">Dia cambiado por feriado. </t>
  </si>
  <si>
    <t>Ausencia de yalero</t>
  </si>
  <si>
    <t xml:space="preserve">Ausencia en el area de armado Hector gonzalez </t>
  </si>
  <si>
    <t>Atraso en OT 1411 por cambio de prioridad</t>
  </si>
  <si>
    <t xml:space="preserve">Ausencia de personal area de fabricacion propia (Pedro Fernandez) Licencia Medica  </t>
  </si>
  <si>
    <t>Ausencia de personal area de montaje (Javier Melillan)</t>
  </si>
  <si>
    <t xml:space="preserve">Atraso en OT 1264 por falta de material procesado </t>
  </si>
  <si>
    <t>Ausencia de personal en el area hidraulica de Lubricador (Brandon Velez)</t>
  </si>
  <si>
    <t>Ausencia del personal area de torno (Rafael iturrieta)</t>
  </si>
  <si>
    <t>mie</t>
  </si>
  <si>
    <t xml:space="preserve">Reunion con personal de area de montaje. </t>
  </si>
  <si>
    <t>Una cuadrilla de 2 persona en montaje trabaja en equipos de  PTO por falta de equipos  para montaje</t>
  </si>
  <si>
    <t> </t>
  </si>
  <si>
    <t>CUADRILLA</t>
  </si>
  <si>
    <t>TPI 14 M³ A 15 M­³</t>
  </si>
  <si>
    <t>Paolo T. / Enrique T.</t>
  </si>
  <si>
    <t>Richard H, / Sergio Z.</t>
  </si>
  <si>
    <t>Ketnel E. / Woodny J.</t>
  </si>
  <si>
    <t>Richard O. / Juan M.</t>
  </si>
  <si>
    <t>TPI 14 M3</t>
  </si>
  <si>
    <t xml:space="preserve">Javier M. / Moises B. </t>
  </si>
  <si>
    <t>3 GL.</t>
  </si>
  <si>
    <t>TPI 14 M³ XAR + PUERTA MINERA</t>
  </si>
  <si>
    <t>Juan T. / Andres D.</t>
  </si>
  <si>
    <t>Enrique S / Juan M.</t>
  </si>
  <si>
    <t>TPI 14 A 15 M3</t>
  </si>
  <si>
    <t>Hector G. / Rene P.</t>
  </si>
  <si>
    <t xml:space="preserve">Andres D. </t>
  </si>
  <si>
    <t>20 M3</t>
  </si>
  <si>
    <t>Ronal F. / Cristian F.</t>
  </si>
  <si>
    <t>Cuadrilla Richard</t>
  </si>
  <si>
    <t>VIVIPRA</t>
  </si>
  <si>
    <t>COMBUSTIBlE</t>
  </si>
  <si>
    <t>5 M3 - CTA LTS M5</t>
  </si>
  <si>
    <t>NQR 919</t>
  </si>
  <si>
    <t>John A. / Nelson N.</t>
  </si>
  <si>
    <t>Juan A. / Manuel F. / Luis C.</t>
  </si>
  <si>
    <t>7 M3</t>
  </si>
  <si>
    <t>W.WGEN</t>
  </si>
  <si>
    <t>Gustavo V. / Sebastian C.</t>
  </si>
  <si>
    <t>Carlos G. / Maxi R.</t>
  </si>
  <si>
    <t>18 M³ ALTO FLUJO</t>
  </si>
  <si>
    <t>EN PROCESO</t>
  </si>
  <si>
    <t>Cuadilla Gonzalo</t>
  </si>
  <si>
    <t>Andres D. / Diego</t>
  </si>
  <si>
    <t>6400X2600X4X500</t>
  </si>
  <si>
    <t>NO APLICA</t>
  </si>
  <si>
    <t>VOLVO / SANCHEZ MONTOYA</t>
  </si>
  <si>
    <t>20 M3 INOX</t>
  </si>
  <si>
    <t xml:space="preserve">PAVEZ Y PAVEZ </t>
  </si>
  <si>
    <t xml:space="preserve"> Diego / Ricardo</t>
  </si>
  <si>
    <t>OSERVIN</t>
  </si>
  <si>
    <t>12 M³ INOX + MOTOBOMBA</t>
  </si>
  <si>
    <t>Cuadrilla Gonzalo</t>
  </si>
  <si>
    <t>Juan T. / Diego / Ricardo</t>
  </si>
  <si>
    <t>BLANCO</t>
  </si>
  <si>
    <t>PULIDO</t>
  </si>
  <si>
    <t>PTO 153</t>
  </si>
  <si>
    <t>5 M3</t>
  </si>
  <si>
    <t>PTO 158</t>
  </si>
  <si>
    <t>ICV</t>
  </si>
  <si>
    <t>MAC</t>
  </si>
  <si>
    <t>GU813</t>
  </si>
  <si>
    <t>PLATAFORMA CON GRUA</t>
  </si>
  <si>
    <t>GFFR94</t>
  </si>
  <si>
    <t>Jonathan E. / Sergio M.</t>
  </si>
  <si>
    <t>Total equipo Julio</t>
  </si>
  <si>
    <t>04/07 a 09/07</t>
  </si>
  <si>
    <t>11/07 a 16/07</t>
  </si>
  <si>
    <t>18/07 a 23/07</t>
  </si>
  <si>
    <t>25/07 a 30/07</t>
  </si>
  <si>
    <t>01/08 a 06/08</t>
  </si>
  <si>
    <t>08/08 a 13/08</t>
  </si>
  <si>
    <t>15/08 a 20/08</t>
  </si>
  <si>
    <t>22/08 a 27/08</t>
  </si>
  <si>
    <t>29/08 a 03/09</t>
  </si>
  <si>
    <t>Ausencian de personal area montaje (Maxi Rojas)</t>
  </si>
  <si>
    <t>Una cuadrilla de 2 persona en montaje trabaja en Reparacion de tolva de 24M³</t>
  </si>
  <si>
    <t>Una cuadrilla de 2 persona en area hidraulica estanque  de comb.  5M³ cliente Mies (OT PTO)</t>
  </si>
  <si>
    <t>Una cuadrilla de 2 persona en montaje trabaja en Reparacion de puerta estanque atm. Sacyr</t>
  </si>
  <si>
    <t xml:space="preserve">Ausente medio dia Nelson natanael atraso en ot 1343 </t>
  </si>
  <si>
    <t xml:space="preserve">Atraso en el area de pintura por camion en pana OT 1364 Comb 18M³ atrasa trabajao en ot 1431 Atm 2,5 + 1 </t>
  </si>
  <si>
    <t>Personal hidraulico trabaja en equipos del mes anterior</t>
  </si>
  <si>
    <t>Atraso en OT 1431 en el area hidraulica por problema en camion</t>
  </si>
  <si>
    <t>Una cuadrilla de 2 persona en montaje trabaja en equipos del mes de junio OT 1436</t>
  </si>
  <si>
    <t>Atraso en nel area de montaje por error en plano que amerita desmontaje de limon y colocacion de nuevo limones</t>
  </si>
  <si>
    <t>Personal de hidraulica dividido atendiendo equipos de Junio y julio</t>
  </si>
  <si>
    <t>Area de Corte y plegado se encuentra parada por falta de plano para procesar materia prima</t>
  </si>
  <si>
    <t>Una cuadrilla de 2 persona en el area hidraulica trabaja en garantia OT 1202</t>
  </si>
  <si>
    <t xml:space="preserve">Ausencia de personal area de  fabricacion propia  (Pedro Fernandez) Licencia Medica   </t>
  </si>
  <si>
    <t xml:space="preserve">Ausente personal area de armado Rene Polo atraso en ot 1417 </t>
  </si>
  <si>
    <t xml:space="preserve">Ausente personal area de pintura Jeanty Woodny </t>
  </si>
  <si>
    <t>Atraso en ot 1364 y 1343 por falta de material</t>
  </si>
  <si>
    <t xml:space="preserve">Se cito personal de montajepara trabajar en OT 158 PTO y ot 1322 Reporceso </t>
  </si>
  <si>
    <t>Atraso en ot 1343 por falta de material T y codo vitaulic</t>
  </si>
  <si>
    <t xml:space="preserve">Ausencia de personal aera hidraulica Richard Obreque y Magdiel Obreque por reparacion de equipos (Garantia) </t>
  </si>
  <si>
    <t xml:space="preserve">Atraso en OT 1411 por falta de eje </t>
  </si>
  <si>
    <t>Reproceso en ot 1325 por oxido dentro del estanque</t>
  </si>
  <si>
    <t>Ausente personal area de armado Hector Gonzalez atraso en ot 1312</t>
  </si>
  <si>
    <t xml:space="preserve">Falla en mesa de corte problema con el compresor </t>
  </si>
  <si>
    <t>Una cuadrilla de 2 persona trabaja en modificacion OT 1121</t>
  </si>
  <si>
    <t>Ausente personal area de terminaciones Jorge Maureira Licncia medica</t>
  </si>
  <si>
    <t xml:space="preserve">Ausente personal area de armado Gustavo vega atraso en ot 1446 </t>
  </si>
  <si>
    <t>Ausente personal area de armado Sebastian candia atraso en ot 1446</t>
  </si>
  <si>
    <t>Ausente personal area de pintura Ketnel Exama (Medio dia)</t>
  </si>
  <si>
    <t>Ausente personal area de montaje Javier Melillan  (Medio dia)</t>
  </si>
  <si>
    <t>Reproceso en ot 1343 por oxido dentro del estanque</t>
  </si>
  <si>
    <t>Una cuadrilla de 2 persona trabaja en modificacion OT 1121 area de montaje</t>
  </si>
  <si>
    <t>Falta de material para OT 1437 perfiles en 3 mm</t>
  </si>
  <si>
    <t>Ausente de personal area de armado Gustavo vega atraso en ot 1446</t>
  </si>
  <si>
    <t>Ausencia de personal Guillermo Mani Operador grua horquilla</t>
  </si>
  <si>
    <t>Falla en mesa de corte problema con el compresor Medio dia a la espera del repuesto.</t>
  </si>
  <si>
    <t>Ausencia de personal aera hidraulica Richard Obreque y Magdiel Obreque por reparacion de equipos (Garantia)</t>
  </si>
  <si>
    <t xml:space="preserve">Ausencia de persona area de montaje Sergio zuñiga </t>
  </si>
  <si>
    <t>Una cuadrilla de 2 persona trabaja en modificacion OT 1121 area de pintura</t>
  </si>
  <si>
    <t xml:space="preserve">Atraso en OT 1283 por falta de camion </t>
  </si>
  <si>
    <t>Una persona de montaje trabaja reparacion de estanque OT PTO por falta de camion para avance en OT de maestraza</t>
  </si>
  <si>
    <t>Ausente de personal area de terminaciones Jorge Maureira Licncia medica</t>
  </si>
  <si>
    <t xml:space="preserve">Ausencia de persona area de montaje Sergio Zuñiga </t>
  </si>
  <si>
    <t>Ausencia de persona area de montaje Richard Hernandez</t>
  </si>
  <si>
    <t xml:space="preserve">Atraso en OT 1300 por falta de camion </t>
  </si>
  <si>
    <t>OT 1443 se avanzao en preparacion de camion se detienen a la espera del cardan y del estanque.</t>
  </si>
  <si>
    <t>Ausencia de personal en el area de pintura Cristian Florian</t>
  </si>
  <si>
    <t>BOMBEROS</t>
  </si>
  <si>
    <t>10 M3</t>
  </si>
  <si>
    <t>5 GL</t>
  </si>
  <si>
    <t>PROGRESO / CONSUELO ANITA BELEN</t>
  </si>
  <si>
    <t>2 M³ MEDIANO FLUJO</t>
  </si>
  <si>
    <t>Juan A. / Luis C. / Manuel F.</t>
  </si>
  <si>
    <t>INCOLUR</t>
  </si>
  <si>
    <t>TPI 14 M³ A 15 M³</t>
  </si>
  <si>
    <t>HYVA 137-3</t>
  </si>
  <si>
    <t>10 M³ SOLO VACIO</t>
  </si>
  <si>
    <t xml:space="preserve">Richard O. </t>
  </si>
  <si>
    <t>Javier M / Moises B.</t>
  </si>
  <si>
    <t>HYVA 157-4</t>
  </si>
  <si>
    <t>AUTOSUMMIT / RESIDUOS 3R</t>
  </si>
  <si>
    <t>12 M³ SOLO VACIO</t>
  </si>
  <si>
    <t>ENEX</t>
  </si>
  <si>
    <t>John A. / Nelson N. / Gustavo V. / Sebastian C.</t>
  </si>
  <si>
    <t>TFR 25 M3 + PUERTA MINERA</t>
  </si>
  <si>
    <t>S/C</t>
  </si>
  <si>
    <t>$19.500.000</t>
  </si>
  <si>
    <t>HYVA 169-4</t>
  </si>
  <si>
    <t>NELSON GERARDO</t>
  </si>
  <si>
    <t>MF 4 M³</t>
  </si>
  <si>
    <t>Gonzalo Flores</t>
  </si>
  <si>
    <t>TOLVA LASTRE 8.5 M3</t>
  </si>
  <si>
    <t>Carlos G. / Manuel F.</t>
  </si>
  <si>
    <t xml:space="preserve">Juan A. / Luis C. </t>
  </si>
  <si>
    <t>Total equipo Agosto</t>
  </si>
  <si>
    <t>05/09 a 10/09</t>
  </si>
  <si>
    <t>12/09 a 17/09</t>
  </si>
  <si>
    <t>19/09 a 24/09</t>
  </si>
  <si>
    <t>26/09 a 01/10</t>
  </si>
  <si>
    <t>ZION SERVICE</t>
  </si>
  <si>
    <t>14 M³ + 1,5 M³</t>
  </si>
  <si>
    <t>Javier M. / Moises B.  - Juan A. / Manuel F. / Luis C.</t>
  </si>
  <si>
    <t>Cuadrilla Gonzalo Flores</t>
  </si>
  <si>
    <t>HYVA 116-3</t>
  </si>
  <si>
    <t>John A. / Nelson N. / Cuadrilla Richard</t>
  </si>
  <si>
    <t>5 M3 MINERO</t>
  </si>
  <si>
    <t xml:space="preserve">John A. / Nelson N. </t>
  </si>
  <si>
    <t>TFR 22 M3 + PUERTA MINERA</t>
  </si>
  <si>
    <t>P450 B8x4</t>
  </si>
  <si>
    <t>Paolo S. / Enrique T.</t>
  </si>
  <si>
    <t>Javier M. / Roberto B.</t>
  </si>
  <si>
    <t>VOLVO / TRANSPORTES PAE</t>
  </si>
  <si>
    <t>Cudrilla Richard Obreque</t>
  </si>
  <si>
    <t xml:space="preserve">VOLVO / COTRAMAQ </t>
  </si>
  <si>
    <t>LPXV-91</t>
  </si>
  <si>
    <t>SUEZ</t>
  </si>
  <si>
    <t>10 M³ + 2 M³</t>
  </si>
  <si>
    <t>HIDROSIR 135-3</t>
  </si>
  <si>
    <t>TRESUR</t>
  </si>
  <si>
    <t xml:space="preserve">5 M3 </t>
  </si>
  <si>
    <t>Sebastian C. / Gustavo V.</t>
  </si>
  <si>
    <t>pulido completo</t>
  </si>
  <si>
    <t xml:space="preserve">TOLVA </t>
  </si>
  <si>
    <t>TRE 14 M³ ALTA RESISTENCIA + AUTOENCARPE</t>
  </si>
  <si>
    <t>SALFA / PDI</t>
  </si>
  <si>
    <t xml:space="preserve">5 M³ JET A-1 </t>
  </si>
  <si>
    <t>7 M³ + 1 M³</t>
  </si>
  <si>
    <t xml:space="preserve">22 M³ </t>
  </si>
  <si>
    <t>10 M³ INOX</t>
  </si>
  <si>
    <t>6 M³ + 1 ADBLUE</t>
  </si>
  <si>
    <t>Richard O. / Magdiel O. / Paola</t>
  </si>
  <si>
    <t>HIDROSIR 155-4</t>
  </si>
  <si>
    <t>EYC / MUNI. DE LOS VILOS</t>
  </si>
  <si>
    <t>EYC / MUNI. DE MOSTAZAL</t>
  </si>
  <si>
    <t>JUAN LOYOLA MOLINA</t>
  </si>
  <si>
    <t>TPR 20 M³ A 23 M³</t>
  </si>
  <si>
    <t>P 450 B</t>
  </si>
  <si>
    <t>TFR 20 M3 + PUERTA MINERA</t>
  </si>
  <si>
    <t>P 450</t>
  </si>
  <si>
    <t>HIDROSIR 116-3</t>
  </si>
  <si>
    <t>P 450 B 8X4</t>
  </si>
  <si>
    <t>HIDROSIR 135-4</t>
  </si>
  <si>
    <t>TRE 8 M3</t>
  </si>
  <si>
    <t xml:space="preserve">V.WAGEN </t>
  </si>
  <si>
    <t>Total equipo Noviembre</t>
  </si>
  <si>
    <t>31/10 a 05/11</t>
  </si>
  <si>
    <t>07/11 a 12/11</t>
  </si>
  <si>
    <t>14/11 a 19/11</t>
  </si>
  <si>
    <t>21/11 a 26/11</t>
  </si>
  <si>
    <t>28/11 a 03/12</t>
  </si>
  <si>
    <t>ETP / EYC</t>
  </si>
  <si>
    <t>02/01 a 07/01</t>
  </si>
  <si>
    <t>09/01 a 14/01</t>
  </si>
  <si>
    <t>16/01 a 21/01</t>
  </si>
  <si>
    <t>23/01 a 28/01</t>
  </si>
  <si>
    <t>30/01 a 03/02</t>
  </si>
  <si>
    <t>Total equipo Diciembre</t>
  </si>
  <si>
    <t>05/12 a 10/12</t>
  </si>
  <si>
    <t>12/12 a 17/12</t>
  </si>
  <si>
    <t>19/12 a 24/15</t>
  </si>
  <si>
    <t>26/12 a 31/12</t>
  </si>
  <si>
    <t>PTO / PORSCHE</t>
  </si>
  <si>
    <t>6300x2600x4x500</t>
  </si>
  <si>
    <t>EYC / MUNI. DE CALAMA</t>
  </si>
  <si>
    <t>10 M3 INOX PRESURIZADO</t>
  </si>
  <si>
    <t>ALMAR WATER</t>
  </si>
  <si>
    <t xml:space="preserve">5 M³ + 3 M³ + 2 M3 </t>
  </si>
  <si>
    <t>EYC / MUNI. DE CHAÑARAL</t>
  </si>
  <si>
    <t>15 M³ INOX</t>
  </si>
  <si>
    <t>SKC</t>
  </si>
  <si>
    <t>ASTRA</t>
  </si>
  <si>
    <t>20 M³ + FLUJOMETRO</t>
  </si>
  <si>
    <t xml:space="preserve">TRI 20 M³ PUERTA NORMAL </t>
  </si>
  <si>
    <t>KAUFMANN / MORGADO Y CIA</t>
  </si>
  <si>
    <t>EYC / MUNI. DE HUASCO</t>
  </si>
  <si>
    <t>6.300x2.600x4x500</t>
  </si>
  <si>
    <t>35 M³</t>
  </si>
  <si>
    <t>28/02 a 04/03</t>
  </si>
  <si>
    <t>06/03 a 11/03</t>
  </si>
  <si>
    <t>13/03 a 18/03</t>
  </si>
  <si>
    <t>20/03 a 25/03</t>
  </si>
  <si>
    <t>27/03 a 01/04</t>
  </si>
  <si>
    <t>03/04 a 08/04</t>
  </si>
  <si>
    <t>10/04 a 15/04</t>
  </si>
  <si>
    <t>G500</t>
  </si>
  <si>
    <t>P</t>
  </si>
  <si>
    <t>K480</t>
  </si>
  <si>
    <t>MINERA SIERRA GORDA</t>
  </si>
  <si>
    <t>FMX 500</t>
  </si>
  <si>
    <t>SALFA / MUNI. DE ISLA DE MAIPO</t>
  </si>
  <si>
    <t>ATEGO 2730</t>
  </si>
  <si>
    <t>SKC / SAN PEDRO DE ATACAMA</t>
  </si>
  <si>
    <t>30 M³ INOX</t>
  </si>
  <si>
    <t>HD 84.48</t>
  </si>
  <si>
    <t>TRANSP. RUBIO</t>
  </si>
  <si>
    <t>TRE 8 M³ + PUERTA MINERA</t>
  </si>
  <si>
    <t>VM 270</t>
  </si>
  <si>
    <t>LXDZ·89</t>
  </si>
  <si>
    <t>EYC / MUNI. LA GRANJA</t>
  </si>
  <si>
    <t>ESPECIAL</t>
  </si>
  <si>
    <t>ALJIBE 10 M³ MOTOBOMBA + OPENTOP 15 M³</t>
  </si>
  <si>
    <t>EYC / MUNI. DE PAINE</t>
  </si>
  <si>
    <t xml:space="preserve">DIFOR </t>
  </si>
  <si>
    <t>6 a 10 M³</t>
  </si>
  <si>
    <t>CECOR / SALAZAR ISRAEL</t>
  </si>
  <si>
    <t>VMX 350</t>
  </si>
  <si>
    <t>17/04 a 22/04</t>
  </si>
  <si>
    <t>24/04 a 29/04</t>
  </si>
  <si>
    <t>01/05 a 06/05</t>
  </si>
  <si>
    <t xml:space="preserve">Sergio M. / Jonathan E. </t>
  </si>
  <si>
    <t>Sergio Z. / Richard H. / Moises B.</t>
  </si>
  <si>
    <t>Cristian F. / Woodny J.</t>
  </si>
  <si>
    <t>4 M3 + 3 M3</t>
  </si>
  <si>
    <t>Ronal F. / Cristian F. / Woodny J.</t>
  </si>
  <si>
    <t>VOLVO / FERROVIAL</t>
  </si>
  <si>
    <t>15 M3</t>
  </si>
  <si>
    <t xml:space="preserve">Sergio Z. / Richard H. </t>
  </si>
  <si>
    <t>VESPEK</t>
  </si>
  <si>
    <t>10 M³ + MOTOBOMBA</t>
  </si>
  <si>
    <t>GRUA COR</t>
  </si>
  <si>
    <t>6300X2600X4X500</t>
  </si>
  <si>
    <t>K460</t>
  </si>
  <si>
    <t>Juan A. / Luis C.</t>
  </si>
  <si>
    <t xml:space="preserve">Andres D. / Ricardo </t>
  </si>
  <si>
    <t>Sergio Z. / Felipe V.</t>
  </si>
  <si>
    <t>Manuel F. / Luis C.</t>
  </si>
  <si>
    <t>HYVA  137-3</t>
  </si>
  <si>
    <t>VOLVO/GLOBAL SERVICE</t>
  </si>
  <si>
    <t>Juan T. / Diego</t>
  </si>
  <si>
    <t>W.WAGEN</t>
  </si>
  <si>
    <t xml:space="preserve">Alexander C./ Jonathan E. </t>
  </si>
  <si>
    <t>Sergio M. / Luis C.</t>
  </si>
  <si>
    <t>Total equipo Septiembre</t>
  </si>
  <si>
    <t>03/10 a 08/10</t>
  </si>
  <si>
    <t>10/10 a 15/10</t>
  </si>
  <si>
    <t>17/10 a 22/10</t>
  </si>
  <si>
    <t>24/10 a 29/10</t>
  </si>
  <si>
    <t xml:space="preserve">Ronald F. / Cristian F. </t>
  </si>
  <si>
    <t>Andres D. / Juan T.</t>
  </si>
  <si>
    <t>5 M³ + 3 M³</t>
  </si>
  <si>
    <t>Juan A. / Manuel F.</t>
  </si>
  <si>
    <t>Sergio M. / Moises B.</t>
  </si>
  <si>
    <t>Diego / Ricardo</t>
  </si>
  <si>
    <t>MILTON PATIÑO</t>
  </si>
  <si>
    <t>TCA 28 M³</t>
  </si>
  <si>
    <t>Sergio Z. / Richard H.</t>
  </si>
  <si>
    <t>Ronald F. / Cristian F.  / Woodny J.</t>
  </si>
  <si>
    <t>Equipo completo</t>
  </si>
  <si>
    <t>HIDROSIR 175-5</t>
  </si>
  <si>
    <t>Diego F. / Andres D.</t>
  </si>
  <si>
    <t>EYC / MUNI. DE CASABLANCA</t>
  </si>
  <si>
    <t>Total equipo Octubre</t>
  </si>
  <si>
    <t>SOT</t>
  </si>
  <si>
    <t>31/10 a 5/10</t>
  </si>
  <si>
    <t xml:space="preserve">Atraso en OT </t>
  </si>
  <si>
    <t xml:space="preserve">Ausente personal area de Pintura Ketnel			</t>
  </si>
  <si>
    <t xml:space="preserve">Ausente personal area de Montaje Luis Chauca Atraso en ot 1416		</t>
  </si>
  <si>
    <t>Atraso en montaje de equipo mes de oct. por termino de equipo mes anterior 4 PERSONA</t>
  </si>
  <si>
    <t>Atraso en OT 1312 por falta de material</t>
  </si>
  <si>
    <t xml:space="preserve">Atraso en Ot 1199 Equipos mes de septiembre en area de pintura </t>
  </si>
  <si>
    <t>Ausente personal area de Terminaciones Jorge Maureira</t>
  </si>
  <si>
    <t>Ausente personal area de Terminaciones Ricardo</t>
  </si>
  <si>
    <t>Ausente Juan Torres por traslado de tolva desde talca a fabrica</t>
  </si>
  <si>
    <t>Atraso en ot 1449 y 1419 por reparacion de tolva scania</t>
  </si>
  <si>
    <t>Ausencia personal area de montaje Maxi Rojas Por motivo de vacaciones</t>
  </si>
  <si>
    <t>Ausente Juan Torres por traslado de tolva a talca</t>
  </si>
  <si>
    <t>CLIENTE</t>
  </si>
  <si>
    <t>EQUIPO</t>
  </si>
  <si>
    <t>CAMION</t>
  </si>
  <si>
    <t>MODELO</t>
  </si>
  <si>
    <t>VIN</t>
  </si>
  <si>
    <t>PATENTE</t>
  </si>
  <si>
    <t>$ VENTA</t>
  </si>
  <si>
    <t>MODELO/CAPACIDAD</t>
  </si>
  <si>
    <t>CLTE INTERNO</t>
  </si>
  <si>
    <t xml:space="preserve">LLEGADA </t>
  </si>
  <si>
    <t>ENTREGA</t>
  </si>
  <si>
    <t>COLOR EQ.</t>
  </si>
  <si>
    <t>OC</t>
  </si>
  <si>
    <t>FACTURA</t>
  </si>
  <si>
    <t>PROXIMO A ENTREGA</t>
  </si>
  <si>
    <t>COTIZACION</t>
  </si>
  <si>
    <t>CORREO</t>
  </si>
  <si>
    <t>NEUMATICO DE REPUESTO</t>
  </si>
  <si>
    <t>N° RECEPCION</t>
  </si>
  <si>
    <t>COLOR CABINA</t>
  </si>
  <si>
    <t>SCANIA / MIES (LOGOS CE)</t>
  </si>
  <si>
    <t>76491</t>
  </si>
  <si>
    <t>11/07/2025
FERRER POR INFO DE CG - VERBAL
09/07/2025
CG VERBAL</t>
  </si>
  <si>
    <t>VPXC 59</t>
  </si>
  <si>
    <t>MICHELIN XWORKS 315 / 80 R 22.5</t>
  </si>
  <si>
    <t>18 M³ MEDIANO FLUJO</t>
  </si>
  <si>
    <t>MARTES 19 PM</t>
  </si>
  <si>
    <t>VPXC 43</t>
  </si>
  <si>
    <t>VIERNES 22 PM</t>
  </si>
  <si>
    <t>VPXF 22</t>
  </si>
  <si>
    <t>SISVIM (LOGOS CE)</t>
  </si>
  <si>
    <t>FURGON PARA EXPLOSIVOS 4.500x2.000x2.000 ALTO INTERIOR</t>
  </si>
  <si>
    <t>NPS 816</t>
  </si>
  <si>
    <t>S/OC</t>
  </si>
  <si>
    <t>30/06/2025
CG WSP VENTAS</t>
  </si>
  <si>
    <t>15 M³ MEDIANO FLUJO</t>
  </si>
  <si>
    <t>LUNES 18 PM</t>
  </si>
  <si>
    <t>VPXC 64</t>
  </si>
  <si>
    <t>GODIESEL (LOGOS CE)</t>
  </si>
  <si>
    <t>18 M³ + 2 M³ ADBLUE</t>
  </si>
  <si>
    <t>FMX 460</t>
  </si>
  <si>
    <t>VSCZ 15</t>
  </si>
  <si>
    <t>PIRELLI G02 12 R 22.5</t>
  </si>
  <si>
    <t>VVRK 52</t>
  </si>
  <si>
    <t>FURGON</t>
  </si>
  <si>
    <t>758926</t>
  </si>
  <si>
    <t>13/01/2026
CG WSP VENTAS</t>
  </si>
  <si>
    <t>ROJO</t>
  </si>
  <si>
    <t>SCANIA / SV</t>
  </si>
  <si>
    <t>5 M³ 2 DESCARGAS</t>
  </si>
  <si>
    <t>19/01/2026
CG WSP VENTAS</t>
  </si>
  <si>
    <t>10 M³ 2 DESCARGAS</t>
  </si>
  <si>
    <t>20/01/2026
CG WSP VENTAS</t>
  </si>
  <si>
    <t>16 M³</t>
  </si>
  <si>
    <t>EYC</t>
  </si>
  <si>
    <t>MUNI. DE CALERA DE TANGO</t>
  </si>
  <si>
    <t>10 M³ INOX CHINO (中国人) + MOTOBOMBA</t>
  </si>
  <si>
    <t>17.280</t>
  </si>
  <si>
    <t>ENTREGA A MUNI 1 DE JUNIO</t>
  </si>
  <si>
    <t>ID 402</t>
  </si>
  <si>
    <t>27/01/2026
M.ASTUDILLO CORREO</t>
  </si>
  <si>
    <t>GOODYEAR KMAX S G2 275 / 80 R 22.5</t>
  </si>
  <si>
    <t>SALFA / VIALCORP</t>
  </si>
  <si>
    <t>AMARILLO</t>
  </si>
  <si>
    <t>4701650844</t>
  </si>
  <si>
    <t>28/01/2026
CG WSP DIRECTO</t>
  </si>
  <si>
    <t>MICHELIN XFORCE 325 / 95 R 24</t>
  </si>
  <si>
    <t>CARMONA / TSA (LOGOS CE)</t>
  </si>
  <si>
    <t>05/02/2026
CG WSP VENTAS</t>
  </si>
  <si>
    <t>GOODYEAR OMNITRAC S 12 R 22.5</t>
  </si>
  <si>
    <t>9 M³ + 1 M³ ADBLUE</t>
  </si>
  <si>
    <t>TGS 18.330</t>
  </si>
  <si>
    <t>09/02/2026
cg wsp directo</t>
  </si>
  <si>
    <t>MUNI. DE CANELA</t>
  </si>
  <si>
    <t>RECOLECTOR</t>
  </si>
  <si>
    <t>7 M³ ECONOVO</t>
  </si>
  <si>
    <t>ACCELO 1117</t>
  </si>
  <si>
    <t>FURGON MIXTO</t>
  </si>
  <si>
    <t>15 Myo</t>
  </si>
  <si>
    <t>06/03/2026
CG WSP VENTAS</t>
  </si>
  <si>
    <t>VSCZ 16</t>
  </si>
  <si>
    <t>19/03/2026
cg wsp directo</t>
  </si>
  <si>
    <t>ATACAMA MINERALS</t>
  </si>
  <si>
    <t>25 M³</t>
  </si>
  <si>
    <t>DONGFENG</t>
  </si>
  <si>
    <t>CL5250</t>
  </si>
  <si>
    <t>79.290</t>
  </si>
  <si>
    <t xml:space="preserve">19/03/2026
JA CORREO </t>
  </si>
  <si>
    <t>SISVIM</t>
  </si>
  <si>
    <t>POLIBRAZO BOB</t>
  </si>
  <si>
    <t>T20</t>
  </si>
  <si>
    <t>ALJIBE 10 M³ INOX + 0.5 M³ COMBUSTIBLE + 0.2 M³ 5MM</t>
  </si>
  <si>
    <t>FURGON EXPLOSIVOS</t>
  </si>
  <si>
    <t>6.3 M LARGO</t>
  </si>
  <si>
    <t>NO AGREGADO</t>
  </si>
  <si>
    <t>SCANIA / DF</t>
  </si>
  <si>
    <t xml:space="preserve">ALJIBE </t>
  </si>
  <si>
    <t>TFR 22 M³</t>
  </si>
  <si>
    <t>JUNIO</t>
  </si>
  <si>
    <t>26/03/2026
CG WSP VENTAS</t>
  </si>
  <si>
    <t>RESITER</t>
  </si>
  <si>
    <t>17 M³ PARA POLIBRAZO</t>
  </si>
  <si>
    <t>01/04/2026
FU WSP VENTAS</t>
  </si>
  <si>
    <t>T22</t>
  </si>
  <si>
    <t>ATEGO 3133</t>
  </si>
  <si>
    <t xml:space="preserve"> $28,500,000 </t>
  </si>
  <si>
    <t>09/04/2026
FU WSP VENTAS</t>
  </si>
  <si>
    <t>VXRR 77</t>
  </si>
  <si>
    <t>PIRELLI G02 295 / 80 R 22.5</t>
  </si>
  <si>
    <t>VOLVO / MAQ. JAIME MUNDACA</t>
  </si>
  <si>
    <t xml:space="preserve">VOLVO </t>
  </si>
  <si>
    <t>VM 280</t>
  </si>
  <si>
    <t>1RA SEM JUNIO</t>
  </si>
  <si>
    <t>16/04/2026
CG WSP VENTAS</t>
  </si>
  <si>
    <t>MICHELIN XMULTI 295 / 80 R 22.5</t>
  </si>
  <si>
    <t>VOLVO / VELTIS</t>
  </si>
  <si>
    <t>635181</t>
  </si>
  <si>
    <t>FIN DE MAYO</t>
  </si>
  <si>
    <t>17/04/2026
CG VERBAL</t>
  </si>
  <si>
    <t>MICHELIN XWORKS 325 / 95 R 24</t>
  </si>
  <si>
    <t>635182</t>
  </si>
  <si>
    <t>15NA JUNIO</t>
  </si>
  <si>
    <t>30 M³ + DURAPLATE</t>
  </si>
  <si>
    <t>365044</t>
  </si>
  <si>
    <t>FIN DE JUNIO</t>
  </si>
  <si>
    <t xml:space="preserve">6.300x2.600x4x500 </t>
  </si>
  <si>
    <t>P 420</t>
  </si>
  <si>
    <t>10 M³ PRESURIZADO</t>
  </si>
  <si>
    <t>P 460</t>
  </si>
  <si>
    <t>ABIERTO / MIXTO 1 M³ ADBLUE</t>
  </si>
  <si>
    <t>11.180</t>
  </si>
  <si>
    <t>MAYO</t>
  </si>
  <si>
    <t>23/04/2026
OM VERBAL</t>
  </si>
  <si>
    <t>PIRELLI FR:01 237 / 75 R 17.5</t>
  </si>
  <si>
    <t>ABIERTO / MIXTO 4 M³ + 1 M³ ADBLUE</t>
  </si>
  <si>
    <t>JULIO</t>
  </si>
  <si>
    <t>GOODYEAR KMAX S 275 / 80 R 22.5</t>
  </si>
  <si>
    <t>VOLVO / ESMAX</t>
  </si>
  <si>
    <t>20 M³ MEDIANO FLUJO</t>
  </si>
  <si>
    <t>23/04/2026
OM WSP DIRECTO</t>
  </si>
  <si>
    <t>AGOSTO</t>
  </si>
  <si>
    <t>VOLVO / SOC. PROC. Y SERV.</t>
  </si>
  <si>
    <t>77680</t>
  </si>
  <si>
    <t>23/04/2026
CG CORREO</t>
  </si>
  <si>
    <t>MUNI. DE PUCHUNCAVÍ</t>
  </si>
  <si>
    <t>17 M³ ECONOVO</t>
  </si>
  <si>
    <t>FVR 1828 AT</t>
  </si>
  <si>
    <t>27/04/2026
MA CORREO</t>
  </si>
  <si>
    <t>BRIDGESTONE R152 295 / 80 R 22.5</t>
  </si>
  <si>
    <t>LAURO RIOS (LOGOS CE)</t>
  </si>
  <si>
    <t>06/05/2026
CG WSP VENTAS</t>
  </si>
  <si>
    <t>VELTIS</t>
  </si>
  <si>
    <t>MUNI. DE EL QUISCO</t>
  </si>
  <si>
    <t>ID 470</t>
  </si>
  <si>
    <t>19/05/2026
MA CORREO</t>
  </si>
  <si>
    <t>FMX 500 8X4</t>
  </si>
  <si>
    <t>20/05/2026
CG WSP VENTAS</t>
  </si>
  <si>
    <t>Enero</t>
  </si>
  <si>
    <t>Febrero</t>
  </si>
  <si>
    <t>Marzo</t>
  </si>
  <si>
    <t xml:space="preserve">Abril </t>
  </si>
  <si>
    <t xml:space="preserve">Mayo </t>
  </si>
  <si>
    <t>Junio</t>
  </si>
  <si>
    <t>Julio</t>
  </si>
  <si>
    <t>Agosto</t>
  </si>
  <si>
    <t xml:space="preserve">Septiembre </t>
  </si>
  <si>
    <t>Octubre</t>
  </si>
  <si>
    <t>Noviembre</t>
  </si>
  <si>
    <t>Diciembre</t>
  </si>
  <si>
    <t>Cant.</t>
  </si>
  <si>
    <t>Valor</t>
  </si>
  <si>
    <t>ETP/ CENTRO EQUIPOS</t>
  </si>
  <si>
    <t>HORA EXTRAS</t>
  </si>
  <si>
    <t>Entre semana</t>
  </si>
  <si>
    <t>Total horas Extras</t>
  </si>
  <si>
    <t xml:space="preserve">INGENIERIA </t>
  </si>
  <si>
    <t xml:space="preserve">CORTE Y PLEGADO </t>
  </si>
  <si>
    <t xml:space="preserve">ARMADO Y REMATE </t>
  </si>
  <si>
    <t xml:space="preserve">MONTAJE </t>
  </si>
  <si>
    <t xml:space="preserve">HIDRAULICA </t>
  </si>
  <si>
    <t xml:space="preserve">PINTURA </t>
  </si>
  <si>
    <t xml:space="preserve">TERMINACIONES </t>
  </si>
  <si>
    <t>VENTAS</t>
  </si>
  <si>
    <t>PATIO STOCK</t>
  </si>
  <si>
    <t xml:space="preserve">TIEMPO MUERTO INICIO </t>
  </si>
  <si>
    <t xml:space="preserve">TIEMPO MUERTO STOCK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</si>
</sst>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quot;$&quot;* #,##0_ ;_ &quot;$&quot;* \-#,##0_ ;_ &quot;$&quot;* &quot;-&quot;_ ;_ @_ "/>
    <numFmt numFmtId="167" formatCode="_(* #,##0.00_);_(* \(#,##0.00\);_(* &quot;-&quot;??_);_(@_)"/>
    <numFmt numFmtId="168" formatCode="#,##0_ ;\-#,##0\ "/>
    <numFmt numFmtId="169" formatCode="_-&quot;$&quot;\ * #,##0_-;\-&quot;$&quot;\ * #,##0_-;_-&quot;$&quot;\ * &quot;-&quot;??_-;_-@_-"/>
    <numFmt numFmtId="170" formatCode="#,##0;[Red]#,##0"/>
    <numFmt numFmtId="171" formatCode="0;[Red]0"/>
  </numFmts>
  <fonts count="43"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20"/>
      <name val="Calibri"/>
      <family val="2"/>
      <scheme val="major"/>
    </font>
    <font>
      <sz val="11"/>
      <color theme="0"/>
      <name val="Calibri"/>
      <family val="2"/>
      <scheme val="minor"/>
    </font>
    <font>
      <sz val="11"/>
      <color rgb="FF000000"/>
      <name val="Calibri"/>
      <family val="2"/>
      <scheme val="minor"/>
    </font>
    <font>
      <b/>
      <sz val="11"/>
      <color theme="0"/>
      <name val="Calibri"/>
      <family val="2"/>
      <scheme val="minor"/>
    </font>
    <font>
      <b/>
      <sz val="22"/>
      <name val="Calibri"/>
      <family val="2"/>
      <scheme val="maj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b/>
      <sz val="10"/>
      <color rgb="FF000000"/>
      <name val="Calibri"/>
      <family val="2"/>
      <scheme val="minor"/>
    </font>
    <font>
      <sz val="11"/>
      <color rgb="FF000000"/>
      <name val="Calibri"/>
      <family val="2"/>
    </font>
    <font>
      <sz val="11"/>
      <name val="Arial"/>
      <family val="2"/>
    </font>
    <font>
      <sz val="11"/>
      <color rgb="FFFF0000"/>
      <name val="Calibri"/>
      <family val="2"/>
    </font>
    <font>
      <b/>
      <sz val="11"/>
      <color rgb="FFFF0000"/>
      <name val="Calibri"/>
      <family val="2"/>
      <scheme val="minor"/>
    </font>
    <font>
      <b/>
      <sz val="14"/>
      <color theme="1"/>
      <name val="Calibri"/>
      <family val="2"/>
      <scheme val="minor"/>
    </font>
    <font>
      <b/>
      <sz val="11"/>
      <color rgb="FFFFFFFF"/>
      <name val="Calibri"/>
      <family val="2"/>
    </font>
    <font>
      <b/>
      <sz val="10"/>
      <color rgb="FF000000"/>
      <name val="Calibri"/>
      <family val="2"/>
    </font>
    <font>
      <sz val="10"/>
      <color rgb="FF000000"/>
      <name val="Calibri"/>
      <family val="2"/>
    </font>
    <font>
      <sz val="8"/>
      <name val="Calibri"/>
      <family val="2"/>
      <scheme val="minor"/>
    </font>
    <font>
      <sz val="11"/>
      <name val="Calibri"/>
      <family val="2"/>
    </font>
    <font>
      <b/>
      <sz val="11"/>
      <color rgb="FF000000"/>
      <name val="Calibri"/>
      <family val="2"/>
    </font>
    <font>
      <b/>
      <sz val="8"/>
      <color rgb="FF000000"/>
      <name val="Calibri"/>
      <family val="2"/>
    </font>
    <font>
      <sz val="8"/>
      <color theme="1"/>
      <name val="Calibri"/>
      <family val="2"/>
      <scheme val="minor"/>
    </font>
    <font>
      <b/>
      <sz val="8"/>
      <color theme="1"/>
      <name val="Calibri"/>
      <family val="2"/>
      <scheme val="minor"/>
    </font>
    <font>
      <sz val="10"/>
      <color theme="1"/>
      <name val="Calibri"/>
      <family val="2"/>
      <scheme val="minor"/>
    </font>
  </fonts>
  <fills count="61">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9" tint="-0.49998474074526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A4C2F4"/>
        <bgColor rgb="FFA4C2F4"/>
      </patternFill>
    </fill>
    <fill>
      <patternFill patternType="solid">
        <fgColor rgb="FFC6E0B4"/>
        <bgColor rgb="FF000000"/>
      </patternFill>
    </fill>
    <fill>
      <patternFill patternType="solid">
        <fgColor rgb="FFBFBFBF"/>
        <bgColor rgb="FFBFBFBF"/>
      </patternFill>
    </fill>
    <fill>
      <patternFill patternType="solid">
        <fgColor theme="2" tint="-0.14999847407452621"/>
        <bgColor indexed="64"/>
      </patternFill>
    </fill>
    <fill>
      <patternFill patternType="solid">
        <fgColor rgb="FF00B050"/>
        <bgColor rgb="FF000000"/>
      </patternFill>
    </fill>
    <fill>
      <patternFill patternType="solid">
        <fgColor rgb="FFFFFF00"/>
        <bgColor rgb="FF000000"/>
      </patternFill>
    </fill>
    <fill>
      <patternFill patternType="solid">
        <fgColor rgb="FFFF9966"/>
        <bgColor indexed="64"/>
      </patternFill>
    </fill>
    <fill>
      <patternFill patternType="solid">
        <fgColor rgb="FFD9E1F2"/>
        <bgColor indexed="64"/>
      </patternFill>
    </fill>
    <fill>
      <patternFill patternType="solid">
        <fgColor rgb="FF005677"/>
        <bgColor rgb="FF000000"/>
      </patternFill>
    </fill>
    <fill>
      <patternFill patternType="solid">
        <fgColor rgb="FFFFFFFF"/>
        <bgColor indexed="64"/>
      </patternFill>
    </fill>
    <fill>
      <patternFill patternType="solid">
        <fgColor rgb="FF00FFFF"/>
        <bgColor rgb="FF00FFFF"/>
      </patternFill>
    </fill>
    <fill>
      <patternFill patternType="solid">
        <fgColor rgb="FFF2F2F2"/>
        <bgColor rgb="FFF2F2F2"/>
      </patternFill>
    </fill>
    <fill>
      <patternFill patternType="solid">
        <fgColor rgb="FFFFD966"/>
        <bgColor rgb="FFFFD966"/>
      </patternFill>
    </fill>
    <fill>
      <patternFill patternType="solid">
        <fgColor rgb="FFE2EFDA"/>
        <bgColor indexed="64"/>
      </patternFill>
    </fill>
    <fill>
      <patternFill patternType="solid">
        <fgColor rgb="FFF8CBAD"/>
        <bgColor indexed="64"/>
      </patternFill>
    </fill>
    <fill>
      <patternFill patternType="solid">
        <fgColor rgb="FFFCE4D6"/>
        <bgColor indexed="64"/>
      </patternFill>
    </fill>
    <fill>
      <patternFill patternType="solid">
        <fgColor rgb="FFF2F2F2"/>
        <bgColor rgb="FF000000"/>
      </patternFill>
    </fill>
    <fill>
      <patternFill patternType="solid">
        <fgColor rgb="FFDDEBF7"/>
        <bgColor indexed="64"/>
      </patternFill>
    </fill>
    <fill>
      <patternFill patternType="solid">
        <fgColor rgb="FFD9D9D9"/>
        <bgColor indexed="64"/>
      </patternFill>
    </fill>
    <fill>
      <patternFill patternType="solid">
        <fgColor theme="6" tint="0.79998168889431442"/>
        <bgColor indexed="64"/>
      </patternFill>
    </fill>
    <fill>
      <patternFill patternType="solid">
        <fgColor rgb="FFFFC000"/>
        <bgColor indexed="64"/>
      </patternFill>
    </fill>
    <fill>
      <patternFill patternType="solid">
        <fgColor rgb="FFC6E6A2"/>
        <bgColor indexed="64"/>
      </patternFill>
    </fill>
  </fills>
  <borders count="97">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hair">
        <color auto="1"/>
      </left>
      <right style="hair">
        <color auto="1"/>
      </right>
      <top style="hair">
        <color auto="1"/>
      </top>
      <bottom style="hair">
        <color auto="1"/>
      </bottom>
      <diagonal/>
    </border>
    <border>
      <left style="thin">
        <color rgb="FF000000"/>
      </left>
      <right/>
      <top/>
      <bottom style="hair">
        <color auto="1"/>
      </bottom>
      <diagonal/>
    </border>
    <border>
      <left/>
      <right/>
      <top/>
      <bottom style="hair">
        <color auto="1"/>
      </bottom>
      <diagonal/>
    </border>
    <border>
      <left style="medium">
        <color indexed="64"/>
      </left>
      <right style="hair">
        <color auto="1"/>
      </right>
      <top/>
      <bottom style="medium">
        <color indexed="64"/>
      </bottom>
      <diagonal/>
    </border>
    <border>
      <left style="hair">
        <color auto="1"/>
      </left>
      <right style="hair">
        <color auto="1"/>
      </right>
      <top/>
      <bottom style="medium">
        <color indexed="64"/>
      </bottom>
      <diagonal/>
    </border>
    <border>
      <left style="hair">
        <color auto="1"/>
      </left>
      <right style="medium">
        <color indexed="64"/>
      </right>
      <top/>
      <bottom style="medium">
        <color indexed="64"/>
      </bottom>
      <diagonal/>
    </border>
    <border>
      <left style="hair">
        <color auto="1"/>
      </left>
      <right style="hair">
        <color auto="1"/>
      </right>
      <top/>
      <bottom style="hair">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bottom/>
      <diagonal/>
    </border>
    <border>
      <left style="thin">
        <color indexed="64"/>
      </left>
      <right style="hair">
        <color auto="1"/>
      </right>
      <top style="thin">
        <color indexed="64"/>
      </top>
      <bottom style="hair">
        <color auto="1"/>
      </bottom>
      <diagonal/>
    </border>
    <border>
      <left style="hair">
        <color auto="1"/>
      </left>
      <right style="hair">
        <color auto="1"/>
      </right>
      <top style="thin">
        <color indexed="64"/>
      </top>
      <bottom style="hair">
        <color auto="1"/>
      </bottom>
      <diagonal/>
    </border>
    <border>
      <left style="hair">
        <color auto="1"/>
      </left>
      <right style="thin">
        <color indexed="64"/>
      </right>
      <top style="thin">
        <color indexed="64"/>
      </top>
      <bottom style="hair">
        <color auto="1"/>
      </bottom>
      <diagonal/>
    </border>
    <border>
      <left style="thin">
        <color indexed="64"/>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indexed="64"/>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
      <left style="thin">
        <color rgb="FF000000"/>
      </left>
      <right/>
      <top style="thin">
        <color rgb="FF000000"/>
      </top>
      <bottom style="thin">
        <color rgb="FF000000"/>
      </bottom>
      <diagonal/>
    </border>
    <border>
      <left style="thin">
        <color rgb="FF000000"/>
      </left>
      <right style="hair">
        <color auto="1"/>
      </right>
      <top style="thin">
        <color rgb="FF000000"/>
      </top>
      <bottom style="hair">
        <color auto="1"/>
      </bottom>
      <diagonal/>
    </border>
    <border>
      <left style="hair">
        <color auto="1"/>
      </left>
      <right style="hair">
        <color auto="1"/>
      </right>
      <top style="thin">
        <color rgb="FF000000"/>
      </top>
      <bottom style="hair">
        <color auto="1"/>
      </bottom>
      <diagonal/>
    </border>
    <border>
      <left style="hair">
        <color auto="1"/>
      </left>
      <right style="thin">
        <color rgb="FF000000"/>
      </right>
      <top style="thin">
        <color rgb="FF000000"/>
      </top>
      <bottom style="hair">
        <color auto="1"/>
      </bottom>
      <diagonal/>
    </border>
    <border>
      <left style="thin">
        <color rgb="FF000000"/>
      </left>
      <right style="hair">
        <color auto="1"/>
      </right>
      <top style="hair">
        <color auto="1"/>
      </top>
      <bottom style="hair">
        <color auto="1"/>
      </bottom>
      <diagonal/>
    </border>
    <border>
      <left style="hair">
        <color auto="1"/>
      </left>
      <right style="thin">
        <color rgb="FF000000"/>
      </right>
      <top style="hair">
        <color auto="1"/>
      </top>
      <bottom style="hair">
        <color auto="1"/>
      </bottom>
      <diagonal/>
    </border>
    <border>
      <left style="thin">
        <color rgb="FF000000"/>
      </left>
      <right style="hair">
        <color auto="1"/>
      </right>
      <top style="hair">
        <color auto="1"/>
      </top>
      <bottom style="thin">
        <color rgb="FF000000"/>
      </bottom>
      <diagonal/>
    </border>
    <border>
      <left style="hair">
        <color auto="1"/>
      </left>
      <right style="hair">
        <color auto="1"/>
      </right>
      <top style="hair">
        <color auto="1"/>
      </top>
      <bottom style="thin">
        <color rgb="FF000000"/>
      </bottom>
      <diagonal/>
    </border>
    <border>
      <left style="hair">
        <color auto="1"/>
      </left>
      <right style="thin">
        <color rgb="FF000000"/>
      </right>
      <top style="hair">
        <color auto="1"/>
      </top>
      <bottom style="thin">
        <color rgb="FF000000"/>
      </bottom>
      <diagonal/>
    </border>
    <border>
      <left style="thin">
        <color indexed="64"/>
      </left>
      <right style="hair">
        <color auto="1"/>
      </right>
      <top style="hair">
        <color auto="1"/>
      </top>
      <bottom/>
      <diagonal/>
    </border>
    <border>
      <left style="hair">
        <color auto="1"/>
      </left>
      <right style="thin">
        <color indexed="64"/>
      </right>
      <top style="hair">
        <color auto="1"/>
      </top>
      <bottom/>
      <diagonal/>
    </border>
    <border>
      <left style="thin">
        <color rgb="FF000000"/>
      </left>
      <right style="hair">
        <color auto="1"/>
      </right>
      <top style="hair">
        <color auto="1"/>
      </top>
      <bottom/>
      <diagonal/>
    </border>
    <border>
      <left style="hair">
        <color auto="1"/>
      </left>
      <right style="thin">
        <color rgb="FF000000"/>
      </right>
      <top style="hair">
        <color auto="1"/>
      </top>
      <bottom/>
      <diagonal/>
    </border>
    <border>
      <left style="thin">
        <color rgb="FF000000"/>
      </left>
      <right style="hair">
        <color auto="1"/>
      </right>
      <top/>
      <bottom style="hair">
        <color auto="1"/>
      </bottom>
      <diagonal/>
    </border>
    <border>
      <left style="hair">
        <color auto="1"/>
      </left>
      <right style="thin">
        <color rgb="FF000000"/>
      </right>
      <top/>
      <bottom style="hair">
        <color auto="1"/>
      </bottom>
      <diagonal/>
    </border>
    <border>
      <left style="thin">
        <color indexed="64"/>
      </left>
      <right style="hair">
        <color auto="1"/>
      </right>
      <top/>
      <bottom style="hair">
        <color auto="1"/>
      </bottom>
      <diagonal/>
    </border>
    <border>
      <left style="hair">
        <color auto="1"/>
      </left>
      <right style="thin">
        <color indexed="64"/>
      </right>
      <top/>
      <bottom style="hair">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hair">
        <color auto="1"/>
      </left>
      <right style="thin">
        <color rgb="FF000000"/>
      </right>
      <top/>
      <bottom/>
      <diagonal/>
    </border>
    <border>
      <left/>
      <right style="thin">
        <color rgb="FF000000"/>
      </right>
      <top style="thin">
        <color rgb="FF000000"/>
      </top>
      <bottom style="thin">
        <color rgb="FF000000"/>
      </bottom>
      <diagonal/>
    </border>
    <border>
      <left/>
      <right/>
      <top style="hair">
        <color auto="1"/>
      </top>
      <bottom style="hair">
        <color auto="1"/>
      </bottom>
      <diagonal/>
    </border>
    <border>
      <left style="thin">
        <color rgb="FF000000"/>
      </left>
      <right style="hair">
        <color auto="1"/>
      </right>
      <top/>
      <bottom/>
      <diagonal/>
    </border>
    <border>
      <left/>
      <right style="hair">
        <color auto="1"/>
      </right>
      <top/>
      <bottom style="hair">
        <color auto="1"/>
      </bottom>
      <diagonal/>
    </border>
    <border>
      <left style="thin">
        <color rgb="FF000000"/>
      </left>
      <right/>
      <top/>
      <bottom/>
      <diagonal/>
    </border>
    <border>
      <left/>
      <right style="hair">
        <color auto="1"/>
      </right>
      <top/>
      <bottom/>
      <diagonal/>
    </border>
    <border>
      <left/>
      <right style="hair">
        <color rgb="FF000000"/>
      </right>
      <top style="hair">
        <color indexed="64"/>
      </top>
      <bottom style="hair">
        <color indexed="64"/>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hair">
        <color auto="1"/>
      </left>
      <right/>
      <top/>
      <bottom style="hair">
        <color auto="1"/>
      </bottom>
      <diagonal/>
    </border>
    <border>
      <left/>
      <right style="hair">
        <color rgb="FF000000"/>
      </right>
      <top/>
      <bottom style="hair">
        <color indexed="64"/>
      </bottom>
      <diagonal/>
    </border>
    <border>
      <left style="hair">
        <color auto="1"/>
      </left>
      <right/>
      <top style="hair">
        <color auto="1"/>
      </top>
      <bottom/>
      <diagonal/>
    </border>
    <border>
      <left/>
      <right/>
      <top style="hair">
        <color auto="1"/>
      </top>
      <bottom/>
      <diagonal/>
    </border>
    <border>
      <left/>
      <right style="hair">
        <color rgb="FF000000"/>
      </right>
      <top style="hair">
        <color indexed="64"/>
      </top>
      <bottom/>
      <diagonal/>
    </border>
    <border>
      <left style="hair">
        <color auto="1"/>
      </left>
      <right/>
      <top style="thin">
        <color rgb="FF000000"/>
      </top>
      <bottom style="hair">
        <color auto="1"/>
      </bottom>
      <diagonal/>
    </border>
    <border>
      <left/>
      <right/>
      <top style="thin">
        <color rgb="FF000000"/>
      </top>
      <bottom style="hair">
        <color auto="1"/>
      </bottom>
      <diagonal/>
    </border>
    <border>
      <left/>
      <right style="hair">
        <color rgb="FF000000"/>
      </right>
      <top style="thin">
        <color rgb="FF000000"/>
      </top>
      <bottom style="hair">
        <color indexed="64"/>
      </bottom>
      <diagonal/>
    </border>
    <border>
      <left style="hair">
        <color auto="1"/>
      </left>
      <right/>
      <top style="hair">
        <color auto="1"/>
      </top>
      <bottom style="thin">
        <color rgb="FF000000"/>
      </bottom>
      <diagonal/>
    </border>
    <border>
      <left/>
      <right/>
      <top style="hair">
        <color auto="1"/>
      </top>
      <bottom style="thin">
        <color rgb="FF000000"/>
      </bottom>
      <diagonal/>
    </border>
    <border>
      <left/>
      <right style="hair">
        <color rgb="FF000000"/>
      </right>
      <top style="hair">
        <color indexed="64"/>
      </top>
      <bottom style="thin">
        <color rgb="FF000000"/>
      </bottom>
      <diagonal/>
    </border>
    <border>
      <left style="thin">
        <color rgb="FF000000"/>
      </left>
      <right style="hair">
        <color auto="1"/>
      </right>
      <top/>
      <bottom style="thin">
        <color rgb="FF000000"/>
      </bottom>
      <diagonal/>
    </border>
    <border>
      <left style="hair">
        <color auto="1"/>
      </left>
      <right style="hair">
        <color auto="1"/>
      </right>
      <top/>
      <bottom style="thin">
        <color rgb="FF000000"/>
      </bottom>
      <diagonal/>
    </border>
    <border>
      <left style="hair">
        <color auto="1"/>
      </left>
      <right style="thin">
        <color rgb="FF000000"/>
      </right>
      <top/>
      <bottom style="thin">
        <color rgb="FF000000"/>
      </bottom>
      <diagonal/>
    </border>
    <border>
      <left style="hair">
        <color auto="1"/>
      </left>
      <right style="hair">
        <color auto="1"/>
      </right>
      <top style="thin">
        <color rgb="FF000000"/>
      </top>
      <bottom/>
      <diagonal/>
    </border>
    <border>
      <left style="hair">
        <color auto="1"/>
      </left>
      <right style="thin">
        <color rgb="FF000000"/>
      </right>
      <top style="thin">
        <color rgb="FF000000"/>
      </top>
      <bottom/>
      <diagonal/>
    </border>
    <border>
      <left/>
      <right style="hair">
        <color indexed="64"/>
      </right>
      <top style="thin">
        <color rgb="FF000000"/>
      </top>
      <bottom style="hair">
        <color indexed="64"/>
      </bottom>
      <diagonal/>
    </border>
    <border>
      <left/>
      <right style="hair">
        <color indexed="64"/>
      </right>
      <top/>
      <bottom style="thin">
        <color rgb="FF000000"/>
      </bottom>
      <diagonal/>
    </border>
    <border>
      <left/>
      <right style="hair">
        <color indexed="64"/>
      </right>
      <top style="hair">
        <color indexed="64"/>
      </top>
      <bottom/>
      <diagonal/>
    </border>
    <border>
      <left/>
      <right/>
      <top style="thin">
        <color rgb="FF000000"/>
      </top>
      <bottom style="thin">
        <color rgb="FF000000"/>
      </bottom>
      <diagonal/>
    </border>
    <border>
      <left/>
      <right style="hair">
        <color auto="1"/>
      </right>
      <top style="hair">
        <color auto="1"/>
      </top>
      <bottom style="thin">
        <color rgb="FF000000"/>
      </bottom>
      <diagonal/>
    </border>
    <border>
      <left style="hair">
        <color auto="1"/>
      </left>
      <right/>
      <top style="thin">
        <color rgb="FF000000"/>
      </top>
      <bottom style="thin">
        <color rgb="FF000000"/>
      </bottom>
      <diagonal/>
    </border>
    <border>
      <left/>
      <right style="hair">
        <color auto="1"/>
      </right>
      <top style="thin">
        <color rgb="FF000000"/>
      </top>
      <bottom style="thin">
        <color rgb="FF000000"/>
      </bottom>
      <diagonal/>
    </border>
    <border>
      <left style="hair">
        <color auto="1"/>
      </left>
      <right/>
      <top/>
      <bottom style="thin">
        <color rgb="FF000000"/>
      </bottom>
      <diagonal/>
    </border>
    <border>
      <left/>
      <right/>
      <top/>
      <bottom style="thin">
        <color rgb="FF000000"/>
      </bottom>
      <diagonal/>
    </border>
    <border>
      <left style="hair">
        <color auto="1"/>
      </left>
      <right/>
      <top style="thin">
        <color rgb="FF000000"/>
      </top>
      <bottom/>
      <diagonal/>
    </border>
    <border>
      <left/>
      <right/>
      <top style="thin">
        <color rgb="FF000000"/>
      </top>
      <bottom/>
      <diagonal/>
    </border>
    <border>
      <left/>
      <right style="hair">
        <color auto="1"/>
      </right>
      <top style="thin">
        <color rgb="FF000000"/>
      </top>
      <bottom/>
      <diagonal/>
    </border>
    <border>
      <left style="thin">
        <color indexed="64"/>
      </left>
      <right style="thin">
        <color indexed="64"/>
      </right>
      <top/>
      <bottom style="thin">
        <color indexed="64"/>
      </bottom>
      <diagonal/>
    </border>
    <border>
      <left style="thin">
        <color rgb="FF000000"/>
      </left>
      <right style="hair">
        <color auto="1"/>
      </right>
      <top style="thin">
        <color rgb="FF000000"/>
      </top>
      <bottom style="thin">
        <color rgb="FF000000"/>
      </bottom>
      <diagonal/>
    </border>
    <border>
      <left style="hair">
        <color auto="1"/>
      </left>
      <right style="hair">
        <color auto="1"/>
      </right>
      <top style="thin">
        <color rgb="FF000000"/>
      </top>
      <bottom style="thin">
        <color rgb="FF000000"/>
      </bottom>
      <diagonal/>
    </border>
    <border>
      <left style="hair">
        <color auto="1"/>
      </left>
      <right style="thin">
        <color rgb="FF000000"/>
      </right>
      <top style="thin">
        <color rgb="FF000000"/>
      </top>
      <bottom style="thin">
        <color rgb="FF000000"/>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8" fillId="0" borderId="0"/>
    <xf numFmtId="167"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8" fontId="4" fillId="0" borderId="0" applyFont="0" applyFill="0" applyBorder="0" applyProtection="0">
      <alignment horizontal="center" vertical="center"/>
    </xf>
    <xf numFmtId="0" fontId="8" fillId="3" borderId="0" applyNumberFormat="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16" fillId="0" borderId="0" applyNumberFormat="0" applyFill="0" applyBorder="0" applyAlignment="0" applyProtection="0"/>
    <xf numFmtId="0" fontId="17" fillId="6" borderId="0" applyNumberFormat="0" applyBorder="0" applyAlignment="0" applyProtection="0"/>
    <xf numFmtId="0" fontId="18" fillId="7" borderId="0" applyNumberFormat="0" applyBorder="0" applyAlignment="0" applyProtection="0"/>
    <xf numFmtId="0" fontId="19" fillId="8" borderId="0" applyNumberFormat="0" applyBorder="0" applyAlignment="0" applyProtection="0"/>
    <xf numFmtId="0" fontId="20" fillId="9" borderId="2" applyNumberFormat="0" applyAlignment="0" applyProtection="0"/>
    <xf numFmtId="0" fontId="21" fillId="10" borderId="3" applyNumberFormat="0" applyAlignment="0" applyProtection="0"/>
    <xf numFmtId="0" fontId="22" fillId="10" borderId="2" applyNumberFormat="0" applyAlignment="0" applyProtection="0"/>
    <xf numFmtId="0" fontId="23" fillId="0" borderId="4" applyNumberFormat="0" applyFill="0" applyAlignment="0" applyProtection="0"/>
    <xf numFmtId="0" fontId="10" fillId="11" borderId="5" applyNumberFormat="0" applyAlignment="0" applyProtection="0"/>
    <xf numFmtId="0" fontId="24" fillId="0" borderId="0" applyNumberFormat="0" applyFill="0" applyBorder="0" applyAlignment="0" applyProtection="0"/>
    <xf numFmtId="0" fontId="4" fillId="12" borderId="6" applyNumberFormat="0" applyFont="0" applyAlignment="0" applyProtection="0"/>
    <xf numFmtId="0" fontId="25" fillId="0" borderId="0" applyNumberFormat="0" applyFill="0" applyBorder="0" applyAlignment="0" applyProtection="0"/>
    <xf numFmtId="0" fontId="26" fillId="0" borderId="7" applyNumberFormat="0" applyFill="0" applyAlignment="0" applyProtection="0"/>
    <xf numFmtId="0" fontId="8"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8"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8"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8"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8"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cellStyleXfs>
  <cellXfs count="447">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1" fillId="0" borderId="0" xfId="0" applyFont="1"/>
    <xf numFmtId="0" fontId="7" fillId="0" borderId="0" xfId="0" applyFont="1"/>
    <xf numFmtId="0" fontId="1" fillId="0" borderId="0" xfId="0" applyFont="1" applyAlignment="1">
      <alignment vertical="top"/>
    </xf>
    <xf numFmtId="0" fontId="0" fillId="0" borderId="0" xfId="0" applyAlignment="1">
      <alignment horizontal="center" vertical="center" wrapText="1"/>
    </xf>
    <xf numFmtId="0" fontId="0" fillId="0" borderId="0" xfId="0" applyAlignment="1">
      <alignment horizontal="center" vertical="center"/>
    </xf>
    <xf numFmtId="0" fontId="12" fillId="0" borderId="0" xfId="6" applyFont="1" applyFill="1" applyAlignment="1">
      <alignment vertical="center"/>
    </xf>
    <xf numFmtId="0" fontId="7" fillId="2" borderId="0" xfId="0" applyFont="1" applyFill="1"/>
    <xf numFmtId="0" fontId="13" fillId="2" borderId="0" xfId="0" applyFont="1" applyFill="1"/>
    <xf numFmtId="0" fontId="11"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7" fillId="4" borderId="0" xfId="0" applyFont="1" applyFill="1"/>
    <xf numFmtId="0" fontId="10" fillId="4" borderId="0" xfId="0" applyFont="1" applyFill="1" applyAlignment="1">
      <alignment horizontal="center" vertical="center"/>
    </xf>
    <xf numFmtId="169" fontId="10" fillId="4" borderId="0" xfId="12" applyNumberFormat="1" applyFont="1" applyFill="1" applyBorder="1" applyAlignment="1">
      <alignment horizontal="center" vertical="center"/>
    </xf>
    <xf numFmtId="16" fontId="0" fillId="37" borderId="0" xfId="0" applyNumberFormat="1" applyFill="1" applyAlignment="1">
      <alignment horizontal="center" vertical="center"/>
    </xf>
    <xf numFmtId="9" fontId="0" fillId="0" borderId="0" xfId="2" applyFont="1" applyFill="1">
      <alignment horizontal="center" vertical="center"/>
    </xf>
    <xf numFmtId="169" fontId="0" fillId="0" borderId="0" xfId="12" applyNumberFormat="1" applyFont="1" applyAlignment="1">
      <alignment vertical="center"/>
    </xf>
    <xf numFmtId="14" fontId="0" fillId="0" borderId="0" xfId="0" applyNumberFormat="1" applyAlignment="1">
      <alignment vertical="center"/>
    </xf>
    <xf numFmtId="0" fontId="0" fillId="2" borderId="0" xfId="0" applyFill="1" applyAlignment="1">
      <alignment horizontal="center" vertical="center"/>
    </xf>
    <xf numFmtId="0" fontId="0" fillId="0" borderId="0" xfId="0" applyAlignment="1">
      <alignment horizontal="left" vertical="center"/>
    </xf>
    <xf numFmtId="9" fontId="0" fillId="0" borderId="0" xfId="0" applyNumberFormat="1" applyAlignment="1">
      <alignment vertical="center"/>
    </xf>
    <xf numFmtId="170" fontId="0" fillId="0" borderId="0" xfId="0" applyNumberFormat="1" applyAlignment="1">
      <alignment horizontal="center" vertical="center"/>
    </xf>
    <xf numFmtId="0" fontId="0" fillId="37" borderId="0" xfId="0" applyFill="1" applyAlignment="1">
      <alignment horizontal="center" vertical="center"/>
    </xf>
    <xf numFmtId="9" fontId="0" fillId="37" borderId="0" xfId="2" applyFont="1" applyFill="1">
      <alignment horizontal="center" vertical="center"/>
    </xf>
    <xf numFmtId="171" fontId="0" fillId="37" borderId="0" xfId="0" applyNumberFormat="1" applyFill="1" applyAlignment="1">
      <alignment horizontal="center" vertical="center"/>
    </xf>
    <xf numFmtId="16" fontId="0" fillId="38" borderId="0" xfId="0" applyNumberFormat="1" applyFill="1" applyAlignment="1">
      <alignment horizontal="center" vertical="center"/>
    </xf>
    <xf numFmtId="0" fontId="26" fillId="0" borderId="0" xfId="0" applyFont="1" applyAlignment="1">
      <alignment horizontal="left" vertical="center"/>
    </xf>
    <xf numFmtId="0" fontId="26" fillId="0" borderId="0" xfId="0" applyFont="1" applyAlignment="1">
      <alignment horizontal="right" vertical="center"/>
    </xf>
    <xf numFmtId="16" fontId="0" fillId="0" borderId="0" xfId="0" applyNumberFormat="1" applyAlignment="1">
      <alignment horizontal="center" vertical="center"/>
    </xf>
    <xf numFmtId="171" fontId="0" fillId="0" borderId="0" xfId="0" applyNumberFormat="1" applyAlignment="1">
      <alignment horizontal="center" vertical="center"/>
    </xf>
    <xf numFmtId="169" fontId="0" fillId="0" borderId="0" xfId="12" applyNumberFormat="1" applyFont="1" applyFill="1" applyBorder="1" applyAlignment="1">
      <alignment horizontal="right" vertical="center"/>
    </xf>
    <xf numFmtId="169" fontId="0" fillId="0" borderId="0" xfId="12" applyNumberFormat="1" applyFont="1" applyBorder="1" applyAlignment="1">
      <alignment horizontal="right" vertical="center"/>
    </xf>
    <xf numFmtId="169" fontId="0" fillId="2" borderId="0" xfId="12" applyNumberFormat="1" applyFont="1" applyFill="1" applyBorder="1" applyAlignment="1">
      <alignment horizontal="right" vertical="center"/>
    </xf>
    <xf numFmtId="169" fontId="0" fillId="0" borderId="0" xfId="12" applyNumberFormat="1" applyFont="1" applyAlignment="1">
      <alignment horizontal="right" vertical="center"/>
    </xf>
    <xf numFmtId="0" fontId="0" fillId="37" borderId="0" xfId="0" applyFill="1" applyAlignment="1">
      <alignment vertical="center"/>
    </xf>
    <xf numFmtId="0" fontId="0" fillId="37" borderId="0" xfId="0" applyFill="1" applyAlignment="1">
      <alignment horizontal="center"/>
    </xf>
    <xf numFmtId="169" fontId="0" fillId="37" borderId="0" xfId="12" applyNumberFormat="1" applyFont="1" applyFill="1" applyAlignment="1">
      <alignment vertical="center"/>
    </xf>
    <xf numFmtId="170" fontId="0" fillId="37" borderId="0" xfId="0" applyNumberFormat="1" applyFill="1" applyAlignment="1">
      <alignment horizontal="center" vertical="center"/>
    </xf>
    <xf numFmtId="169" fontId="0" fillId="37" borderId="0" xfId="12" applyNumberFormat="1" applyFont="1" applyFill="1" applyBorder="1" applyAlignment="1">
      <alignment horizontal="right" vertical="center"/>
    </xf>
    <xf numFmtId="0" fontId="26" fillId="0" borderId="0" xfId="0" applyFont="1" applyAlignment="1">
      <alignment horizontal="center" vertical="center"/>
    </xf>
    <xf numFmtId="0" fontId="27" fillId="39" borderId="8" xfId="0" applyFont="1" applyFill="1" applyBorder="1" applyAlignment="1">
      <alignment horizontal="center" vertical="center"/>
    </xf>
    <xf numFmtId="0" fontId="27" fillId="40" borderId="9" xfId="0" applyFont="1" applyFill="1" applyBorder="1" applyAlignment="1">
      <alignment horizontal="center" vertical="center"/>
    </xf>
    <xf numFmtId="0" fontId="0" fillId="38" borderId="0" xfId="0" applyFill="1" applyAlignment="1">
      <alignment horizontal="center" vertical="center"/>
    </xf>
    <xf numFmtId="169" fontId="26" fillId="0" borderId="0" xfId="12" applyNumberFormat="1" applyFont="1" applyAlignment="1">
      <alignment horizontal="right" vertical="center"/>
    </xf>
    <xf numFmtId="0" fontId="26" fillId="0" borderId="0" xfId="0" applyFont="1" applyAlignment="1">
      <alignment vertical="center"/>
    </xf>
    <xf numFmtId="16" fontId="26" fillId="0" borderId="10" xfId="0" applyNumberFormat="1" applyFont="1" applyBorder="1" applyAlignment="1">
      <alignment horizontal="center" vertical="center"/>
    </xf>
    <xf numFmtId="0" fontId="26" fillId="0" borderId="10" xfId="0" applyFont="1" applyBorder="1" applyAlignment="1">
      <alignment horizontal="center" vertical="center"/>
    </xf>
    <xf numFmtId="0" fontId="0" fillId="0" borderId="10" xfId="0" applyBorder="1" applyAlignment="1">
      <alignment horizontal="center" vertical="center"/>
    </xf>
    <xf numFmtId="0" fontId="28" fillId="0" borderId="10" xfId="0" applyFont="1" applyBorder="1" applyAlignment="1">
      <alignment horizontal="center"/>
    </xf>
    <xf numFmtId="0" fontId="30" fillId="0" borderId="10" xfId="0" applyFont="1" applyBorder="1" applyAlignment="1">
      <alignment horizontal="center"/>
    </xf>
    <xf numFmtId="0" fontId="28" fillId="0" borderId="0" xfId="0" applyFont="1" applyAlignment="1">
      <alignment horizontal="center"/>
    </xf>
    <xf numFmtId="0" fontId="30" fillId="0" borderId="0" xfId="0" applyFont="1" applyAlignment="1">
      <alignment horizontal="center"/>
    </xf>
    <xf numFmtId="0" fontId="30" fillId="0" borderId="0" xfId="0" applyFont="1" applyAlignment="1">
      <alignment horizontal="left"/>
    </xf>
    <xf numFmtId="0" fontId="0" fillId="0" borderId="0" xfId="0" applyAlignment="1">
      <alignment vertical="center" wrapText="1"/>
    </xf>
    <xf numFmtId="0" fontId="26" fillId="0" borderId="10" xfId="0" applyFont="1" applyBorder="1" applyAlignment="1">
      <alignment horizontal="center" vertical="center" wrapText="1"/>
    </xf>
    <xf numFmtId="14" fontId="0" fillId="0" borderId="0" xfId="0" applyNumberFormat="1" applyAlignment="1">
      <alignment vertical="center" wrapText="1"/>
    </xf>
    <xf numFmtId="0" fontId="26" fillId="0" borderId="0" xfId="0" applyFont="1" applyAlignment="1">
      <alignment vertical="center" wrapText="1"/>
    </xf>
    <xf numFmtId="16" fontId="31" fillId="42" borderId="10" xfId="0" applyNumberFormat="1" applyFont="1" applyFill="1" applyBorder="1" applyAlignment="1">
      <alignment horizontal="center" vertical="center"/>
    </xf>
    <xf numFmtId="0" fontId="31" fillId="42" borderId="10" xfId="0" applyFont="1" applyFill="1" applyBorder="1" applyAlignment="1">
      <alignment horizontal="center" vertical="center"/>
    </xf>
    <xf numFmtId="0" fontId="24" fillId="42" borderId="10" xfId="0" applyFont="1" applyFill="1" applyBorder="1" applyAlignment="1">
      <alignment horizontal="center" vertical="center"/>
    </xf>
    <xf numFmtId="0" fontId="26" fillId="5" borderId="14" xfId="0" applyFont="1" applyFill="1" applyBorder="1" applyAlignment="1">
      <alignment horizontal="center" vertical="center" wrapText="1"/>
    </xf>
    <xf numFmtId="0" fontId="0" fillId="0" borderId="16" xfId="0" applyBorder="1" applyAlignment="1">
      <alignment horizontal="center" vertical="center"/>
    </xf>
    <xf numFmtId="0" fontId="26" fillId="5" borderId="15" xfId="0" applyFont="1" applyFill="1" applyBorder="1" applyAlignment="1">
      <alignment horizontal="center" vertical="center" wrapText="1"/>
    </xf>
    <xf numFmtId="170" fontId="0" fillId="0" borderId="16" xfId="0" applyNumberFormat="1" applyBorder="1" applyAlignment="1">
      <alignment horizontal="center"/>
    </xf>
    <xf numFmtId="0" fontId="26" fillId="5" borderId="13" xfId="0" applyFont="1" applyFill="1" applyBorder="1" applyAlignment="1">
      <alignment horizontal="center" vertical="center" wrapText="1"/>
    </xf>
    <xf numFmtId="16" fontId="9" fillId="43" borderId="0" xfId="0" applyNumberFormat="1" applyFont="1" applyFill="1" applyAlignment="1">
      <alignment horizontal="center" vertical="center"/>
    </xf>
    <xf numFmtId="0" fontId="9" fillId="43" borderId="0" xfId="0" applyFont="1" applyFill="1" applyAlignment="1">
      <alignment horizontal="center" vertical="center"/>
    </xf>
    <xf numFmtId="9" fontId="9" fillId="44" borderId="0" xfId="0" applyNumberFormat="1" applyFont="1" applyFill="1" applyAlignment="1">
      <alignment horizontal="center" vertical="center"/>
    </xf>
    <xf numFmtId="0" fontId="9" fillId="44" borderId="0" xfId="0" applyFont="1" applyFill="1" applyAlignment="1">
      <alignment horizontal="center" vertical="center"/>
    </xf>
    <xf numFmtId="170" fontId="0" fillId="0" borderId="0" xfId="0" applyNumberFormat="1"/>
    <xf numFmtId="0" fontId="26" fillId="0" borderId="0" xfId="0" applyFont="1" applyAlignment="1">
      <alignment horizontal="right"/>
    </xf>
    <xf numFmtId="9" fontId="26" fillId="0" borderId="0" xfId="2" applyFont="1">
      <alignment horizontal="center" vertical="center"/>
    </xf>
    <xf numFmtId="169" fontId="0" fillId="0" borderId="0" xfId="12" applyNumberFormat="1" applyFont="1" applyBorder="1" applyAlignment="1">
      <alignment horizontal="center" vertical="center"/>
    </xf>
    <xf numFmtId="0" fontId="26" fillId="0" borderId="0" xfId="0" applyFont="1" applyAlignment="1">
      <alignment horizontal="left"/>
    </xf>
    <xf numFmtId="0" fontId="30" fillId="0" borderId="10" xfId="0" applyFont="1" applyBorder="1" applyAlignment="1">
      <alignment horizontal="left"/>
    </xf>
    <xf numFmtId="0" fontId="0" fillId="0" borderId="10" xfId="0" applyBorder="1" applyAlignment="1">
      <alignment horizontal="left" vertical="center"/>
    </xf>
    <xf numFmtId="0" fontId="0" fillId="0" borderId="10" xfId="0" applyBorder="1" applyAlignment="1">
      <alignment horizontal="right" vertical="center"/>
    </xf>
    <xf numFmtId="0" fontId="26" fillId="5" borderId="10" xfId="0" applyFont="1" applyFill="1" applyBorder="1" applyAlignment="1">
      <alignment horizontal="center" vertical="center"/>
    </xf>
    <xf numFmtId="0" fontId="26" fillId="5" borderId="10" xfId="0" applyFont="1" applyFill="1" applyBorder="1" applyAlignment="1">
      <alignment horizontal="right" vertical="center"/>
    </xf>
    <xf numFmtId="170" fontId="0" fillId="0" borderId="10" xfId="0" applyNumberFormat="1" applyBorder="1"/>
    <xf numFmtId="0" fontId="0" fillId="0" borderId="10" xfId="0" applyBorder="1" applyAlignment="1">
      <alignment vertical="center"/>
    </xf>
    <xf numFmtId="170" fontId="26" fillId="5" borderId="10" xfId="0" applyNumberFormat="1" applyFont="1" applyFill="1" applyBorder="1" applyAlignment="1">
      <alignment horizontal="center" vertical="center"/>
    </xf>
    <xf numFmtId="0" fontId="28" fillId="0" borderId="10" xfId="0" applyFont="1" applyBorder="1"/>
    <xf numFmtId="9" fontId="9" fillId="37" borderId="0" xfId="0" applyNumberFormat="1" applyFont="1" applyFill="1" applyAlignment="1">
      <alignment horizontal="center" vertical="center"/>
    </xf>
    <xf numFmtId="0" fontId="9" fillId="37" borderId="0" xfId="0" applyFont="1" applyFill="1" applyAlignment="1">
      <alignment horizontal="center" vertical="center"/>
    </xf>
    <xf numFmtId="0" fontId="30" fillId="0" borderId="23" xfId="0" applyFont="1" applyBorder="1" applyAlignment="1">
      <alignment horizontal="left"/>
    </xf>
    <xf numFmtId="0" fontId="28" fillId="0" borderId="23" xfId="0" applyFont="1" applyBorder="1"/>
    <xf numFmtId="0" fontId="26" fillId="0" borderId="20" xfId="0" applyFont="1" applyBorder="1" applyAlignment="1">
      <alignment horizontal="center" vertical="center"/>
    </xf>
    <xf numFmtId="0" fontId="0" fillId="0" borderId="20" xfId="0" applyBorder="1" applyAlignment="1">
      <alignment horizontal="center" vertical="center"/>
    </xf>
    <xf numFmtId="16" fontId="26" fillId="0" borderId="24" xfId="0" applyNumberFormat="1" applyFont="1" applyBorder="1" applyAlignment="1">
      <alignment horizontal="center" vertical="center"/>
    </xf>
    <xf numFmtId="0" fontId="26" fillId="0" borderId="25" xfId="0" applyFont="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16" fontId="26" fillId="0" borderId="27" xfId="0" applyNumberFormat="1" applyFont="1" applyBorder="1" applyAlignment="1">
      <alignment horizontal="center" vertical="center"/>
    </xf>
    <xf numFmtId="0" fontId="0" fillId="0" borderId="28" xfId="0" applyBorder="1" applyAlignment="1">
      <alignment horizontal="center" vertical="center"/>
    </xf>
    <xf numFmtId="16" fontId="26" fillId="0" borderId="29" xfId="0" applyNumberFormat="1" applyFont="1" applyBorder="1" applyAlignment="1">
      <alignment horizontal="center" vertical="center"/>
    </xf>
    <xf numFmtId="0" fontId="26" fillId="0" borderId="30"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26" fillId="46" borderId="9" xfId="0" applyFont="1" applyFill="1" applyBorder="1" applyAlignment="1">
      <alignment horizontal="center" vertical="center"/>
    </xf>
    <xf numFmtId="0" fontId="29" fillId="46" borderId="9" xfId="0" applyFont="1" applyFill="1" applyBorder="1"/>
    <xf numFmtId="0" fontId="26" fillId="46" borderId="9" xfId="0" applyFont="1" applyFill="1" applyBorder="1" applyAlignment="1">
      <alignment vertical="center"/>
    </xf>
    <xf numFmtId="0" fontId="0" fillId="46" borderId="9" xfId="0" applyFill="1" applyBorder="1" applyAlignment="1">
      <alignment vertical="center"/>
    </xf>
    <xf numFmtId="0" fontId="27" fillId="40" borderId="32" xfId="0" applyFont="1" applyFill="1" applyBorder="1" applyAlignment="1">
      <alignment horizontal="center" vertical="center"/>
    </xf>
    <xf numFmtId="0" fontId="26" fillId="45" borderId="0" xfId="0" applyFont="1" applyFill="1" applyAlignment="1">
      <alignment horizontal="left" vertical="center"/>
    </xf>
    <xf numFmtId="16" fontId="26" fillId="0" borderId="33" xfId="0" applyNumberFormat="1" applyFont="1" applyBorder="1" applyAlignment="1">
      <alignment horizontal="center" vertical="center"/>
    </xf>
    <xf numFmtId="0" fontId="26" fillId="0" borderId="34" xfId="0" applyFon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16" fontId="26" fillId="0" borderId="36" xfId="0" applyNumberFormat="1" applyFont="1" applyBorder="1" applyAlignment="1">
      <alignment horizontal="center" vertical="center"/>
    </xf>
    <xf numFmtId="0" fontId="0" fillId="0" borderId="37" xfId="0" applyBorder="1" applyAlignment="1">
      <alignment horizontal="center" vertical="center"/>
    </xf>
    <xf numFmtId="16" fontId="26" fillId="0" borderId="38" xfId="0" applyNumberFormat="1" applyFont="1" applyBorder="1" applyAlignment="1">
      <alignment horizontal="center" vertical="center"/>
    </xf>
    <xf numFmtId="0" fontId="26" fillId="0" borderId="39" xfId="0" applyFont="1"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16" fontId="26" fillId="0" borderId="41" xfId="0" applyNumberFormat="1" applyFont="1" applyBorder="1" applyAlignment="1">
      <alignment horizontal="center" vertical="center"/>
    </xf>
    <xf numFmtId="0" fontId="0" fillId="0" borderId="42" xfId="0" applyBorder="1" applyAlignment="1">
      <alignment horizontal="center" vertical="center"/>
    </xf>
    <xf numFmtId="16" fontId="26" fillId="0" borderId="43" xfId="0" applyNumberFormat="1" applyFont="1" applyBorder="1" applyAlignment="1">
      <alignment horizontal="center" vertical="center"/>
    </xf>
    <xf numFmtId="0" fontId="0" fillId="0" borderId="44" xfId="0" applyBorder="1" applyAlignment="1">
      <alignment horizontal="center" vertical="center"/>
    </xf>
    <xf numFmtId="16" fontId="26" fillId="0" borderId="45" xfId="0" applyNumberFormat="1" applyFont="1" applyBorder="1" applyAlignment="1">
      <alignment horizontal="center" vertical="center"/>
    </xf>
    <xf numFmtId="0" fontId="26" fillId="0" borderId="16" xfId="0" applyFont="1" applyBorder="1" applyAlignment="1">
      <alignment horizontal="center" vertical="center"/>
    </xf>
    <xf numFmtId="0" fontId="0" fillId="0" borderId="46" xfId="0" applyBorder="1" applyAlignment="1">
      <alignment horizontal="center" vertical="center"/>
    </xf>
    <xf numFmtId="16" fontId="26" fillId="36" borderId="33" xfId="0" applyNumberFormat="1" applyFont="1" applyFill="1" applyBorder="1" applyAlignment="1">
      <alignment horizontal="center" vertical="center"/>
    </xf>
    <xf numFmtId="0" fontId="26" fillId="36" borderId="34" xfId="0" applyFont="1" applyFill="1" applyBorder="1" applyAlignment="1">
      <alignment horizontal="center" vertical="center"/>
    </xf>
    <xf numFmtId="0" fontId="0" fillId="36" borderId="34" xfId="0" applyFill="1" applyBorder="1" applyAlignment="1">
      <alignment horizontal="center" vertical="center"/>
    </xf>
    <xf numFmtId="0" fontId="0" fillId="36" borderId="35" xfId="0" applyFill="1" applyBorder="1" applyAlignment="1">
      <alignment horizontal="center" vertical="center"/>
    </xf>
    <xf numFmtId="16" fontId="26" fillId="36" borderId="38" xfId="0" applyNumberFormat="1" applyFont="1" applyFill="1" applyBorder="1" applyAlignment="1">
      <alignment horizontal="center" vertical="center"/>
    </xf>
    <xf numFmtId="0" fontId="26" fillId="36" borderId="39" xfId="0" applyFont="1" applyFill="1" applyBorder="1" applyAlignment="1">
      <alignment horizontal="center" vertical="center"/>
    </xf>
    <xf numFmtId="0" fontId="0" fillId="36" borderId="39" xfId="0" applyFill="1" applyBorder="1" applyAlignment="1">
      <alignment horizontal="center" vertical="center"/>
    </xf>
    <xf numFmtId="0" fontId="0" fillId="36" borderId="40" xfId="0" applyFill="1" applyBorder="1" applyAlignment="1">
      <alignment horizontal="center" vertical="center"/>
    </xf>
    <xf numFmtId="16" fontId="26" fillId="0" borderId="20" xfId="0" applyNumberFormat="1" applyFont="1" applyBorder="1" applyAlignment="1">
      <alignment horizontal="center" vertical="center"/>
    </xf>
    <xf numFmtId="16" fontId="26" fillId="0" borderId="47" xfId="0" applyNumberFormat="1" applyFont="1" applyBorder="1" applyAlignment="1">
      <alignment horizontal="center" vertical="center"/>
    </xf>
    <xf numFmtId="0" fontId="0" fillId="0" borderId="48" xfId="0" applyBorder="1" applyAlignment="1">
      <alignment horizontal="center" vertical="center"/>
    </xf>
    <xf numFmtId="16" fontId="26" fillId="0" borderId="16" xfId="0" applyNumberFormat="1" applyFont="1" applyBorder="1" applyAlignment="1">
      <alignment horizontal="center" vertical="center"/>
    </xf>
    <xf numFmtId="0" fontId="27" fillId="39" borderId="51" xfId="0" applyFont="1" applyFill="1" applyBorder="1" applyAlignment="1">
      <alignment horizontal="center" vertical="center"/>
    </xf>
    <xf numFmtId="0" fontId="33" fillId="47" borderId="9" xfId="0" applyFont="1" applyFill="1" applyBorder="1" applyAlignment="1">
      <alignment horizontal="center"/>
    </xf>
    <xf numFmtId="0" fontId="26" fillId="0" borderId="9" xfId="0" applyFont="1" applyBorder="1" applyAlignment="1">
      <alignment horizontal="center" vertical="center"/>
    </xf>
    <xf numFmtId="0" fontId="0" fillId="48" borderId="0" xfId="0" applyFill="1" applyAlignment="1">
      <alignment horizontal="center" vertical="center"/>
    </xf>
    <xf numFmtId="0" fontId="28" fillId="0" borderId="50" xfId="0" applyFont="1" applyBorder="1"/>
    <xf numFmtId="0" fontId="33" fillId="47" borderId="49" xfId="0" applyFont="1" applyFill="1" applyBorder="1" applyAlignment="1">
      <alignment horizontal="center"/>
    </xf>
    <xf numFmtId="0" fontId="0" fillId="48" borderId="9" xfId="0" applyFill="1" applyBorder="1" applyAlignment="1">
      <alignment horizontal="center" vertical="center"/>
    </xf>
    <xf numFmtId="0" fontId="28" fillId="0" borderId="49" xfId="0" applyFont="1" applyBorder="1" applyAlignment="1">
      <alignment horizontal="center"/>
    </xf>
    <xf numFmtId="0" fontId="0" fillId="48" borderId="0" xfId="0" applyFill="1" applyAlignment="1">
      <alignment horizontal="center" vertical="center" wrapText="1"/>
    </xf>
    <xf numFmtId="0" fontId="28" fillId="0" borderId="50" xfId="0" applyFont="1" applyBorder="1" applyAlignment="1">
      <alignment horizontal="center"/>
    </xf>
    <xf numFmtId="0" fontId="28" fillId="0" borderId="0" xfId="0" applyFont="1"/>
    <xf numFmtId="0" fontId="28" fillId="0" borderId="52" xfId="0" applyFont="1" applyBorder="1"/>
    <xf numFmtId="0" fontId="26" fillId="45" borderId="9" xfId="0" applyFont="1" applyFill="1" applyBorder="1" applyAlignment="1">
      <alignment horizontal="center" vertical="center"/>
    </xf>
    <xf numFmtId="16" fontId="26" fillId="36" borderId="45" xfId="0" applyNumberFormat="1" applyFont="1" applyFill="1" applyBorder="1" applyAlignment="1">
      <alignment horizontal="center" vertical="center"/>
    </xf>
    <xf numFmtId="0" fontId="26" fillId="36" borderId="16" xfId="0" applyFont="1" applyFill="1" applyBorder="1" applyAlignment="1">
      <alignment horizontal="center" vertical="center"/>
    </xf>
    <xf numFmtId="0" fontId="0" fillId="36" borderId="16" xfId="0" applyFill="1" applyBorder="1" applyAlignment="1">
      <alignment horizontal="center" vertical="center"/>
    </xf>
    <xf numFmtId="0" fontId="0" fillId="36" borderId="46" xfId="0" applyFill="1" applyBorder="1" applyAlignment="1">
      <alignment horizontal="center" vertical="center"/>
    </xf>
    <xf numFmtId="0" fontId="0" fillId="0" borderId="23" xfId="0" applyBorder="1" applyAlignment="1">
      <alignment horizontal="center" vertical="center"/>
    </xf>
    <xf numFmtId="0" fontId="0" fillId="0" borderId="54" xfId="0" applyBorder="1" applyAlignment="1">
      <alignment horizontal="center" vertical="center"/>
    </xf>
    <xf numFmtId="0" fontId="34" fillId="39" borderId="9" xfId="0" applyFont="1" applyFill="1" applyBorder="1" applyAlignment="1">
      <alignment horizontal="center"/>
    </xf>
    <xf numFmtId="15" fontId="34" fillId="39" borderId="9" xfId="0" applyNumberFormat="1" applyFont="1" applyFill="1" applyBorder="1" applyAlignment="1">
      <alignment horizontal="center" vertical="center"/>
    </xf>
    <xf numFmtId="0" fontId="35" fillId="52" borderId="9" xfId="0" applyFont="1" applyFill="1" applyBorder="1" applyAlignment="1">
      <alignment horizontal="center"/>
    </xf>
    <xf numFmtId="0" fontId="35" fillId="52" borderId="9" xfId="0" applyFont="1" applyFill="1" applyBorder="1"/>
    <xf numFmtId="0" fontId="35" fillId="52" borderId="9" xfId="0" applyFont="1" applyFill="1" applyBorder="1" applyAlignment="1">
      <alignment horizontal="center" vertical="center"/>
    </xf>
    <xf numFmtId="15" fontId="35" fillId="52" borderId="9" xfId="0" applyNumberFormat="1" applyFont="1" applyFill="1" applyBorder="1" applyAlignment="1">
      <alignment horizontal="center" vertical="center"/>
    </xf>
    <xf numFmtId="16" fontId="26" fillId="36" borderId="43" xfId="0" applyNumberFormat="1" applyFont="1" applyFill="1" applyBorder="1" applyAlignment="1">
      <alignment horizontal="center" vertical="center"/>
    </xf>
    <xf numFmtId="0" fontId="26" fillId="36" borderId="20" xfId="0" applyFont="1" applyFill="1" applyBorder="1" applyAlignment="1">
      <alignment horizontal="center" vertical="center"/>
    </xf>
    <xf numFmtId="0" fontId="0" fillId="36" borderId="20" xfId="0" applyFill="1" applyBorder="1" applyAlignment="1">
      <alignment horizontal="center" vertical="center"/>
    </xf>
    <xf numFmtId="0" fontId="0" fillId="36" borderId="44" xfId="0" applyFill="1" applyBorder="1" applyAlignment="1">
      <alignment horizontal="center" vertical="center"/>
    </xf>
    <xf numFmtId="0" fontId="28" fillId="0" borderId="53" xfId="0" applyFont="1" applyBorder="1" applyAlignment="1">
      <alignment horizontal="center"/>
    </xf>
    <xf numFmtId="0" fontId="34" fillId="39" borderId="9" xfId="0" applyFont="1" applyFill="1" applyBorder="1" applyAlignment="1">
      <alignment horizontal="center" vertical="center"/>
    </xf>
    <xf numFmtId="1" fontId="34" fillId="39" borderId="9" xfId="0" applyNumberFormat="1" applyFont="1" applyFill="1" applyBorder="1" applyAlignment="1">
      <alignment horizontal="center" vertical="center"/>
    </xf>
    <xf numFmtId="169" fontId="0" fillId="0" borderId="0" xfId="0" applyNumberFormat="1" applyAlignment="1">
      <alignment vertical="center" wrapText="1"/>
    </xf>
    <xf numFmtId="0" fontId="0" fillId="37" borderId="0" xfId="0" applyFill="1" applyAlignment="1">
      <alignment horizontal="left" vertical="center"/>
    </xf>
    <xf numFmtId="16" fontId="26" fillId="0" borderId="57" xfId="0" applyNumberFormat="1" applyFont="1" applyBorder="1" applyAlignment="1">
      <alignment horizontal="center" vertical="center"/>
    </xf>
    <xf numFmtId="0" fontId="26" fillId="0" borderId="23" xfId="0" applyFont="1" applyBorder="1" applyAlignment="1">
      <alignment horizontal="center" vertical="center"/>
    </xf>
    <xf numFmtId="16" fontId="26" fillId="36" borderId="10" xfId="0" applyNumberFormat="1" applyFont="1" applyFill="1" applyBorder="1" applyAlignment="1">
      <alignment horizontal="center" vertical="center"/>
    </xf>
    <xf numFmtId="0" fontId="26" fillId="36" borderId="10" xfId="0" applyFont="1" applyFill="1" applyBorder="1" applyAlignment="1">
      <alignment horizontal="center" vertical="center"/>
    </xf>
    <xf numFmtId="0" fontId="0" fillId="36" borderId="10" xfId="0" applyFill="1" applyBorder="1" applyAlignment="1">
      <alignment horizontal="center" vertical="center"/>
    </xf>
    <xf numFmtId="0" fontId="24" fillId="36" borderId="10" xfId="0" applyFont="1" applyFill="1" applyBorder="1" applyAlignment="1">
      <alignment horizontal="center" vertical="center"/>
    </xf>
    <xf numFmtId="0" fontId="28" fillId="53" borderId="10" xfId="0" applyFont="1" applyFill="1" applyBorder="1" applyAlignment="1">
      <alignment horizontal="center"/>
    </xf>
    <xf numFmtId="0" fontId="26" fillId="0" borderId="32" xfId="0" applyFont="1" applyBorder="1" applyAlignment="1">
      <alignment horizontal="center" vertical="center"/>
    </xf>
    <xf numFmtId="49" fontId="26" fillId="0" borderId="59" xfId="0" applyNumberFormat="1" applyFont="1" applyBorder="1" applyAlignment="1">
      <alignment horizontal="center" vertical="center"/>
    </xf>
    <xf numFmtId="0" fontId="26" fillId="0" borderId="20" xfId="0" applyFont="1" applyBorder="1" applyAlignment="1">
      <alignment horizontal="center" vertical="center" wrapText="1"/>
    </xf>
    <xf numFmtId="1" fontId="34" fillId="52" borderId="9" xfId="0" applyNumberFormat="1" applyFont="1" applyFill="1" applyBorder="1" applyAlignment="1" applyProtection="1">
      <alignment horizontal="center"/>
      <protection hidden="1"/>
    </xf>
    <xf numFmtId="1" fontId="34" fillId="52" borderId="9" xfId="0" applyNumberFormat="1" applyFont="1" applyFill="1" applyBorder="1" applyAlignment="1">
      <alignment horizontal="center"/>
    </xf>
    <xf numFmtId="0" fontId="0" fillId="54" borderId="10" xfId="0" applyFill="1" applyBorder="1" applyAlignment="1">
      <alignment horizontal="center" vertical="center"/>
    </xf>
    <xf numFmtId="170" fontId="0" fillId="54" borderId="10" xfId="0" applyNumberFormat="1" applyFill="1" applyBorder="1"/>
    <xf numFmtId="0" fontId="28" fillId="0" borderId="9" xfId="0" applyFont="1" applyBorder="1" applyAlignment="1">
      <alignment horizontal="center"/>
    </xf>
    <xf numFmtId="0" fontId="24" fillId="36" borderId="34" xfId="0" applyFont="1" applyFill="1" applyBorder="1" applyAlignment="1">
      <alignment horizontal="center" vertical="center"/>
    </xf>
    <xf numFmtId="0" fontId="24" fillId="36" borderId="35" xfId="0" applyFont="1" applyFill="1" applyBorder="1" applyAlignment="1">
      <alignment horizontal="center" vertical="center"/>
    </xf>
    <xf numFmtId="16" fontId="26" fillId="36" borderId="36" xfId="0" applyNumberFormat="1" applyFont="1" applyFill="1" applyBorder="1" applyAlignment="1">
      <alignment horizontal="center" vertical="center"/>
    </xf>
    <xf numFmtId="0" fontId="24" fillId="36" borderId="37" xfId="0" applyFont="1" applyFill="1" applyBorder="1" applyAlignment="1">
      <alignment horizontal="center" vertical="center"/>
    </xf>
    <xf numFmtId="9" fontId="0" fillId="0" borderId="0" xfId="2" applyFont="1">
      <alignment horizontal="center" vertical="center"/>
    </xf>
    <xf numFmtId="0" fontId="26" fillId="38" borderId="9" xfId="0" applyFont="1" applyFill="1" applyBorder="1" applyAlignment="1">
      <alignment vertical="center"/>
    </xf>
    <xf numFmtId="0" fontId="26" fillId="37" borderId="9" xfId="0" applyFont="1" applyFill="1" applyBorder="1" applyAlignment="1">
      <alignment vertical="center"/>
    </xf>
    <xf numFmtId="0" fontId="26" fillId="56" borderId="9" xfId="0" applyFont="1" applyFill="1" applyBorder="1" applyAlignment="1">
      <alignment horizontal="center" vertical="center"/>
    </xf>
    <xf numFmtId="0" fontId="28" fillId="43" borderId="0" xfId="0" applyFont="1" applyFill="1" applyAlignment="1">
      <alignment horizontal="center" vertical="center"/>
    </xf>
    <xf numFmtId="16" fontId="28" fillId="43" borderId="0" xfId="0" applyNumberFormat="1" applyFont="1" applyFill="1" applyAlignment="1">
      <alignment horizontal="center" vertical="center"/>
    </xf>
    <xf numFmtId="0" fontId="28" fillId="43" borderId="0" xfId="0" quotePrefix="1" applyFont="1" applyFill="1" applyAlignment="1">
      <alignment horizontal="center" vertical="center"/>
    </xf>
    <xf numFmtId="0" fontId="28" fillId="44" borderId="0" xfId="0" quotePrefix="1" applyFont="1" applyFill="1" applyAlignment="1">
      <alignment horizontal="center" vertical="center"/>
    </xf>
    <xf numFmtId="169" fontId="10" fillId="4" borderId="0" xfId="12" applyNumberFormat="1" applyFont="1" applyFill="1" applyAlignment="1">
      <alignment horizontal="center" vertical="center"/>
    </xf>
    <xf numFmtId="0" fontId="28" fillId="37" borderId="0" xfId="0" applyFont="1" applyFill="1" applyAlignment="1">
      <alignment horizontal="center" vertical="center"/>
    </xf>
    <xf numFmtId="9" fontId="28" fillId="37" borderId="0" xfId="0" applyNumberFormat="1" applyFont="1" applyFill="1" applyAlignment="1">
      <alignment horizontal="center" vertical="center"/>
    </xf>
    <xf numFmtId="9" fontId="0" fillId="0" borderId="0" xfId="0" applyNumberFormat="1" applyAlignment="1">
      <alignment horizontal="center" vertical="center"/>
    </xf>
    <xf numFmtId="14" fontId="0" fillId="0" borderId="0" xfId="0" applyNumberFormat="1" applyAlignment="1">
      <alignment horizontal="center" vertical="center"/>
    </xf>
    <xf numFmtId="14" fontId="0" fillId="0" borderId="0" xfId="0" applyNumberFormat="1" applyAlignment="1">
      <alignment horizontal="center" vertical="center" wrapText="1"/>
    </xf>
    <xf numFmtId="0" fontId="26" fillId="48" borderId="9" xfId="0" applyFont="1" applyFill="1" applyBorder="1" applyAlignment="1">
      <alignment vertical="center"/>
    </xf>
    <xf numFmtId="0" fontId="28" fillId="44" borderId="0" xfId="0" applyFont="1" applyFill="1" applyAlignment="1">
      <alignment horizontal="center" vertical="center"/>
    </xf>
    <xf numFmtId="0" fontId="28" fillId="55" borderId="0" xfId="0" applyFont="1" applyFill="1" applyAlignment="1">
      <alignment horizontal="center" vertical="center"/>
    </xf>
    <xf numFmtId="9" fontId="28" fillId="44" borderId="0" xfId="0" applyNumberFormat="1" applyFont="1" applyFill="1" applyAlignment="1">
      <alignment horizontal="center" vertical="center"/>
    </xf>
    <xf numFmtId="0" fontId="28" fillId="0" borderId="0" xfId="0" applyFont="1" applyAlignment="1">
      <alignment horizontal="center" vertical="center"/>
    </xf>
    <xf numFmtId="0" fontId="30" fillId="44" borderId="0" xfId="0" applyFont="1" applyFill="1" applyAlignment="1">
      <alignment horizontal="center" vertical="center"/>
    </xf>
    <xf numFmtId="16" fontId="26" fillId="0" borderId="76" xfId="0" applyNumberFormat="1" applyFont="1" applyBorder="1" applyAlignment="1">
      <alignment horizontal="center" vertical="center"/>
    </xf>
    <xf numFmtId="0" fontId="26" fillId="0" borderId="77" xfId="0" applyFon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0" fontId="28" fillId="37" borderId="0" xfId="0" quotePrefix="1" applyFont="1" applyFill="1" applyAlignment="1">
      <alignment horizontal="center" vertical="center"/>
    </xf>
    <xf numFmtId="16" fontId="26" fillId="36" borderId="57" xfId="0" applyNumberFormat="1" applyFont="1" applyFill="1" applyBorder="1" applyAlignment="1">
      <alignment horizontal="center" vertical="center"/>
    </xf>
    <xf numFmtId="0" fontId="26" fillId="36" borderId="23" xfId="0" applyFont="1" applyFill="1" applyBorder="1" applyAlignment="1">
      <alignment horizontal="center" vertical="center"/>
    </xf>
    <xf numFmtId="0" fontId="0" fillId="36" borderId="23" xfId="0" applyFill="1" applyBorder="1" applyAlignment="1">
      <alignment horizontal="center" vertical="center"/>
    </xf>
    <xf numFmtId="0" fontId="0" fillId="36" borderId="54"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169" fontId="0" fillId="2" borderId="0" xfId="12" applyNumberFormat="1" applyFont="1" applyFill="1" applyAlignment="1">
      <alignment horizontal="right" vertical="center"/>
    </xf>
    <xf numFmtId="16" fontId="26" fillId="36" borderId="76" xfId="0" applyNumberFormat="1" applyFont="1" applyFill="1" applyBorder="1" applyAlignment="1">
      <alignment horizontal="center" vertical="center"/>
    </xf>
    <xf numFmtId="0" fontId="26" fillId="36" borderId="77" xfId="0" applyFont="1" applyFill="1" applyBorder="1" applyAlignment="1">
      <alignment horizontal="center" vertical="center"/>
    </xf>
    <xf numFmtId="0" fontId="0" fillId="36" borderId="77" xfId="0" applyFill="1" applyBorder="1" applyAlignment="1">
      <alignment horizontal="center" vertical="center"/>
    </xf>
    <xf numFmtId="0" fontId="0" fillId="36" borderId="78" xfId="0" applyFill="1" applyBorder="1" applyAlignment="1">
      <alignment horizontal="center" vertical="center"/>
    </xf>
    <xf numFmtId="0" fontId="26" fillId="37" borderId="9" xfId="0" applyFont="1" applyFill="1" applyBorder="1" applyAlignment="1">
      <alignment horizontal="center" vertical="center"/>
    </xf>
    <xf numFmtId="0" fontId="26" fillId="0" borderId="9" xfId="0" applyFont="1" applyBorder="1" applyAlignment="1">
      <alignment vertical="center"/>
    </xf>
    <xf numFmtId="0" fontId="28" fillId="37" borderId="0" xfId="0" applyFont="1" applyFill="1" applyAlignment="1">
      <alignment vertical="center"/>
    </xf>
    <xf numFmtId="169" fontId="0" fillId="37" borderId="0" xfId="12" applyNumberFormat="1" applyFont="1" applyFill="1" applyAlignment="1">
      <alignment horizontal="right" vertical="center"/>
    </xf>
    <xf numFmtId="0" fontId="0" fillId="36" borderId="37" xfId="0" applyFill="1" applyBorder="1" applyAlignment="1">
      <alignment horizontal="center" vertical="center"/>
    </xf>
    <xf numFmtId="0" fontId="26" fillId="37" borderId="0" xfId="0" applyFont="1" applyFill="1" applyAlignment="1">
      <alignment vertical="center"/>
    </xf>
    <xf numFmtId="0" fontId="28" fillId="37" borderId="0" xfId="0" applyFont="1" applyFill="1" applyAlignment="1">
      <alignment horizontal="left" vertical="center"/>
    </xf>
    <xf numFmtId="16" fontId="31" fillId="42" borderId="33" xfId="0" applyNumberFormat="1" applyFont="1" applyFill="1" applyBorder="1" applyAlignment="1">
      <alignment horizontal="center" vertical="center"/>
    </xf>
    <xf numFmtId="0" fontId="31" fillId="42" borderId="34" xfId="0" applyFont="1" applyFill="1" applyBorder="1" applyAlignment="1">
      <alignment horizontal="center" vertical="center"/>
    </xf>
    <xf numFmtId="0" fontId="24" fillId="42" borderId="34" xfId="0" applyFont="1" applyFill="1" applyBorder="1" applyAlignment="1">
      <alignment horizontal="center" vertical="center"/>
    </xf>
    <xf numFmtId="0" fontId="24" fillId="42" borderId="35" xfId="0" applyFont="1" applyFill="1" applyBorder="1" applyAlignment="1">
      <alignment horizontal="center" vertical="center"/>
    </xf>
    <xf numFmtId="16" fontId="31" fillId="42" borderId="36" xfId="0" applyNumberFormat="1" applyFont="1" applyFill="1" applyBorder="1" applyAlignment="1">
      <alignment horizontal="center" vertical="center"/>
    </xf>
    <xf numFmtId="0" fontId="24" fillId="42" borderId="37" xfId="0" applyFont="1" applyFill="1" applyBorder="1" applyAlignment="1">
      <alignment horizontal="center" vertical="center"/>
    </xf>
    <xf numFmtId="0" fontId="34" fillId="40" borderId="9" xfId="0" applyFont="1" applyFill="1" applyBorder="1" applyAlignment="1">
      <alignment horizontal="center" vertical="center"/>
    </xf>
    <xf numFmtId="0" fontId="34" fillId="40" borderId="55" xfId="0" quotePrefix="1" applyFont="1" applyFill="1" applyBorder="1" applyAlignment="1">
      <alignment horizontal="center" vertical="center"/>
    </xf>
    <xf numFmtId="0" fontId="34" fillId="40" borderId="50" xfId="0" applyFont="1" applyFill="1" applyBorder="1" applyAlignment="1">
      <alignment horizontal="center" vertical="center"/>
    </xf>
    <xf numFmtId="0" fontId="34" fillId="40" borderId="64" xfId="0" quotePrefix="1" applyFont="1" applyFill="1" applyBorder="1" applyAlignment="1">
      <alignment horizontal="center" vertical="center"/>
    </xf>
    <xf numFmtId="0" fontId="34" fillId="40" borderId="62" xfId="0" quotePrefix="1" applyFont="1" applyFill="1" applyBorder="1" applyAlignment="1">
      <alignment horizontal="center" vertical="center"/>
    </xf>
    <xf numFmtId="0" fontId="34" fillId="40" borderId="63" xfId="0" quotePrefix="1" applyFont="1" applyFill="1" applyBorder="1" applyAlignment="1">
      <alignment horizontal="center" vertical="center"/>
    </xf>
    <xf numFmtId="0" fontId="28" fillId="0" borderId="10" xfId="0" applyFont="1" applyBorder="1" applyAlignment="1">
      <alignment horizontal="center" vertical="center"/>
    </xf>
    <xf numFmtId="0" fontId="28" fillId="0" borderId="22" xfId="0" applyFont="1" applyBorder="1" applyAlignment="1">
      <alignment horizontal="center" vertical="center"/>
    </xf>
    <xf numFmtId="16" fontId="31" fillId="42" borderId="43" xfId="0" applyNumberFormat="1" applyFont="1" applyFill="1" applyBorder="1" applyAlignment="1">
      <alignment horizontal="center" vertical="center"/>
    </xf>
    <xf numFmtId="0" fontId="31" fillId="42" borderId="20" xfId="0" applyFont="1" applyFill="1" applyBorder="1" applyAlignment="1">
      <alignment horizontal="center" vertical="center"/>
    </xf>
    <xf numFmtId="0" fontId="24" fillId="42" borderId="20" xfId="0" applyFont="1" applyFill="1" applyBorder="1" applyAlignment="1">
      <alignment horizontal="center" vertical="center"/>
    </xf>
    <xf numFmtId="0" fontId="24" fillId="42" borderId="44" xfId="0" applyFont="1" applyFill="1" applyBorder="1" applyAlignment="1">
      <alignment horizontal="center" vertical="center"/>
    </xf>
    <xf numFmtId="0" fontId="31" fillId="42" borderId="16" xfId="0" applyFont="1" applyFill="1" applyBorder="1" applyAlignment="1">
      <alignment horizontal="center" vertical="center"/>
    </xf>
    <xf numFmtId="0" fontId="24" fillId="42" borderId="16" xfId="0" applyFont="1" applyFill="1" applyBorder="1" applyAlignment="1">
      <alignment horizontal="center" vertical="center"/>
    </xf>
    <xf numFmtId="16" fontId="31" fillId="42" borderId="45" xfId="0" applyNumberFormat="1" applyFont="1" applyFill="1" applyBorder="1" applyAlignment="1">
      <alignment horizontal="center" vertical="center"/>
    </xf>
    <xf numFmtId="0" fontId="24" fillId="42" borderId="46" xfId="0" applyFont="1" applyFill="1" applyBorder="1" applyAlignment="1">
      <alignment horizontal="center" vertical="center"/>
    </xf>
    <xf numFmtId="16" fontId="31" fillId="42" borderId="94" xfId="0" applyNumberFormat="1" applyFont="1" applyFill="1" applyBorder="1" applyAlignment="1">
      <alignment horizontal="center" vertical="center"/>
    </xf>
    <xf numFmtId="0" fontId="31" fillId="42" borderId="95" xfId="0" applyFont="1" applyFill="1" applyBorder="1" applyAlignment="1">
      <alignment horizontal="center" vertical="center"/>
    </xf>
    <xf numFmtId="0" fontId="24" fillId="42" borderId="95" xfId="0" applyFont="1" applyFill="1" applyBorder="1" applyAlignment="1">
      <alignment horizontal="center" vertical="center"/>
    </xf>
    <xf numFmtId="0" fontId="24" fillId="42" borderId="96" xfId="0" applyFont="1" applyFill="1" applyBorder="1" applyAlignment="1">
      <alignment horizontal="center" vertical="center"/>
    </xf>
    <xf numFmtId="9" fontId="37" fillId="44" borderId="0" xfId="0" applyNumberFormat="1" applyFont="1" applyFill="1" applyAlignment="1">
      <alignment horizontal="center" vertical="center"/>
    </xf>
    <xf numFmtId="0" fontId="34" fillId="40" borderId="63" xfId="0" applyFont="1" applyFill="1" applyBorder="1" applyAlignment="1">
      <alignment horizontal="center" vertical="center"/>
    </xf>
    <xf numFmtId="0" fontId="34" fillId="40" borderId="62" xfId="0" applyFont="1" applyFill="1" applyBorder="1" applyAlignment="1">
      <alignment horizontal="center" vertical="center"/>
    </xf>
    <xf numFmtId="16" fontId="31" fillId="42" borderId="38" xfId="0" applyNumberFormat="1" applyFont="1" applyFill="1" applyBorder="1" applyAlignment="1">
      <alignment horizontal="center" vertical="center"/>
    </xf>
    <xf numFmtId="0" fontId="31" fillId="42" borderId="39" xfId="0" applyFont="1" applyFill="1" applyBorder="1" applyAlignment="1">
      <alignment horizontal="center" vertical="center"/>
    </xf>
    <xf numFmtId="0" fontId="24" fillId="42" borderId="39" xfId="0" applyFont="1" applyFill="1" applyBorder="1" applyAlignment="1">
      <alignment horizontal="center" vertical="center"/>
    </xf>
    <xf numFmtId="0" fontId="24" fillId="42" borderId="40" xfId="0" applyFont="1" applyFill="1" applyBorder="1" applyAlignment="1">
      <alignment horizontal="center" vertical="center"/>
    </xf>
    <xf numFmtId="0" fontId="33" fillId="47" borderId="0" xfId="0" applyFont="1" applyFill="1" applyAlignment="1">
      <alignment horizontal="center" vertical="center"/>
    </xf>
    <xf numFmtId="0" fontId="28" fillId="44" borderId="0" xfId="0" quotePrefix="1" applyFont="1" applyFill="1" applyAlignment="1">
      <alignment horizontal="right" vertical="center"/>
    </xf>
    <xf numFmtId="0" fontId="34" fillId="39" borderId="49" xfId="0" applyFont="1" applyFill="1" applyBorder="1" applyAlignment="1">
      <alignment horizontal="center" vertical="center"/>
    </xf>
    <xf numFmtId="0" fontId="34" fillId="39" borderId="50" xfId="0" applyFont="1" applyFill="1" applyBorder="1" applyAlignment="1">
      <alignment horizontal="center" vertical="center"/>
    </xf>
    <xf numFmtId="9" fontId="28" fillId="0" borderId="0" xfId="0" applyNumberFormat="1" applyFont="1" applyAlignment="1">
      <alignment horizontal="center" vertical="center"/>
    </xf>
    <xf numFmtId="1" fontId="34" fillId="39" borderId="9" xfId="0" applyNumberFormat="1" applyFont="1" applyFill="1" applyBorder="1" applyAlignment="1">
      <alignment horizontal="left"/>
    </xf>
    <xf numFmtId="0" fontId="26" fillId="0" borderId="8" xfId="0" applyFont="1" applyBorder="1" applyAlignment="1">
      <alignment vertical="center"/>
    </xf>
    <xf numFmtId="0" fontId="26" fillId="0" borderId="8" xfId="0" applyFont="1" applyBorder="1" applyAlignment="1">
      <alignment horizontal="center" vertical="center"/>
    </xf>
    <xf numFmtId="16" fontId="31" fillId="42" borderId="20" xfId="0" applyNumberFormat="1" applyFont="1" applyFill="1" applyBorder="1" applyAlignment="1">
      <alignment horizontal="center" vertical="center"/>
    </xf>
    <xf numFmtId="0" fontId="34" fillId="40" borderId="50" xfId="0" quotePrefix="1" applyFont="1" applyFill="1" applyBorder="1" applyAlignment="1">
      <alignment horizontal="center" vertical="center"/>
    </xf>
    <xf numFmtId="0" fontId="28" fillId="44" borderId="0" xfId="0" applyFont="1" applyFill="1" applyAlignment="1">
      <alignment horizontal="left" vertical="center"/>
    </xf>
    <xf numFmtId="0" fontId="27" fillId="40" borderId="63" xfId="0" applyFont="1" applyFill="1" applyBorder="1" applyAlignment="1">
      <alignment horizontal="center" vertical="center"/>
    </xf>
    <xf numFmtId="0" fontId="26" fillId="48" borderId="9" xfId="0" applyFont="1" applyFill="1" applyBorder="1" applyAlignment="1">
      <alignment horizontal="center" vertical="center"/>
    </xf>
    <xf numFmtId="0" fontId="26" fillId="48" borderId="8" xfId="0" applyFont="1" applyFill="1" applyBorder="1" applyAlignment="1">
      <alignment vertical="center"/>
    </xf>
    <xf numFmtId="0" fontId="34" fillId="40" borderId="9" xfId="0" quotePrefix="1" applyFont="1" applyFill="1" applyBorder="1" applyAlignment="1">
      <alignment horizontal="center" vertical="center"/>
    </xf>
    <xf numFmtId="16" fontId="28" fillId="43" borderId="0" xfId="0" quotePrefix="1" applyNumberFormat="1" applyFont="1" applyFill="1" applyAlignment="1">
      <alignment horizontal="center" vertical="center"/>
    </xf>
    <xf numFmtId="166" fontId="35" fillId="50" borderId="9" xfId="0" applyNumberFormat="1" applyFont="1" applyFill="1" applyBorder="1" applyAlignment="1">
      <alignment horizontal="right"/>
    </xf>
    <xf numFmtId="166" fontId="0" fillId="0" borderId="0" xfId="0" applyNumberFormat="1" applyAlignment="1">
      <alignment horizontal="right"/>
    </xf>
    <xf numFmtId="0" fontId="26" fillId="37" borderId="0" xfId="0" applyFont="1" applyFill="1" applyAlignment="1">
      <alignment horizontal="right" vertical="center"/>
    </xf>
    <xf numFmtId="16" fontId="26" fillId="37" borderId="10" xfId="0" applyNumberFormat="1" applyFont="1" applyFill="1" applyBorder="1" applyAlignment="1">
      <alignment horizontal="center" vertical="center"/>
    </xf>
    <xf numFmtId="0" fontId="26" fillId="37" borderId="10" xfId="0" applyFont="1" applyFill="1" applyBorder="1" applyAlignment="1">
      <alignment horizontal="center" vertical="center"/>
    </xf>
    <xf numFmtId="0" fontId="31" fillId="57" borderId="10" xfId="0" applyFont="1" applyFill="1" applyBorder="1" applyAlignment="1">
      <alignment horizontal="center" vertical="center"/>
    </xf>
    <xf numFmtId="0" fontId="0" fillId="2" borderId="0" xfId="0" applyFill="1" applyAlignment="1">
      <alignment horizontal="left" vertical="center"/>
    </xf>
    <xf numFmtId="169" fontId="0" fillId="0" borderId="0" xfId="12" applyNumberFormat="1" applyFont="1" applyFill="1" applyAlignment="1">
      <alignment vertical="center"/>
    </xf>
    <xf numFmtId="0" fontId="28" fillId="53" borderId="0" xfId="0" applyFont="1" applyFill="1" applyAlignment="1">
      <alignment horizontal="center" vertical="center"/>
    </xf>
    <xf numFmtId="0" fontId="0" fillId="53" borderId="0" xfId="0" applyFill="1" applyAlignment="1">
      <alignment horizontal="center" vertical="center"/>
    </xf>
    <xf numFmtId="0" fontId="0" fillId="53" borderId="0" xfId="0" applyFill="1" applyAlignment="1">
      <alignment horizontal="left" vertical="center"/>
    </xf>
    <xf numFmtId="169" fontId="0" fillId="53" borderId="0" xfId="12" applyNumberFormat="1" applyFont="1" applyFill="1" applyBorder="1" applyAlignment="1">
      <alignment horizontal="right" vertical="center"/>
    </xf>
    <xf numFmtId="9" fontId="0" fillId="53" borderId="0" xfId="2" applyFont="1" applyFill="1">
      <alignment horizontal="center" vertical="center"/>
    </xf>
    <xf numFmtId="169" fontId="0" fillId="53" borderId="0" xfId="12" applyNumberFormat="1" applyFont="1" applyFill="1" applyAlignment="1">
      <alignment horizontal="right" vertical="center"/>
    </xf>
    <xf numFmtId="0" fontId="29" fillId="46" borderId="9" xfId="0" applyFont="1" applyFill="1" applyBorder="1" applyAlignment="1">
      <alignment horizontal="center"/>
    </xf>
    <xf numFmtId="0" fontId="34" fillId="40" borderId="64" xfId="0" applyFont="1" applyFill="1" applyBorder="1" applyAlignment="1">
      <alignment horizontal="center" vertical="center"/>
    </xf>
    <xf numFmtId="0" fontId="28" fillId="0" borderId="0" xfId="0" quotePrefix="1" applyFont="1" applyAlignment="1">
      <alignment horizontal="center" vertical="center"/>
    </xf>
    <xf numFmtId="0" fontId="28" fillId="55" borderId="0" xfId="0" quotePrefix="1" applyFont="1" applyFill="1" applyAlignment="1">
      <alignment horizontal="center" vertical="center"/>
    </xf>
    <xf numFmtId="0" fontId="34" fillId="40" borderId="93" xfId="0" applyFont="1" applyFill="1" applyBorder="1" applyAlignment="1">
      <alignment horizontal="center" vertical="center"/>
    </xf>
    <xf numFmtId="0" fontId="33" fillId="47" borderId="49" xfId="0" applyFont="1" applyFill="1" applyBorder="1" applyAlignment="1">
      <alignment horizontal="center" vertical="center"/>
    </xf>
    <xf numFmtId="0" fontId="33" fillId="47" borderId="9" xfId="0" applyFont="1" applyFill="1" applyBorder="1" applyAlignment="1">
      <alignment horizontal="center" vertical="center"/>
    </xf>
    <xf numFmtId="0" fontId="33" fillId="47" borderId="8" xfId="0" applyFont="1" applyFill="1" applyBorder="1" applyAlignment="1">
      <alignment horizontal="center" vertical="center"/>
    </xf>
    <xf numFmtId="0" fontId="29" fillId="0" borderId="9" xfId="0" applyFont="1" applyBorder="1"/>
    <xf numFmtId="0" fontId="29" fillId="0" borderId="9" xfId="0" applyFont="1" applyBorder="1" applyAlignment="1">
      <alignment horizontal="center"/>
    </xf>
    <xf numFmtId="0" fontId="29" fillId="0" borderId="8" xfId="0" applyFont="1" applyBorder="1"/>
    <xf numFmtId="0" fontId="29" fillId="0" borderId="8" xfId="0" applyFont="1" applyBorder="1" applyAlignment="1">
      <alignment horizontal="center"/>
    </xf>
    <xf numFmtId="0" fontId="33" fillId="47" borderId="8" xfId="0" applyFont="1" applyFill="1" applyBorder="1" applyAlignment="1">
      <alignment horizontal="center"/>
    </xf>
    <xf numFmtId="0" fontId="34" fillId="39" borderId="9" xfId="0" applyFont="1" applyFill="1" applyBorder="1" applyAlignment="1">
      <alignment horizontal="left"/>
    </xf>
    <xf numFmtId="0" fontId="35" fillId="0" borderId="0" xfId="0" applyFont="1">
      <extLst>
        <ext xmlns:xfpb="http://schemas.microsoft.com/office/spreadsheetml/2022/featurepropertybag" uri="{C7286773-470A-42A8-94C5-96B5CB345126}">
          <xfpb:xfComplement i="0"/>
        </ext>
      </extLst>
    </xf>
    <xf numFmtId="49" fontId="0" fillId="0" borderId="0" xfId="0" applyNumberFormat="1"/>
    <xf numFmtId="49" fontId="34" fillId="39" borderId="9" xfId="0" applyNumberFormat="1" applyFont="1" applyFill="1" applyBorder="1" applyAlignment="1">
      <alignment horizontal="center" vertical="center"/>
    </xf>
    <xf numFmtId="49" fontId="35" fillId="52" borderId="9" xfId="0" applyNumberFormat="1" applyFont="1" applyFill="1" applyBorder="1" applyAlignment="1">
      <alignment horizontal="center" vertical="center"/>
    </xf>
    <xf numFmtId="166" fontId="34" fillId="39" borderId="9" xfId="0" applyNumberFormat="1" applyFont="1" applyFill="1" applyBorder="1" applyAlignment="1">
      <alignment horizontal="center"/>
    </xf>
    <xf numFmtId="0" fontId="34" fillId="52" borderId="9" xfId="0" applyFont="1" applyFill="1" applyBorder="1" applyAlignment="1">
      <alignment horizontal="left"/>
    </xf>
    <xf numFmtId="0" fontId="34" fillId="52" borderId="9" xfId="0" applyFont="1" applyFill="1" applyBorder="1"/>
    <xf numFmtId="49" fontId="34" fillId="39" borderId="9" xfId="0" applyNumberFormat="1" applyFont="1" applyFill="1" applyBorder="1" applyAlignment="1">
      <alignment horizontal="center" vertical="top"/>
    </xf>
    <xf numFmtId="49" fontId="0" fillId="0" borderId="0" xfId="0" applyNumberFormat="1" applyAlignment="1">
      <alignment horizontal="center" vertical="top"/>
    </xf>
    <xf numFmtId="14" fontId="34" fillId="49" borderId="55" xfId="0" applyNumberFormat="1" applyFont="1" applyFill="1" applyBorder="1" applyAlignment="1">
      <alignment horizontal="left" vertical="top"/>
    </xf>
    <xf numFmtId="14" fontId="0" fillId="0" borderId="0" xfId="0" applyNumberFormat="1" applyAlignment="1">
      <alignment horizontal="left" vertical="top"/>
    </xf>
    <xf numFmtId="14" fontId="0" fillId="0" borderId="0" xfId="0" applyNumberFormat="1" applyAlignment="1">
      <alignment horizontal="left" vertical="top" wrapText="1"/>
    </xf>
    <xf numFmtId="49" fontId="34" fillId="51" borderId="9" xfId="0" applyNumberFormat="1" applyFont="1" applyFill="1" applyBorder="1" applyAlignment="1">
      <alignment horizontal="center" vertical="top" wrapText="1"/>
    </xf>
    <xf numFmtId="0" fontId="38" fillId="52" borderId="9" xfId="0" applyFont="1" applyFill="1" applyBorder="1" applyAlignment="1">
      <alignment horizontal="center" vertical="center"/>
    </xf>
    <xf numFmtId="0" fontId="38" fillId="52" borderId="9" xfId="0" quotePrefix="1" applyFont="1" applyFill="1" applyBorder="1" applyAlignment="1">
      <alignment horizontal="center" vertical="center"/>
    </xf>
    <xf numFmtId="0" fontId="26" fillId="0" borderId="0" xfId="0" applyFont="1"/>
    <xf numFmtId="0" fontId="34" fillId="58" borderId="0" xfId="0" applyFont="1" applyFill="1" applyAlignment="1">
      <alignment horizontal="center" vertical="center"/>
    </xf>
    <xf numFmtId="0" fontId="41" fillId="58" borderId="0" xfId="0" applyFont="1" applyFill="1" applyAlignment="1">
      <alignment vertical="center"/>
    </xf>
    <xf numFmtId="0" fontId="39" fillId="39" borderId="9" xfId="0" applyFont="1" applyFill="1" applyBorder="1" applyAlignment="1">
      <alignment horizontal="center" vertical="center"/>
    </xf>
    <xf numFmtId="0" fontId="39" fillId="51" borderId="9" xfId="0" applyFont="1" applyFill="1" applyBorder="1" applyAlignment="1">
      <alignment horizontal="center" vertical="center"/>
    </xf>
    <xf numFmtId="0" fontId="40" fillId="0" borderId="0" xfId="0" applyFont="1" applyAlignment="1">
      <alignment vertical="center"/>
    </xf>
    <xf numFmtId="0" fontId="35" fillId="37" borderId="9" xfId="0" applyFont="1" applyFill="1" applyBorder="1" applyAlignment="1">
      <alignment horizontal="center" vertical="center"/>
    </xf>
    <xf numFmtId="0" fontId="0" fillId="0" borderId="9" xfId="0" applyBorder="1"/>
    <xf numFmtId="0" fontId="0" fillId="0" borderId="9" xfId="0" applyBorder="1" applyAlignment="1">
      <alignment horizontal="center"/>
    </xf>
    <xf numFmtId="1" fontId="34" fillId="37" borderId="9" xfId="0" applyNumberFormat="1" applyFont="1" applyFill="1" applyBorder="1" applyAlignment="1">
      <alignment horizontal="center"/>
    </xf>
    <xf numFmtId="14" fontId="35" fillId="37" borderId="9" xfId="0" applyNumberFormat="1" applyFont="1" applyFill="1" applyBorder="1" applyAlignment="1">
      <alignment horizontal="center" vertical="center"/>
    </xf>
    <xf numFmtId="14" fontId="34" fillId="39" borderId="9" xfId="0" applyNumberFormat="1" applyFont="1" applyFill="1" applyBorder="1" applyAlignment="1">
      <alignment horizontal="center" vertical="center"/>
    </xf>
    <xf numFmtId="14" fontId="0" fillId="0" borderId="0" xfId="0" applyNumberFormat="1"/>
    <xf numFmtId="0" fontId="38" fillId="39" borderId="32" xfId="0" applyFont="1" applyFill="1" applyBorder="1" applyAlignment="1">
      <alignment horizontal="center"/>
    </xf>
    <xf numFmtId="0" fontId="38" fillId="51" borderId="32" xfId="0" applyFont="1" applyFill="1" applyBorder="1" applyAlignment="1">
      <alignment horizontal="center"/>
    </xf>
    <xf numFmtId="3" fontId="35" fillId="52" borderId="9" xfId="0" applyNumberFormat="1" applyFont="1" applyFill="1" applyBorder="1"/>
    <xf numFmtId="0" fontId="26" fillId="0" borderId="9" xfId="0" applyFont="1" applyBorder="1" applyAlignment="1">
      <alignment horizontal="center"/>
    </xf>
    <xf numFmtId="14" fontId="35" fillId="59" borderId="9" xfId="0" applyNumberFormat="1" applyFont="1" applyFill="1" applyBorder="1" applyAlignment="1">
      <alignment horizontal="center" vertical="center"/>
    </xf>
    <xf numFmtId="49" fontId="34" fillId="60" borderId="9" xfId="0" applyNumberFormat="1" applyFont="1" applyFill="1" applyBorder="1" applyAlignment="1">
      <alignment horizontal="center" vertical="top" wrapText="1"/>
    </xf>
    <xf numFmtId="0" fontId="42" fillId="0" borderId="9" xfId="0" applyFont="1" applyBorder="1" applyAlignment="1">
      <alignment horizontal="center"/>
    </xf>
    <xf numFmtId="0" fontId="14" fillId="4" borderId="0" xfId="6" applyFont="1" applyFill="1" applyAlignment="1">
      <alignment horizontal="left" vertical="center"/>
    </xf>
    <xf numFmtId="0" fontId="15" fillId="2" borderId="0" xfId="6" applyFont="1" applyFill="1" applyAlignment="1">
      <alignment horizontal="left" vertical="center" wrapText="1"/>
    </xf>
    <xf numFmtId="0" fontId="0" fillId="0" borderId="0" xfId="0" applyAlignment="1">
      <alignment horizontal="center" vertical="center"/>
    </xf>
    <xf numFmtId="0" fontId="32" fillId="5" borderId="17" xfId="0" applyFont="1" applyFill="1" applyBorder="1" applyAlignment="1">
      <alignment horizontal="center" vertical="center"/>
    </xf>
    <xf numFmtId="0" fontId="32" fillId="5" borderId="18" xfId="0" applyFont="1" applyFill="1" applyBorder="1" applyAlignment="1">
      <alignment horizontal="center" vertical="center"/>
    </xf>
    <xf numFmtId="0" fontId="32" fillId="5" borderId="19" xfId="0" applyFont="1" applyFill="1" applyBorder="1" applyAlignment="1">
      <alignment horizontal="center" vertical="center"/>
    </xf>
    <xf numFmtId="0" fontId="0" fillId="0" borderId="39" xfId="0" applyBorder="1" applyAlignment="1">
      <alignment horizontal="left" vertical="center"/>
    </xf>
    <xf numFmtId="0" fontId="0" fillId="0" borderId="10" xfId="0" applyBorder="1" applyAlignment="1">
      <alignment horizontal="left" vertical="center"/>
    </xf>
    <xf numFmtId="0" fontId="0" fillId="0" borderId="20" xfId="0" applyBorder="1" applyAlignment="1">
      <alignment horizontal="left" vertical="center"/>
    </xf>
    <xf numFmtId="0" fontId="0" fillId="0" borderId="34" xfId="0" applyBorder="1" applyAlignment="1">
      <alignment horizontal="left" vertical="center"/>
    </xf>
    <xf numFmtId="0" fontId="28" fillId="0" borderId="10" xfId="0" applyFont="1" applyBorder="1" applyAlignment="1">
      <alignment horizontal="left"/>
    </xf>
    <xf numFmtId="0" fontId="0" fillId="36" borderId="34" xfId="0" applyFill="1" applyBorder="1" applyAlignment="1">
      <alignment horizontal="left" vertical="center"/>
    </xf>
    <xf numFmtId="0" fontId="0" fillId="36" borderId="39" xfId="0" applyFill="1" applyBorder="1" applyAlignment="1">
      <alignment horizontal="left" vertical="center"/>
    </xf>
    <xf numFmtId="0" fontId="0" fillId="0" borderId="25" xfId="0" applyBorder="1" applyAlignment="1">
      <alignment horizontal="left" vertical="center"/>
    </xf>
    <xf numFmtId="0" fontId="26" fillId="38" borderId="0" xfId="0" applyFont="1" applyFill="1" applyAlignment="1">
      <alignment horizontal="center" vertical="center"/>
    </xf>
    <xf numFmtId="0" fontId="26" fillId="0" borderId="12" xfId="0" applyFont="1" applyBorder="1" applyAlignment="1">
      <alignment horizontal="center" vertical="center" wrapText="1"/>
    </xf>
    <xf numFmtId="0" fontId="26" fillId="0" borderId="58" xfId="0" applyFont="1" applyBorder="1" applyAlignment="1">
      <alignment horizontal="center" vertical="center" wrapText="1"/>
    </xf>
    <xf numFmtId="0" fontId="0" fillId="0" borderId="16" xfId="0" applyBorder="1" applyAlignment="1">
      <alignment horizontal="left" vertical="center"/>
    </xf>
    <xf numFmtId="0" fontId="0" fillId="36" borderId="16" xfId="0" applyFill="1" applyBorder="1" applyAlignment="1">
      <alignment horizontal="left" vertical="center"/>
    </xf>
    <xf numFmtId="0" fontId="0" fillId="0" borderId="23" xfId="0" applyBorder="1" applyAlignment="1">
      <alignment horizontal="left" vertical="center"/>
    </xf>
    <xf numFmtId="0" fontId="26" fillId="0" borderId="0" xfId="0" applyFont="1" applyAlignment="1">
      <alignment horizontal="center" vertical="center"/>
    </xf>
    <xf numFmtId="0" fontId="28" fillId="41" borderId="11" xfId="0" applyFont="1" applyFill="1" applyBorder="1" applyAlignment="1">
      <alignment horizontal="center"/>
    </xf>
    <xf numFmtId="0" fontId="28" fillId="41" borderId="12" xfId="0" applyFont="1" applyFill="1" applyBorder="1" applyAlignment="1">
      <alignment horizontal="center"/>
    </xf>
    <xf numFmtId="0" fontId="0" fillId="0" borderId="30" xfId="0" applyBorder="1" applyAlignment="1">
      <alignment horizontal="left" vertical="center"/>
    </xf>
    <xf numFmtId="0" fontId="30" fillId="0" borderId="10" xfId="0" applyFont="1" applyBorder="1" applyAlignment="1">
      <alignment horizontal="left"/>
    </xf>
    <xf numFmtId="0" fontId="30" fillId="0" borderId="21" xfId="0" applyFont="1" applyBorder="1" applyAlignment="1">
      <alignment horizontal="left"/>
    </xf>
    <xf numFmtId="0" fontId="30" fillId="0" borderId="22" xfId="0" applyFont="1" applyBorder="1" applyAlignment="1">
      <alignment horizontal="left"/>
    </xf>
    <xf numFmtId="0" fontId="0" fillId="36" borderId="20" xfId="0" applyFill="1" applyBorder="1" applyAlignment="1">
      <alignment horizontal="left" vertical="center"/>
    </xf>
    <xf numFmtId="0" fontId="0" fillId="0" borderId="21" xfId="0" applyBorder="1" applyAlignment="1">
      <alignment horizontal="left" vertical="center"/>
    </xf>
    <xf numFmtId="0" fontId="0" fillId="0" borderId="56" xfId="0" applyBorder="1" applyAlignment="1">
      <alignment horizontal="left" vertical="center"/>
    </xf>
    <xf numFmtId="0" fontId="0" fillId="0" borderId="22" xfId="0" applyBorder="1" applyAlignment="1">
      <alignment horizontal="left" vertical="center"/>
    </xf>
    <xf numFmtId="0" fontId="28" fillId="0" borderId="67" xfId="0" applyFont="1" applyBorder="1"/>
    <xf numFmtId="0" fontId="28" fillId="0" borderId="68" xfId="0" applyFont="1" applyBorder="1"/>
    <xf numFmtId="0" fontId="28" fillId="0" borderId="69" xfId="0" applyFont="1" applyBorder="1"/>
    <xf numFmtId="0" fontId="28" fillId="0" borderId="21" xfId="0" applyFont="1" applyBorder="1"/>
    <xf numFmtId="0" fontId="28" fillId="0" borderId="56" xfId="0" applyFont="1" applyBorder="1"/>
    <xf numFmtId="0" fontId="28" fillId="0" borderId="61" xfId="0" applyFont="1" applyBorder="1"/>
    <xf numFmtId="0" fontId="26" fillId="0" borderId="0" xfId="0" applyFont="1" applyAlignment="1">
      <alignment horizontal="center" vertical="center" wrapText="1"/>
    </xf>
    <xf numFmtId="0" fontId="26" fillId="0" borderId="60" xfId="0" applyFont="1" applyBorder="1" applyAlignment="1">
      <alignment horizontal="center" vertical="center" wrapText="1"/>
    </xf>
    <xf numFmtId="0" fontId="24" fillId="36" borderId="34" xfId="0" applyFont="1" applyFill="1" applyBorder="1" applyAlignment="1">
      <alignment horizontal="left" vertical="center"/>
    </xf>
    <xf numFmtId="0" fontId="24" fillId="36" borderId="10" xfId="0" applyFont="1" applyFill="1" applyBorder="1" applyAlignment="1">
      <alignment horizontal="left" vertical="center"/>
    </xf>
    <xf numFmtId="0" fontId="28" fillId="0" borderId="65" xfId="0" applyFont="1" applyBorder="1"/>
    <xf numFmtId="0" fontId="28" fillId="0" borderId="12" xfId="0" applyFont="1" applyBorder="1"/>
    <xf numFmtId="0" fontId="28" fillId="0" borderId="66" xfId="0" applyFont="1" applyBorder="1"/>
    <xf numFmtId="0" fontId="28" fillId="0" borderId="70" xfId="0" applyFont="1" applyBorder="1"/>
    <xf numFmtId="0" fontId="28" fillId="0" borderId="71" xfId="0" applyFont="1" applyBorder="1"/>
    <xf numFmtId="0" fontId="28" fillId="0" borderId="72" xfId="0" applyFont="1" applyBorder="1"/>
    <xf numFmtId="0" fontId="0" fillId="36" borderId="10" xfId="0" applyFill="1" applyBorder="1" applyAlignment="1">
      <alignment horizontal="left" vertical="center"/>
    </xf>
    <xf numFmtId="0" fontId="0" fillId="0" borderId="73" xfId="0" applyBorder="1" applyAlignment="1">
      <alignment horizontal="left" vertical="center"/>
    </xf>
    <xf numFmtId="0" fontId="0" fillId="0" borderId="74" xfId="0" applyBorder="1" applyAlignment="1">
      <alignment horizontal="left" vertical="center"/>
    </xf>
    <xf numFmtId="0" fontId="0" fillId="0" borderId="85" xfId="0" applyBorder="1" applyAlignment="1">
      <alignment horizontal="left" vertical="center"/>
    </xf>
    <xf numFmtId="0" fontId="0" fillId="0" borderId="67" xfId="0" applyBorder="1" applyAlignment="1">
      <alignment horizontal="left" vertical="center"/>
    </xf>
    <xf numFmtId="0" fontId="0" fillId="0" borderId="68" xfId="0" applyBorder="1" applyAlignment="1">
      <alignment horizontal="left" vertical="center"/>
    </xf>
    <xf numFmtId="0" fontId="0" fillId="0" borderId="83" xfId="0" applyBorder="1" applyAlignment="1">
      <alignment horizontal="left" vertical="center"/>
    </xf>
    <xf numFmtId="0" fontId="0" fillId="36" borderId="88" xfId="0" applyFill="1" applyBorder="1" applyAlignment="1">
      <alignment horizontal="left" vertical="center"/>
    </xf>
    <xf numFmtId="0" fontId="0" fillId="36" borderId="89" xfId="0" applyFill="1" applyBorder="1" applyAlignment="1">
      <alignment horizontal="left" vertical="center"/>
    </xf>
    <xf numFmtId="0" fontId="0" fillId="36" borderId="82" xfId="0" applyFill="1" applyBorder="1" applyAlignment="1">
      <alignment horizontal="left" vertical="center"/>
    </xf>
    <xf numFmtId="0" fontId="0" fillId="36" borderId="90" xfId="0" applyFill="1" applyBorder="1" applyAlignment="1">
      <alignment horizontal="left" vertical="center"/>
    </xf>
    <xf numFmtId="0" fontId="0" fillId="36" borderId="91" xfId="0" applyFill="1" applyBorder="1" applyAlignment="1">
      <alignment horizontal="left" vertical="center"/>
    </xf>
    <xf numFmtId="0" fontId="0" fillId="36" borderId="92" xfId="0" applyFill="1" applyBorder="1" applyAlignment="1">
      <alignment horizontal="left" vertical="center"/>
    </xf>
    <xf numFmtId="0" fontId="28" fillId="0" borderId="73" xfId="0" applyFont="1" applyBorder="1"/>
    <xf numFmtId="0" fontId="28" fillId="0" borderId="74" xfId="0" applyFont="1" applyBorder="1"/>
    <xf numFmtId="0" fontId="28" fillId="0" borderId="75" xfId="0" applyFont="1" applyBorder="1"/>
    <xf numFmtId="0" fontId="24" fillId="42" borderId="21" xfId="0" applyFont="1" applyFill="1" applyBorder="1" applyAlignment="1">
      <alignment horizontal="left" vertical="center"/>
    </xf>
    <xf numFmtId="0" fontId="24" fillId="42" borderId="56" xfId="0" applyFont="1" applyFill="1" applyBorder="1" applyAlignment="1">
      <alignment horizontal="left" vertical="center"/>
    </xf>
    <xf numFmtId="0" fontId="24" fillId="42" borderId="22" xfId="0" applyFont="1" applyFill="1" applyBorder="1" applyAlignment="1">
      <alignment horizontal="left" vertical="center"/>
    </xf>
    <xf numFmtId="0" fontId="28" fillId="0" borderId="22" xfId="0" applyFont="1" applyBorder="1"/>
    <xf numFmtId="0" fontId="28" fillId="0" borderId="85" xfId="0" applyFont="1" applyBorder="1"/>
    <xf numFmtId="0" fontId="0" fillId="36" borderId="73" xfId="0" applyFill="1" applyBorder="1" applyAlignment="1">
      <alignment horizontal="left" vertical="center"/>
    </xf>
    <xf numFmtId="0" fontId="0" fillId="36" borderId="74" xfId="0" applyFill="1" applyBorder="1" applyAlignment="1">
      <alignment horizontal="left" vertical="center"/>
    </xf>
    <xf numFmtId="0" fontId="0" fillId="36" borderId="85" xfId="0" applyFill="1" applyBorder="1" applyAlignment="1">
      <alignment horizontal="left" vertical="center"/>
    </xf>
    <xf numFmtId="0" fontId="0" fillId="0" borderId="70" xfId="0" applyBorder="1" applyAlignment="1">
      <alignment horizontal="left" vertical="center"/>
    </xf>
    <xf numFmtId="0" fontId="0" fillId="0" borderId="71" xfId="0" applyBorder="1" applyAlignment="1">
      <alignment horizontal="left" vertical="center"/>
    </xf>
    <xf numFmtId="0" fontId="0" fillId="0" borderId="81" xfId="0" applyBorder="1" applyAlignment="1">
      <alignment horizontal="left" vertical="center"/>
    </xf>
    <xf numFmtId="0" fontId="28" fillId="0" borderId="81" xfId="0" applyFont="1" applyBorder="1"/>
    <xf numFmtId="0" fontId="0" fillId="36" borderId="70" xfId="0" applyFill="1" applyBorder="1" applyAlignment="1">
      <alignment horizontal="left" vertical="center"/>
    </xf>
    <xf numFmtId="0" fontId="0" fillId="36" borderId="71" xfId="0" applyFill="1" applyBorder="1" applyAlignment="1">
      <alignment horizontal="left" vertical="center"/>
    </xf>
    <xf numFmtId="0" fontId="0" fillId="36" borderId="81" xfId="0" applyFill="1" applyBorder="1" applyAlignment="1">
      <alignment horizontal="left" vertical="center"/>
    </xf>
    <xf numFmtId="0" fontId="0" fillId="0" borderId="86" xfId="0" applyBorder="1" applyAlignment="1">
      <alignment horizontal="left" vertical="center"/>
    </xf>
    <xf numFmtId="0" fontId="0" fillId="0" borderId="84" xfId="0" applyBorder="1" applyAlignment="1">
      <alignment horizontal="left" vertical="center"/>
    </xf>
    <xf numFmtId="0" fontId="0" fillId="0" borderId="87" xfId="0" applyBorder="1" applyAlignment="1">
      <alignment horizontal="left" vertical="center"/>
    </xf>
    <xf numFmtId="0" fontId="24" fillId="42" borderId="34" xfId="0" applyFont="1" applyFill="1" applyBorder="1" applyAlignment="1">
      <alignment horizontal="left" vertical="center"/>
    </xf>
    <xf numFmtId="0" fontId="24" fillId="42" borderId="20" xfId="0" applyFont="1" applyFill="1" applyBorder="1" applyAlignment="1">
      <alignment horizontal="left" vertical="center"/>
    </xf>
    <xf numFmtId="0" fontId="24" fillId="42" borderId="10" xfId="0" applyFont="1" applyFill="1" applyBorder="1" applyAlignment="1">
      <alignment horizontal="left" vertical="center"/>
    </xf>
    <xf numFmtId="9" fontId="0" fillId="0" borderId="0" xfId="2" applyFont="1" applyFill="1">
      <alignment horizontal="center" vertical="center"/>
    </xf>
    <xf numFmtId="0" fontId="24" fillId="42" borderId="95" xfId="0" applyFont="1" applyFill="1" applyBorder="1" applyAlignment="1">
      <alignment horizontal="left" vertical="center"/>
    </xf>
    <xf numFmtId="0" fontId="26" fillId="0" borderId="89" xfId="0" applyFont="1" applyBorder="1" applyAlignment="1">
      <alignment horizontal="center" vertical="center" wrapText="1"/>
    </xf>
    <xf numFmtId="0" fontId="26" fillId="0" borderId="82" xfId="0" applyFont="1" applyBorder="1" applyAlignment="1">
      <alignment horizontal="center" vertical="center" wrapText="1"/>
    </xf>
    <xf numFmtId="0" fontId="24" fillId="42" borderId="16" xfId="0" applyFont="1" applyFill="1" applyBorder="1" applyAlignment="1">
      <alignment horizontal="left" vertical="center"/>
    </xf>
    <xf numFmtId="0" fontId="24" fillId="42" borderId="39" xfId="0" applyFont="1" applyFill="1" applyBorder="1" applyAlignment="1">
      <alignment horizontal="left" vertical="center"/>
    </xf>
    <xf numFmtId="9" fontId="28" fillId="0" borderId="0" xfId="0" applyNumberFormat="1" applyFont="1" applyAlignment="1">
      <alignment horizontal="center" vertical="center"/>
    </xf>
    <xf numFmtId="0" fontId="28" fillId="0" borderId="0" xfId="0" quotePrefix="1" applyFont="1" applyAlignment="1">
      <alignment horizontal="center" vertical="center"/>
    </xf>
    <xf numFmtId="0" fontId="28" fillId="0" borderId="0" xfId="0" applyFont="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26" fillId="5" borderId="10" xfId="0" applyFont="1" applyFill="1" applyBorder="1" applyAlignment="1">
      <alignment horizontal="center" vertical="center"/>
    </xf>
    <xf numFmtId="0" fontId="26" fillId="5" borderId="20" xfId="0" applyFont="1" applyFill="1" applyBorder="1" applyAlignment="1">
      <alignment horizontal="center" vertical="center" wrapText="1"/>
    </xf>
    <xf numFmtId="0" fontId="26" fillId="5" borderId="16" xfId="0" applyFont="1" applyFill="1" applyBorder="1" applyAlignment="1">
      <alignment horizontal="center" vertical="center" wrapText="1"/>
    </xf>
    <xf numFmtId="0" fontId="0" fillId="0" borderId="10" xfId="0" applyBorder="1" applyAlignment="1">
      <alignment horizontal="center" vertical="center"/>
    </xf>
    <xf numFmtId="0" fontId="26" fillId="5" borderId="20" xfId="0" applyFont="1" applyFill="1" applyBorder="1" applyAlignment="1">
      <alignment horizontal="center" vertical="center"/>
    </xf>
    <xf numFmtId="0" fontId="26" fillId="5" borderId="16" xfId="0" applyFont="1" applyFill="1" applyBorder="1" applyAlignment="1">
      <alignment horizontal="center" vertical="center"/>
    </xf>
  </cellXfs>
  <cellStyles count="50">
    <cellStyle name="20% - Énfasis1" xfId="28" builtinId="30" customBuiltin="1"/>
    <cellStyle name="20% - Énfasis2" xfId="32" builtinId="34" customBuiltin="1"/>
    <cellStyle name="20% - Énfasis3" xfId="35" builtinId="38" customBuiltin="1"/>
    <cellStyle name="20% - Énfasis4" xfId="39" builtinId="42" customBuiltin="1"/>
    <cellStyle name="20% - Énfasis5" xfId="43" builtinId="46" customBuiltin="1"/>
    <cellStyle name="20% - Énfasis6" xfId="47" builtinId="50" customBuiltin="1"/>
    <cellStyle name="40% - Énfasis1" xfId="29" builtinId="31" customBuiltin="1"/>
    <cellStyle name="40% - Énfasis2" xfId="33" builtinId="35" customBuiltin="1"/>
    <cellStyle name="40% - Énfasis3" xfId="36" builtinId="39" customBuiltin="1"/>
    <cellStyle name="40% - Énfasis4" xfId="40" builtinId="43" customBuiltin="1"/>
    <cellStyle name="40% - Énfasis5" xfId="44" builtinId="47" customBuiltin="1"/>
    <cellStyle name="40% - Énfasis6" xfId="48" builtinId="51" customBuiltin="1"/>
    <cellStyle name="60% - Énfasis1" xfId="30" builtinId="32" customBuiltin="1"/>
    <cellStyle name="60% - Énfasis2" xfId="34" builtinId="36" customBuiltin="1"/>
    <cellStyle name="60% - Énfasis3" xfId="37" builtinId="40" customBuiltin="1"/>
    <cellStyle name="60% - Énfasis4" xfId="41" builtinId="44" customBuiltin="1"/>
    <cellStyle name="60% - Énfasis5" xfId="45" builtinId="48" customBuiltin="1"/>
    <cellStyle name="60% - Énfasis6" xfId="49"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6" builtinId="16" customBuiltin="1"/>
    <cellStyle name="Encabezado 4" xfId="14" builtinId="19" customBuiltin="1"/>
    <cellStyle name="Énfasis1" xfId="27" builtinId="29" customBuiltin="1"/>
    <cellStyle name="Énfasis2" xfId="31" builtinId="33" customBuiltin="1"/>
    <cellStyle name="Énfasis3" xfId="11" builtinId="37" customBuiltin="1"/>
    <cellStyle name="Énfasis4" xfId="38" builtinId="41" customBuiltin="1"/>
    <cellStyle name="Énfasis5" xfId="42" builtinId="45" customBuiltin="1"/>
    <cellStyle name="Énfasis6" xfId="46" builtinId="49" customBuiltin="1"/>
    <cellStyle name="Entrada" xfId="18" builtinId="20" customBuiltin="1"/>
    <cellStyle name="Fecha" xfId="9" xr:uid="{00000000-0005-0000-0000-00001F000000}"/>
    <cellStyle name="Hipervínculo" xfId="1" builtinId="8" customBuiltin="1"/>
    <cellStyle name="Incorrecto" xfId="16" builtinId="27" customBuiltin="1"/>
    <cellStyle name="Millares" xfId="4" builtinId="3" customBuiltin="1"/>
    <cellStyle name="Millares [0]" xfId="10" builtinId="6" customBuiltin="1"/>
    <cellStyle name="Moneda" xfId="12" builtinId="4" customBuiltin="1"/>
    <cellStyle name="Moneda [0]" xfId="13" builtinId="7" customBuiltin="1"/>
    <cellStyle name="Neutral" xfId="17" builtinId="28" customBuiltin="1"/>
    <cellStyle name="Normal" xfId="0" builtinId="0" customBuiltin="1"/>
    <cellStyle name="Notas" xfId="24" builtinId="10" customBuiltin="1"/>
    <cellStyle name="Porcentaje" xfId="2" builtinId="5" customBuiltin="1"/>
    <cellStyle name="Salida" xfId="19" builtinId="21" customBuiltin="1"/>
    <cellStyle name="Texto de advertencia" xfId="23" builtinId="11" customBuiltin="1"/>
    <cellStyle name="Texto explicativo" xfId="25" builtinId="53" customBuiltin="1"/>
    <cellStyle name="Título" xfId="5" builtinId="15" customBuiltin="1"/>
    <cellStyle name="Título 2" xfId="7" builtinId="17" customBuiltin="1"/>
    <cellStyle name="Título 3" xfId="8" builtinId="18" customBuiltin="1"/>
    <cellStyle name="Total" xfId="26" builtinId="25" customBuiltin="1"/>
    <cellStyle name="zHiddenText" xfId="3" xr:uid="{00000000-0005-0000-0000-000031000000}"/>
  </cellStyles>
  <dxfs count="21">
    <dxf>
      <font>
        <color theme="0"/>
      </font>
      <fill>
        <patternFill>
          <fgColor auto="1"/>
          <bgColor rgb="FFFF0066"/>
        </patternFill>
      </fill>
    </dxf>
    <dxf>
      <font>
        <color rgb="FF006100"/>
      </font>
      <fill>
        <patternFill>
          <bgColor rgb="FFC6EFCE"/>
        </patternFill>
      </fill>
    </dxf>
    <dxf>
      <font>
        <color theme="1"/>
      </font>
      <fill>
        <patternFill patternType="none">
          <bgColor auto="1"/>
        </patternFill>
      </fill>
    </dxf>
    <dxf>
      <font>
        <color theme="0"/>
      </font>
      <fill>
        <patternFill patternType="solid">
          <bgColor rgb="FFFF0066"/>
        </patternFill>
      </fill>
    </dxf>
    <dxf>
      <font>
        <color theme="0"/>
      </font>
      <fill>
        <patternFill patternType="solid">
          <bgColor rgb="FFFF0066"/>
        </patternFill>
      </fill>
    </dxf>
    <dxf>
      <font>
        <color rgb="FF006100"/>
      </font>
      <fill>
        <patternFill>
          <bgColor rgb="FFC6EFCE"/>
        </patternFill>
      </fill>
    </dxf>
    <dxf>
      <font>
        <color rgb="FF000000"/>
      </font>
      <fill>
        <patternFill patternType="solid">
          <bgColor rgb="FFF5C1B0"/>
        </patternFill>
      </fill>
    </dxf>
    <dxf>
      <font>
        <b/>
        <i val="0"/>
        <color theme="0"/>
      </font>
      <fill>
        <patternFill patternType="solid">
          <bgColor theme="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TableStyle="TableStyleMedium2" defaultPivotStyle="PivotStyleLight16">
    <tableStyle name="Estilo de tabla personalizado" pivot="0" count="4" xr9:uid="{00000000-0011-0000-FFFF-FFFF00000000}">
      <tableStyleElement type="wholeTable" dxfId="20"/>
      <tableStyleElement type="headerRow" dxfId="19"/>
      <tableStyleElement type="firstRowStripe" dxfId="18"/>
      <tableStyleElement type="secondRowStripe" dxfId="17"/>
    </tableStyle>
    <tableStyle name="ListaTareasPendientes" pivot="0" count="9" xr9:uid="{00000000-0011-0000-FFFF-FFFF01000000}">
      <tableStyleElement type="wholeTable" dxfId="16"/>
      <tableStyleElement type="headerRow" dxfId="15"/>
      <tableStyleElement type="totalRow" dxfId="14"/>
      <tableStyleElement type="firstColumn" dxfId="13"/>
      <tableStyleElement type="lastColumn" dxfId="12"/>
      <tableStyleElement type="firstRowStripe" dxfId="11"/>
      <tableStyleElement type="secondRowStripe" dxfId="10"/>
      <tableStyleElement type="firstColumnStripe" dxfId="9"/>
      <tableStyleElement type="secondColumnStripe"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6E6A2"/>
      <color rgb="FFF6A400"/>
      <color rgb="FFFFCC66"/>
      <color rgb="FFE2EFDA"/>
      <color rgb="FFFF6600"/>
      <color rgb="FFFF0066"/>
      <color rgb="FFFF9966"/>
      <color rgb="FFED8540"/>
      <color rgb="FFCCFF99"/>
      <color rgb="FFFC8B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'FEB.-22'!$B$47:$F$47</c:f>
              <c:strCache>
                <c:ptCount val="5"/>
                <c:pt idx="0">
                  <c:v>Hora Extra Entre semana</c:v>
                </c:pt>
                <c:pt idx="1">
                  <c:v>Sabado</c:v>
                </c:pt>
                <c:pt idx="2">
                  <c:v>Domingo</c:v>
                </c:pt>
                <c:pt idx="3">
                  <c:v>Feriado</c:v>
                </c:pt>
                <c:pt idx="4">
                  <c:v>Total Hora Extra</c:v>
                </c:pt>
              </c:strCache>
            </c:strRef>
          </c:cat>
          <c:val>
            <c:numRef>
              <c:f>'FEB.-22'!$B$48:$F$48</c:f>
              <c:numCache>
                <c:formatCode>General</c:formatCode>
                <c:ptCount val="5"/>
                <c:pt idx="0">
                  <c:v>94</c:v>
                </c:pt>
                <c:pt idx="1">
                  <c:v>411</c:v>
                </c:pt>
                <c:pt idx="2">
                  <c:v>135</c:v>
                </c:pt>
                <c:pt idx="3">
                  <c:v>0</c:v>
                </c:pt>
                <c:pt idx="4" formatCode="#,##0;[Red]#,##0">
                  <c:v>640</c:v>
                </c:pt>
              </c:numCache>
            </c:numRef>
          </c:val>
          <c:extLst>
            <c:ext xmlns:c16="http://schemas.microsoft.com/office/drawing/2014/chart" uri="{C3380CC4-5D6E-409C-BE32-E72D297353CC}">
              <c16:uniqueId val="{00000000-B406-4899-88C1-81F5F47DFA4F}"/>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'ENE.-22'!$B$47:$F$47</c:f>
              <c:strCache>
                <c:ptCount val="5"/>
                <c:pt idx="0">
                  <c:v>Hora Extra Entre semana</c:v>
                </c:pt>
                <c:pt idx="1">
                  <c:v>Sabado</c:v>
                </c:pt>
                <c:pt idx="2">
                  <c:v>Domingo</c:v>
                </c:pt>
                <c:pt idx="3">
                  <c:v>Feriado</c:v>
                </c:pt>
                <c:pt idx="4">
                  <c:v>Total Hora Extra</c:v>
                </c:pt>
              </c:strCache>
            </c:strRef>
          </c:cat>
          <c:val>
            <c:numRef>
              <c:f>'ENE.-22'!$B$48:$F$48</c:f>
              <c:numCache>
                <c:formatCode>General</c:formatCode>
                <c:ptCount val="5"/>
                <c:pt idx="0">
                  <c:v>144</c:v>
                </c:pt>
                <c:pt idx="1">
                  <c:v>462</c:v>
                </c:pt>
                <c:pt idx="2">
                  <c:v>67</c:v>
                </c:pt>
                <c:pt idx="3">
                  <c:v>0</c:v>
                </c:pt>
                <c:pt idx="4" formatCode="#,##0;[Red]#,##0">
                  <c:v>673</c:v>
                </c:pt>
              </c:numCache>
            </c:numRef>
          </c:val>
          <c:extLst>
            <c:ext xmlns:c16="http://schemas.microsoft.com/office/drawing/2014/chart" uri="{C3380CC4-5D6E-409C-BE32-E72D297353CC}">
              <c16:uniqueId val="{00000002-718E-448B-8822-DCDBF0A13680}"/>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1D9F-4D8E-A796-7408C3B5EE4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D9F-4D8E-A796-7408C3B5EE4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1D9F-4D8E-A796-7408C3B5EE4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1D9F-4D8E-A796-7408C3B5EE4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6-1D9F-4D8E-A796-7408C3B5EE4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7-1D9F-4D8E-A796-7408C3B5EE4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8-1D9F-4D8E-A796-7408C3B5EE4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1D9F-4D8E-A796-7408C3B5EE4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A-1D9F-4D8E-A796-7408C3B5EE4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1D9F-4D8E-A796-7408C3B5EE4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E229-4981-8316-561EB22BDC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'MAR-22'!$B$130:$B$140</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'MAR-22'!$A$130:$A$140</c:f>
              <c:numCache>
                <c:formatCode>General</c:formatCode>
                <c:ptCount val="11"/>
                <c:pt idx="1">
                  <c:v>21</c:v>
                </c:pt>
                <c:pt idx="2">
                  <c:v>18</c:v>
                </c:pt>
                <c:pt idx="3">
                  <c:v>6</c:v>
                </c:pt>
                <c:pt idx="4">
                  <c:v>4</c:v>
                </c:pt>
                <c:pt idx="9">
                  <c:v>1</c:v>
                </c:pt>
              </c:numCache>
            </c:numRef>
          </c:val>
          <c:extLst>
            <c:ext xmlns:c16="http://schemas.microsoft.com/office/drawing/2014/chart" uri="{C3380CC4-5D6E-409C-BE32-E72D297353CC}">
              <c16:uniqueId val="{00000000-1D9F-4D8E-A796-7408C3B5EE47}"/>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144-4826-8927-8969A63FD45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144-4826-8927-8969A63FD45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144-4826-8927-8969A63FD45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144-4826-8927-8969A63FD45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144-4826-8927-8969A63FD45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144-4826-8927-8969A63FD45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3144-4826-8927-8969A63FD45C}"/>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3144-4826-8927-8969A63FD45C}"/>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3144-4826-8927-8969A63FD45C}"/>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3144-4826-8927-8969A63FD45C}"/>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6B61-4CFA-B8E9-3364E724B91E}"/>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6B61-4CFA-B8E9-3364E724B91E}"/>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D11E-4414-8F38-2BFAF6650ECE}"/>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D11E-4414-8F38-2BFAF6650E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'MAR-22'!$B$146:$B$159</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'MAR-22'!$A$146:$A$159</c:f>
              <c:numCache>
                <c:formatCode>General</c:formatCode>
                <c:ptCount val="14"/>
                <c:pt idx="0">
                  <c:v>0</c:v>
                </c:pt>
                <c:pt idx="1">
                  <c:v>23</c:v>
                </c:pt>
                <c:pt idx="2">
                  <c:v>11</c:v>
                </c:pt>
                <c:pt idx="3">
                  <c:v>1</c:v>
                </c:pt>
                <c:pt idx="5">
                  <c:v>10</c:v>
                </c:pt>
                <c:pt idx="7">
                  <c:v>3</c:v>
                </c:pt>
                <c:pt idx="9">
                  <c:v>2</c:v>
                </c:pt>
              </c:numCache>
            </c:numRef>
          </c:val>
          <c:extLst>
            <c:ext xmlns:c16="http://schemas.microsoft.com/office/drawing/2014/chart" uri="{C3380CC4-5D6E-409C-BE32-E72D297353CC}">
              <c16:uniqueId val="{00000014-3144-4826-8927-8969A63FD45C}"/>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8386-4686-BDB0-576C504753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'MAR-22'!$C$167:$G$167</c:f>
              <c:strCache>
                <c:ptCount val="5"/>
                <c:pt idx="0">
                  <c:v>Hora Extra Entre semana</c:v>
                </c:pt>
                <c:pt idx="1">
                  <c:v>Sabado</c:v>
                </c:pt>
                <c:pt idx="2">
                  <c:v>Domingo</c:v>
                </c:pt>
                <c:pt idx="3">
                  <c:v>Feriado</c:v>
                </c:pt>
                <c:pt idx="4">
                  <c:v>Total Hora Extra</c:v>
                </c:pt>
              </c:strCache>
            </c:strRef>
          </c:cat>
          <c:val>
            <c:numRef>
              <c:f>'MAR-22'!$C$168:$G$168</c:f>
              <c:numCache>
                <c:formatCode>General</c:formatCode>
                <c:ptCount val="5"/>
                <c:pt idx="0">
                  <c:v>272</c:v>
                </c:pt>
                <c:pt idx="1">
                  <c:v>652</c:v>
                </c:pt>
                <c:pt idx="2">
                  <c:v>135</c:v>
                </c:pt>
                <c:pt idx="3">
                  <c:v>0</c:v>
                </c:pt>
                <c:pt idx="4" formatCode="#,##0;[Red]#,##0">
                  <c:v>1059</c:v>
                </c:pt>
              </c:numCache>
            </c:numRef>
          </c:val>
          <c:extLst>
            <c:ext xmlns:c16="http://schemas.microsoft.com/office/drawing/2014/chart" uri="{C3380CC4-5D6E-409C-BE32-E72D297353CC}">
              <c16:uniqueId val="{00000002-8386-4686-BDB0-576C50475367}"/>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C98-4BF1-BA4C-A4ABEDF69CE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C98-4BF1-BA4C-A4ABEDF69CE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C98-4BF1-BA4C-A4ABEDF69CE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C98-4BF1-BA4C-A4ABEDF69CE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C98-4BF1-BA4C-A4ABEDF69CE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C98-4BF1-BA4C-A4ABEDF69CE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C98-4BF1-BA4C-A4ABEDF69CE1}"/>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C98-4BF1-BA4C-A4ABEDF69CE1}"/>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C98-4BF1-BA4C-A4ABEDF69CE1}"/>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C98-4BF1-BA4C-A4ABEDF69CE1}"/>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2163-481C-8775-A775242D4B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'ABR-22'!$B$126:$B$136</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'ABR-22'!$A$126:$A$136</c:f>
              <c:numCache>
                <c:formatCode>General</c:formatCode>
                <c:ptCount val="11"/>
                <c:pt idx="0">
                  <c:v>1</c:v>
                </c:pt>
                <c:pt idx="1">
                  <c:v>6</c:v>
                </c:pt>
                <c:pt idx="2">
                  <c:v>20</c:v>
                </c:pt>
                <c:pt idx="3">
                  <c:v>23</c:v>
                </c:pt>
                <c:pt idx="4">
                  <c:v>3</c:v>
                </c:pt>
                <c:pt idx="5">
                  <c:v>1</c:v>
                </c:pt>
                <c:pt idx="6">
                  <c:v>0</c:v>
                </c:pt>
                <c:pt idx="7">
                  <c:v>0</c:v>
                </c:pt>
                <c:pt idx="8">
                  <c:v>0</c:v>
                </c:pt>
                <c:pt idx="9">
                  <c:v>0</c:v>
                </c:pt>
                <c:pt idx="10">
                  <c:v>0</c:v>
                </c:pt>
              </c:numCache>
            </c:numRef>
          </c:val>
          <c:extLst>
            <c:ext xmlns:c16="http://schemas.microsoft.com/office/drawing/2014/chart" uri="{C3380CC4-5D6E-409C-BE32-E72D297353CC}">
              <c16:uniqueId val="{00000014-5C98-4BF1-BA4C-A4ABEDF69CE1}"/>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7EC-4511-93AA-4B65B2147DD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7EC-4511-93AA-4B65B2147DD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7EC-4511-93AA-4B65B2147DD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7EC-4511-93AA-4B65B2147DD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7EC-4511-93AA-4B65B2147DD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7EC-4511-93AA-4B65B2147DD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7EC-4511-93AA-4B65B2147DDD}"/>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17EC-4511-93AA-4B65B2147DDD}"/>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17EC-4511-93AA-4B65B2147DDD}"/>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17EC-4511-93AA-4B65B2147DDD}"/>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17EC-4511-93AA-4B65B2147DDD}"/>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17EC-4511-93AA-4B65B2147DDD}"/>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B14D-4EF1-A8E9-AD5DBC8162EF}"/>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B14D-4EF1-A8E9-AD5DBC8162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'ABR-22'!$B$142:$B$155</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'ABR-22'!$A$142:$A$155</c:f>
              <c:numCache>
                <c:formatCode>General</c:formatCode>
                <c:ptCount val="14"/>
                <c:pt idx="0">
                  <c:v>0</c:v>
                </c:pt>
                <c:pt idx="1">
                  <c:v>4</c:v>
                </c:pt>
                <c:pt idx="2">
                  <c:v>15</c:v>
                </c:pt>
                <c:pt idx="3">
                  <c:v>0</c:v>
                </c:pt>
                <c:pt idx="4">
                  <c:v>0</c:v>
                </c:pt>
                <c:pt idx="5">
                  <c:v>21</c:v>
                </c:pt>
                <c:pt idx="6">
                  <c:v>0</c:v>
                </c:pt>
                <c:pt idx="7">
                  <c:v>7</c:v>
                </c:pt>
                <c:pt idx="8">
                  <c:v>0</c:v>
                </c:pt>
                <c:pt idx="9">
                  <c:v>6</c:v>
                </c:pt>
                <c:pt idx="10">
                  <c:v>0</c:v>
                </c:pt>
                <c:pt idx="11">
                  <c:v>0</c:v>
                </c:pt>
                <c:pt idx="12">
                  <c:v>2</c:v>
                </c:pt>
                <c:pt idx="13">
                  <c:v>3</c:v>
                </c:pt>
              </c:numCache>
            </c:numRef>
          </c:val>
          <c:extLst>
            <c:ext xmlns:c16="http://schemas.microsoft.com/office/drawing/2014/chart" uri="{C3380CC4-5D6E-409C-BE32-E72D297353CC}">
              <c16:uniqueId val="{00000018-17EC-4511-93AA-4B65B2147DDD}"/>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075A-4C6E-BBAE-0563EFF8C2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'ABR-22'!$C$163:$G$163</c:f>
              <c:strCache>
                <c:ptCount val="5"/>
                <c:pt idx="0">
                  <c:v>Hora Extra Entre semana</c:v>
                </c:pt>
                <c:pt idx="1">
                  <c:v>Sabado</c:v>
                </c:pt>
                <c:pt idx="2">
                  <c:v>Domingo</c:v>
                </c:pt>
                <c:pt idx="3">
                  <c:v>Feriado</c:v>
                </c:pt>
                <c:pt idx="4">
                  <c:v>Total Hora Extra</c:v>
                </c:pt>
              </c:strCache>
            </c:strRef>
          </c:cat>
          <c:val>
            <c:numRef>
              <c:f>'ABR-22'!$C$164:$G$164</c:f>
              <c:numCache>
                <c:formatCode>General</c:formatCode>
                <c:ptCount val="5"/>
                <c:pt idx="0">
                  <c:v>260</c:v>
                </c:pt>
                <c:pt idx="1">
                  <c:v>631</c:v>
                </c:pt>
                <c:pt idx="2">
                  <c:v>70</c:v>
                </c:pt>
                <c:pt idx="3">
                  <c:v>0</c:v>
                </c:pt>
                <c:pt idx="4" formatCode="#,##0;[Red]#,##0">
                  <c:v>961</c:v>
                </c:pt>
              </c:numCache>
            </c:numRef>
          </c:val>
          <c:extLst>
            <c:ext xmlns:c16="http://schemas.microsoft.com/office/drawing/2014/chart" uri="{C3380CC4-5D6E-409C-BE32-E72D297353CC}">
              <c16:uniqueId val="{00000002-075A-4C6E-BBAE-0563EFF8C2B7}"/>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2D5-40B8-95E1-29316408374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2D5-40B8-95E1-29316408374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2D5-40B8-95E1-29316408374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2D5-40B8-95E1-29316408374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2D5-40B8-95E1-29316408374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2D5-40B8-95E1-29316408374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2D5-40B8-95E1-29316408374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2D5-40B8-95E1-29316408374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2D5-40B8-95E1-29316408374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2D5-40B8-95E1-29316408374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CF6D-4850-A96C-EEFD165C09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'MAY-22'!$B$147:$B$157</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'MAY-22'!$A$147:$A$157</c:f>
              <c:numCache>
                <c:formatCode>General</c:formatCode>
                <c:ptCount val="11"/>
                <c:pt idx="1">
                  <c:v>3</c:v>
                </c:pt>
                <c:pt idx="2">
                  <c:v>15</c:v>
                </c:pt>
                <c:pt idx="3">
                  <c:v>23</c:v>
                </c:pt>
                <c:pt idx="4">
                  <c:v>18</c:v>
                </c:pt>
                <c:pt idx="5">
                  <c:v>10</c:v>
                </c:pt>
                <c:pt idx="6">
                  <c:v>8</c:v>
                </c:pt>
                <c:pt idx="9">
                  <c:v>1</c:v>
                </c:pt>
              </c:numCache>
            </c:numRef>
          </c:val>
          <c:extLst>
            <c:ext xmlns:c16="http://schemas.microsoft.com/office/drawing/2014/chart" uri="{C3380CC4-5D6E-409C-BE32-E72D297353CC}">
              <c16:uniqueId val="{00000014-92D5-40B8-95E1-29316408374A}"/>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B21-4BEA-B471-E40FB1B47A8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B21-4BEA-B471-E40FB1B47A8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B21-4BEA-B471-E40FB1B47A8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B21-4BEA-B471-E40FB1B47A8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B21-4BEA-B471-E40FB1B47A8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B21-4BEA-B471-E40FB1B47A8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B21-4BEA-B471-E40FB1B47A81}"/>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7B21-4BEA-B471-E40FB1B47A81}"/>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7B21-4BEA-B471-E40FB1B47A81}"/>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7B21-4BEA-B471-E40FB1B47A81}"/>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7B21-4BEA-B471-E40FB1B47A81}"/>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7B21-4BEA-B471-E40FB1B47A81}"/>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D72D-49BA-87D3-D115FA4EDEA2}"/>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D72D-49BA-87D3-D115FA4EDE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'MAY-22'!$B$163:$B$176</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'MAY-22'!$A$163:$A$176</c:f>
              <c:numCache>
                <c:formatCode>General</c:formatCode>
                <c:ptCount val="14"/>
                <c:pt idx="0">
                  <c:v>0</c:v>
                </c:pt>
                <c:pt idx="1">
                  <c:v>13</c:v>
                </c:pt>
                <c:pt idx="2">
                  <c:v>5</c:v>
                </c:pt>
                <c:pt idx="5">
                  <c:v>28</c:v>
                </c:pt>
                <c:pt idx="6">
                  <c:v>1</c:v>
                </c:pt>
                <c:pt idx="7">
                  <c:v>2</c:v>
                </c:pt>
                <c:pt idx="8">
                  <c:v>1</c:v>
                </c:pt>
                <c:pt idx="9">
                  <c:v>4</c:v>
                </c:pt>
                <c:pt idx="10">
                  <c:v>18</c:v>
                </c:pt>
                <c:pt idx="11">
                  <c:v>1</c:v>
                </c:pt>
                <c:pt idx="12">
                  <c:v>3</c:v>
                </c:pt>
                <c:pt idx="13">
                  <c:v>4</c:v>
                </c:pt>
              </c:numCache>
            </c:numRef>
          </c:val>
          <c:extLst>
            <c:ext xmlns:c16="http://schemas.microsoft.com/office/drawing/2014/chart" uri="{C3380CC4-5D6E-409C-BE32-E72D297353CC}">
              <c16:uniqueId val="{00000018-7B21-4BEA-B471-E40FB1B47A81}"/>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B264-4601-BFA4-B1333C517D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'MAY-22'!$C$184:$G$184</c:f>
              <c:strCache>
                <c:ptCount val="5"/>
                <c:pt idx="0">
                  <c:v>Hora Extra Entre semana</c:v>
                </c:pt>
                <c:pt idx="1">
                  <c:v>Sabado</c:v>
                </c:pt>
                <c:pt idx="2">
                  <c:v>Domingo</c:v>
                </c:pt>
                <c:pt idx="3">
                  <c:v>Feriado</c:v>
                </c:pt>
                <c:pt idx="4">
                  <c:v>Total Hora Extra</c:v>
                </c:pt>
              </c:strCache>
            </c:strRef>
          </c:cat>
          <c:val>
            <c:numRef>
              <c:f>'MAY-22'!$C$185:$G$185</c:f>
              <c:numCache>
                <c:formatCode>General</c:formatCode>
                <c:ptCount val="5"/>
                <c:pt idx="0">
                  <c:v>216</c:v>
                </c:pt>
                <c:pt idx="1">
                  <c:v>231</c:v>
                </c:pt>
                <c:pt idx="2">
                  <c:v>63</c:v>
                </c:pt>
                <c:pt idx="3">
                  <c:v>87</c:v>
                </c:pt>
                <c:pt idx="4">
                  <c:v>596</c:v>
                </c:pt>
              </c:numCache>
            </c:numRef>
          </c:val>
          <c:extLst>
            <c:ext xmlns:c16="http://schemas.microsoft.com/office/drawing/2014/chart" uri="{C3380CC4-5D6E-409C-BE32-E72D297353CC}">
              <c16:uniqueId val="{00000002-B264-4601-BFA4-B1333C517D0C}"/>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8AC-4935-8C6A-9D7C7C25A1B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8AC-4935-8C6A-9D7C7C25A1B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8AC-4935-8C6A-9D7C7C25A1B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8AC-4935-8C6A-9D7C7C25A1B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8AC-4935-8C6A-9D7C7C25A1B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8AC-4935-8C6A-9D7C7C25A1B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C8AC-4935-8C6A-9D7C7C25A1B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C8AC-4935-8C6A-9D7C7C25A1B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C8AC-4935-8C6A-9D7C7C25A1BE}"/>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C8AC-4935-8C6A-9D7C7C25A1BE}"/>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1061-462A-A169-B6E1E9DF97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'JUN-22'!$B$160:$B$170</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'JUN-22'!$A$160:$A$170</c:f>
              <c:numCache>
                <c:formatCode>General</c:formatCode>
                <c:ptCount val="11"/>
                <c:pt idx="1">
                  <c:v>4</c:v>
                </c:pt>
                <c:pt idx="2">
                  <c:v>7</c:v>
                </c:pt>
                <c:pt idx="3">
                  <c:v>39</c:v>
                </c:pt>
                <c:pt idx="4">
                  <c:v>4</c:v>
                </c:pt>
                <c:pt idx="5">
                  <c:v>2</c:v>
                </c:pt>
                <c:pt idx="6">
                  <c:v>4</c:v>
                </c:pt>
              </c:numCache>
            </c:numRef>
          </c:val>
          <c:extLst>
            <c:ext xmlns:c16="http://schemas.microsoft.com/office/drawing/2014/chart" uri="{C3380CC4-5D6E-409C-BE32-E72D297353CC}">
              <c16:uniqueId val="{00000014-C8AC-4935-8C6A-9D7C7C25A1BE}"/>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62-4C2A-87E2-FEC39F8E03A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62-4C2A-87E2-FEC39F8E03A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C62-4C2A-87E2-FEC39F8E03A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62-4C2A-87E2-FEC39F8E03A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C62-4C2A-87E2-FEC39F8E03A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C62-4C2A-87E2-FEC39F8E03A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C62-4C2A-87E2-FEC39F8E03A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C62-4C2A-87E2-FEC39F8E03A0}"/>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C62-4C2A-87E2-FEC39F8E03A0}"/>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4C62-4C2A-87E2-FEC39F8E03A0}"/>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4C62-4C2A-87E2-FEC39F8E03A0}"/>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4C62-4C2A-87E2-FEC39F8E03A0}"/>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0F1A-41E0-9EA5-DA0BE93DE335}"/>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0F1A-41E0-9EA5-DA0BE93DE3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'JUN-22'!$B$176:$B$189</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'JUN-22'!$A$176:$A$189</c:f>
              <c:numCache>
                <c:formatCode>General</c:formatCode>
                <c:ptCount val="14"/>
                <c:pt idx="0">
                  <c:v>0</c:v>
                </c:pt>
                <c:pt idx="1">
                  <c:v>10</c:v>
                </c:pt>
                <c:pt idx="2">
                  <c:v>5</c:v>
                </c:pt>
                <c:pt idx="5">
                  <c:v>42</c:v>
                </c:pt>
                <c:pt idx="6">
                  <c:v>1</c:v>
                </c:pt>
                <c:pt idx="7">
                  <c:v>11</c:v>
                </c:pt>
                <c:pt idx="9">
                  <c:v>1</c:v>
                </c:pt>
                <c:pt idx="10">
                  <c:v>1</c:v>
                </c:pt>
                <c:pt idx="13">
                  <c:v>3</c:v>
                </c:pt>
              </c:numCache>
            </c:numRef>
          </c:val>
          <c:extLst>
            <c:ext xmlns:c16="http://schemas.microsoft.com/office/drawing/2014/chart" uri="{C3380CC4-5D6E-409C-BE32-E72D297353CC}">
              <c16:uniqueId val="{00000018-4C62-4C2A-87E2-FEC39F8E03A0}"/>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8086-4D0E-ADEF-A20EB8A520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'JUN-22'!$C$197:$G$197</c:f>
              <c:strCache>
                <c:ptCount val="5"/>
                <c:pt idx="0">
                  <c:v>Hora Extra Entre semana</c:v>
                </c:pt>
                <c:pt idx="1">
                  <c:v>Sabado</c:v>
                </c:pt>
                <c:pt idx="2">
                  <c:v>Domingo</c:v>
                </c:pt>
                <c:pt idx="3">
                  <c:v>Feriado</c:v>
                </c:pt>
                <c:pt idx="4">
                  <c:v>Total Hora Extra</c:v>
                </c:pt>
              </c:strCache>
            </c:strRef>
          </c:cat>
          <c:val>
            <c:numRef>
              <c:f>'JUN-22'!$C$198:$G$198</c:f>
              <c:numCache>
                <c:formatCode>General</c:formatCode>
                <c:ptCount val="5"/>
                <c:pt idx="0">
                  <c:v>266</c:v>
                </c:pt>
                <c:pt idx="1">
                  <c:v>724</c:v>
                </c:pt>
                <c:pt idx="2">
                  <c:v>67</c:v>
                </c:pt>
                <c:pt idx="3">
                  <c:v>73</c:v>
                </c:pt>
                <c:pt idx="4">
                  <c:v>1130</c:v>
                </c:pt>
              </c:numCache>
            </c:numRef>
          </c:val>
          <c:extLst>
            <c:ext xmlns:c16="http://schemas.microsoft.com/office/drawing/2014/chart" uri="{C3380CC4-5D6E-409C-BE32-E72D297353CC}">
              <c16:uniqueId val="{00000002-8086-4D0E-ADEF-A20EB8A520D2}"/>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17C-4CD6-9C0C-2B2BDE5A07F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17C-4CD6-9C0C-2B2BDE5A07F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17C-4CD6-9C0C-2B2BDE5A07F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17C-4CD6-9C0C-2B2BDE5A07F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17C-4CD6-9C0C-2B2BDE5A07F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17C-4CD6-9C0C-2B2BDE5A07F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17C-4CD6-9C0C-2B2BDE5A07F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17C-4CD6-9C0C-2B2BDE5A07F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E17C-4CD6-9C0C-2B2BDE5A07F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E17C-4CD6-9C0C-2B2BDE5A07F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07C0-43FC-B00A-B498CD6AD6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'JUL-22'!$B$172:$B$182</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'JUL-22'!$A$172:$A$182</c:f>
              <c:numCache>
                <c:formatCode>General</c:formatCode>
                <c:ptCount val="11"/>
                <c:pt idx="0">
                  <c:v>0</c:v>
                </c:pt>
                <c:pt idx="1">
                  <c:v>5</c:v>
                </c:pt>
                <c:pt idx="2">
                  <c:v>8</c:v>
                </c:pt>
                <c:pt idx="3">
                  <c:v>21</c:v>
                </c:pt>
                <c:pt idx="4">
                  <c:v>17</c:v>
                </c:pt>
                <c:pt idx="5">
                  <c:v>8</c:v>
                </c:pt>
                <c:pt idx="6">
                  <c:v>5</c:v>
                </c:pt>
                <c:pt idx="7">
                  <c:v>0</c:v>
                </c:pt>
                <c:pt idx="8">
                  <c:v>0</c:v>
                </c:pt>
                <c:pt idx="9">
                  <c:v>0</c:v>
                </c:pt>
                <c:pt idx="10">
                  <c:v>0</c:v>
                </c:pt>
              </c:numCache>
            </c:numRef>
          </c:val>
          <c:extLst>
            <c:ext xmlns:c16="http://schemas.microsoft.com/office/drawing/2014/chart" uri="{C3380CC4-5D6E-409C-BE32-E72D297353CC}">
              <c16:uniqueId val="{00000014-E17C-4CD6-9C0C-2B2BDE5A07F3}"/>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759-430F-8CF5-D431F4B625A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759-430F-8CF5-D431F4B625A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759-430F-8CF5-D431F4B625A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759-430F-8CF5-D431F4B625A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759-430F-8CF5-D431F4B625A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759-430F-8CF5-D431F4B625A4}"/>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759-430F-8CF5-D431F4B625A4}"/>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759-430F-8CF5-D431F4B625A4}"/>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759-430F-8CF5-D431F4B625A4}"/>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4759-430F-8CF5-D431F4B625A4}"/>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4759-430F-8CF5-D431F4B625A4}"/>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4759-430F-8CF5-D431F4B625A4}"/>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3648-44D8-AB67-DE4A65B49D36}"/>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3648-44D8-AB67-DE4A65B49D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'JUL-22'!$B$188:$B$201</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'JUL-22'!$A$188:$A$201</c:f>
              <c:numCache>
                <c:formatCode>General</c:formatCode>
                <c:ptCount val="14"/>
                <c:pt idx="0">
                  <c:v>0</c:v>
                </c:pt>
                <c:pt idx="1">
                  <c:v>6</c:v>
                </c:pt>
                <c:pt idx="2">
                  <c:v>4</c:v>
                </c:pt>
                <c:pt idx="3">
                  <c:v>0</c:v>
                </c:pt>
                <c:pt idx="4">
                  <c:v>0</c:v>
                </c:pt>
                <c:pt idx="5">
                  <c:v>37</c:v>
                </c:pt>
                <c:pt idx="6">
                  <c:v>0</c:v>
                </c:pt>
                <c:pt idx="7">
                  <c:v>4</c:v>
                </c:pt>
                <c:pt idx="8">
                  <c:v>2</c:v>
                </c:pt>
                <c:pt idx="9">
                  <c:v>11</c:v>
                </c:pt>
                <c:pt idx="10">
                  <c:v>12</c:v>
                </c:pt>
                <c:pt idx="11">
                  <c:v>0</c:v>
                </c:pt>
                <c:pt idx="12">
                  <c:v>4</c:v>
                </c:pt>
                <c:pt idx="13">
                  <c:v>4</c:v>
                </c:pt>
              </c:numCache>
            </c:numRef>
          </c:val>
          <c:extLst>
            <c:ext xmlns:c16="http://schemas.microsoft.com/office/drawing/2014/chart" uri="{C3380CC4-5D6E-409C-BE32-E72D297353CC}">
              <c16:uniqueId val="{00000018-4759-430F-8CF5-D431F4B625A4}"/>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1A92-426F-BA5B-52E7ABAAA4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'JUL-22'!$C$209:$G$209</c:f>
              <c:strCache>
                <c:ptCount val="5"/>
                <c:pt idx="0">
                  <c:v>Hora Extra Entre semana</c:v>
                </c:pt>
                <c:pt idx="1">
                  <c:v>Sabado</c:v>
                </c:pt>
                <c:pt idx="2">
                  <c:v>Domingo</c:v>
                </c:pt>
                <c:pt idx="3">
                  <c:v>Feriado</c:v>
                </c:pt>
                <c:pt idx="4">
                  <c:v>Total Hora Extra</c:v>
                </c:pt>
              </c:strCache>
            </c:strRef>
          </c:cat>
          <c:val>
            <c:numRef>
              <c:f>'JUL-22'!$C$210:$G$210</c:f>
              <c:numCache>
                <c:formatCode>General</c:formatCode>
                <c:ptCount val="5"/>
                <c:pt idx="0">
                  <c:v>158</c:v>
                </c:pt>
                <c:pt idx="1">
                  <c:v>306</c:v>
                </c:pt>
                <c:pt idx="2">
                  <c:v>56</c:v>
                </c:pt>
                <c:pt idx="3">
                  <c:v>118</c:v>
                </c:pt>
                <c:pt idx="4" formatCode="#,##0;[Red]#,##0">
                  <c:v>638</c:v>
                </c:pt>
              </c:numCache>
            </c:numRef>
          </c:val>
          <c:extLst>
            <c:ext xmlns:c16="http://schemas.microsoft.com/office/drawing/2014/chart" uri="{C3380CC4-5D6E-409C-BE32-E72D297353CC}">
              <c16:uniqueId val="{00000002-1A92-426F-BA5B-52E7ABAAA432}"/>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938-434C-BA4A-CF93EDD4DDA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938-434C-BA4A-CF93EDD4DDA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938-434C-BA4A-CF93EDD4DDA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938-434C-BA4A-CF93EDD4DDA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938-434C-BA4A-CF93EDD4DDA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938-434C-BA4A-CF93EDD4DDA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938-434C-BA4A-CF93EDD4DDA6}"/>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938-434C-BA4A-CF93EDD4DDA6}"/>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938-434C-BA4A-CF93EDD4DDA6}"/>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938-434C-BA4A-CF93EDD4DDA6}"/>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6E92-4438-B1A7-11D905784F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'AGO-22'!$B$69:$B$79</c:f>
            </c:multiLvlStrRef>
          </c:cat>
          <c:val>
            <c:numRef>
              <c:f>'AGO-22'!$A$69:$A$79</c:f>
            </c:numRef>
          </c:val>
          <c:extLst>
            <c:ext xmlns:c16="http://schemas.microsoft.com/office/drawing/2014/chart" uri="{C3380CC4-5D6E-409C-BE32-E72D297353CC}">
              <c16:uniqueId val="{00000014-8938-434C-BA4A-CF93EDD4DDA6}"/>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19D-45DE-ADEF-C0299E18CDF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19D-45DE-ADEF-C0299E18CDF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19D-45DE-ADEF-C0299E18CDF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19D-45DE-ADEF-C0299E18CDF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19D-45DE-ADEF-C0299E18CDF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19D-45DE-ADEF-C0299E18CDF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19D-45DE-ADEF-C0299E18CDF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19D-45DE-ADEF-C0299E18CDF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E19D-45DE-ADEF-C0299E18CDF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E19D-45DE-ADEF-C0299E18CDF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E19D-45DE-ADEF-C0299E18CDF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E19D-45DE-ADEF-C0299E18CDF3}"/>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79DD-4AD9-8A3F-66308E427D1D}"/>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79DD-4AD9-8A3F-66308E427D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'AGO-22'!$B$85:$B$98</c:f>
            </c:multiLvlStrRef>
          </c:cat>
          <c:val>
            <c:numRef>
              <c:f>'AGO-22'!$A$85:$A$98</c:f>
            </c:numRef>
          </c:val>
          <c:extLst>
            <c:ext xmlns:c16="http://schemas.microsoft.com/office/drawing/2014/chart" uri="{C3380CC4-5D6E-409C-BE32-E72D297353CC}">
              <c16:uniqueId val="{00000018-E19D-45DE-ADEF-C0299E18CDF3}"/>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DF36-4D12-A8D2-EBA305D5B6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'AGO-22'!$C$106:$G$106</c:f>
              <c:strCache>
                <c:ptCount val="5"/>
                <c:pt idx="0">
                  <c:v>Hora Extra Entre semana</c:v>
                </c:pt>
                <c:pt idx="1">
                  <c:v>Sabado</c:v>
                </c:pt>
                <c:pt idx="2">
                  <c:v>Domingo</c:v>
                </c:pt>
                <c:pt idx="3">
                  <c:v>Feriado</c:v>
                </c:pt>
                <c:pt idx="4">
                  <c:v>Total Hora Extra</c:v>
                </c:pt>
              </c:strCache>
            </c:strRef>
          </c:cat>
          <c:val>
            <c:numRef>
              <c:f>'AGO-22'!$C$107:$G$107</c:f>
              <c:numCache>
                <c:formatCode>General</c:formatCode>
                <c:ptCount val="5"/>
                <c:pt idx="0">
                  <c:v>105</c:v>
                </c:pt>
                <c:pt idx="1">
                  <c:v>513</c:v>
                </c:pt>
                <c:pt idx="2">
                  <c:v>15</c:v>
                </c:pt>
                <c:pt idx="3">
                  <c:v>113</c:v>
                </c:pt>
                <c:pt idx="4" formatCode="#,##0;[Red]#,##0">
                  <c:v>746</c:v>
                </c:pt>
              </c:numCache>
            </c:numRef>
          </c:val>
          <c:extLst>
            <c:ext xmlns:c16="http://schemas.microsoft.com/office/drawing/2014/chart" uri="{C3380CC4-5D6E-409C-BE32-E72D297353CC}">
              <c16:uniqueId val="{00000002-DF36-4D12-A8D2-EBA305D5B67B}"/>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B30-4D2C-B720-F1B3393DB78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B30-4D2C-B720-F1B3393DB78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B30-4D2C-B720-F1B3393DB78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B30-4D2C-B720-F1B3393DB78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B30-4D2C-B720-F1B3393DB78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B30-4D2C-B720-F1B3393DB78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B30-4D2C-B720-F1B3393DB78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DB30-4D2C-B720-F1B3393DB78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DB30-4D2C-B720-F1B3393DB78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DB30-4D2C-B720-F1B3393DB78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377D-43F7-9EFE-9F44935270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'NOV-22'!$B$71:$B$81</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'NOV-22'!$A$71:$A$81</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4-DB30-4D2C-B720-F1B3393DB787}"/>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18D-4C34-9B6D-9B61CB09A1A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18D-4C34-9B6D-9B61CB09A1A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18D-4C34-9B6D-9B61CB09A1A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18D-4C34-9B6D-9B61CB09A1A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18D-4C34-9B6D-9B61CB09A1A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18D-4C34-9B6D-9B61CB09A1A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18D-4C34-9B6D-9B61CB09A1AD}"/>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D18D-4C34-9B6D-9B61CB09A1AD}"/>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D18D-4C34-9B6D-9B61CB09A1AD}"/>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D18D-4C34-9B6D-9B61CB09A1AD}"/>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D18D-4C34-9B6D-9B61CB09A1AD}"/>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D18D-4C34-9B6D-9B61CB09A1AD}"/>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B8E1-4042-9274-902F2C91E366}"/>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B8E1-4042-9274-902F2C91E3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'NOV-22'!$B$87:$B$100</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'NOV-22'!$A$87:$A$100</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8-D18D-4C34-9B6D-9B61CB09A1AD}"/>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5D78-493D-898D-DEE8BCCE31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'NOV-22'!$C$108:$G$108</c:f>
              <c:strCache>
                <c:ptCount val="5"/>
                <c:pt idx="0">
                  <c:v>Hora Extra Entre semana</c:v>
                </c:pt>
                <c:pt idx="1">
                  <c:v>Sabado</c:v>
                </c:pt>
                <c:pt idx="2">
                  <c:v>Domingo</c:v>
                </c:pt>
                <c:pt idx="3">
                  <c:v>Feriado</c:v>
                </c:pt>
                <c:pt idx="4">
                  <c:v>Total Hora Extra</c:v>
                </c:pt>
              </c:strCache>
            </c:strRef>
          </c:cat>
          <c:val>
            <c:numRef>
              <c:f>'NOV-22'!$C$109:$G$109</c:f>
              <c:numCache>
                <c:formatCode>General</c:formatCode>
                <c:ptCount val="5"/>
                <c:pt idx="4" formatCode="#,##0;[Red]#,##0">
                  <c:v>0</c:v>
                </c:pt>
              </c:numCache>
            </c:numRef>
          </c:val>
          <c:extLst>
            <c:ext xmlns:c16="http://schemas.microsoft.com/office/drawing/2014/chart" uri="{C3380CC4-5D6E-409C-BE32-E72D297353CC}">
              <c16:uniqueId val="{00000002-5D78-493D-898D-DEE8BCCE311A}"/>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374-4297-8461-2DC970B97B2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374-4297-8461-2DC970B97B2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374-4297-8461-2DC970B97B2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374-4297-8461-2DC970B97B2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374-4297-8461-2DC970B97B2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374-4297-8461-2DC970B97B2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374-4297-8461-2DC970B97B2C}"/>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374-4297-8461-2DC970B97B2C}"/>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E374-4297-8461-2DC970B97B2C}"/>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E374-4297-8461-2DC970B97B2C}"/>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E374-4297-8461-2DC970B97B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'ENE-23'!$B$109:$B$119</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'ENE-23'!$A$109:$A$119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6-E374-4297-8461-2DC970B97B2C}"/>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4A3-4983-9ED6-E88A344B4E8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4A3-4983-9ED6-E88A344B4E8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4A3-4983-9ED6-E88A344B4E8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4A3-4983-9ED6-E88A344B4E8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4A3-4983-9ED6-E88A344B4E8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4A3-4983-9ED6-E88A344B4E8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34A3-4983-9ED6-E88A344B4E86}"/>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34A3-4983-9ED6-E88A344B4E86}"/>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34A3-4983-9ED6-E88A344B4E86}"/>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34A3-4983-9ED6-E88A344B4E86}"/>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34A3-4983-9ED6-E88A344B4E86}"/>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34A3-4983-9ED6-E88A344B4E86}"/>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34A3-4983-9ED6-E88A344B4E86}"/>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34A3-4983-9ED6-E88A344B4E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'ENE-23'!$B$125:$B$138</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'ENE-23'!$A$125:$A$138</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C-34A3-4983-9ED6-E88A344B4E86}"/>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C945-42AC-9373-EF6D4F9CE3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'ENE-23'!$C$146:$G$146</c:f>
              <c:strCache>
                <c:ptCount val="5"/>
                <c:pt idx="0">
                  <c:v>Hora Extra Entre semana</c:v>
                </c:pt>
                <c:pt idx="1">
                  <c:v>Sabado</c:v>
                </c:pt>
                <c:pt idx="2">
                  <c:v>Domingo</c:v>
                </c:pt>
                <c:pt idx="3">
                  <c:v>Feriado</c:v>
                </c:pt>
                <c:pt idx="4">
                  <c:v>Total Hora Extra</c:v>
                </c:pt>
              </c:strCache>
            </c:strRef>
          </c:cat>
          <c:val>
            <c:numRef>
              <c:f>'ENE-23'!$C$147:$G$147</c:f>
              <c:numCache>
                <c:formatCode>General</c:formatCode>
                <c:ptCount val="5"/>
                <c:pt idx="4" formatCode="#,##0;[Red]#,##0">
                  <c:v>0</c:v>
                </c:pt>
              </c:numCache>
            </c:numRef>
          </c:val>
          <c:extLst>
            <c:ext xmlns:c16="http://schemas.microsoft.com/office/drawing/2014/chart" uri="{C3380CC4-5D6E-409C-BE32-E72D297353CC}">
              <c16:uniqueId val="{00000002-C945-42AC-9373-EF6D4F9CE3B8}"/>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1D6-4088-AA15-0A00A4C31B7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1D6-4088-AA15-0A00A4C31B7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1D6-4088-AA15-0A00A4C31B7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1D6-4088-AA15-0A00A4C31B7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1D6-4088-AA15-0A00A4C31B7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1D6-4088-AA15-0A00A4C31B7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1D6-4088-AA15-0A00A4C31B7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1D6-4088-AA15-0A00A4C31B78}"/>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1D6-4088-AA15-0A00A4C31B78}"/>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1D6-4088-AA15-0A00A4C31B78}"/>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1973-47BF-952A-740226085E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'DIC-22'!$B$109:$B$119</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'DIC-22'!$A$109:$A$119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4-51D6-4088-AA15-0A00A4C31B78}"/>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DF8-4BB8-8D91-EF02EBCD24D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DF8-4BB8-8D91-EF02EBCD24D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DF8-4BB8-8D91-EF02EBCD24D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DF8-4BB8-8D91-EF02EBCD24D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DF8-4BB8-8D91-EF02EBCD24D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BDF8-4BB8-8D91-EF02EBCD24D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BDF8-4BB8-8D91-EF02EBCD24D6}"/>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BDF8-4BB8-8D91-EF02EBCD24D6}"/>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BDF8-4BB8-8D91-EF02EBCD24D6}"/>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BDF8-4BB8-8D91-EF02EBCD24D6}"/>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BDF8-4BB8-8D91-EF02EBCD24D6}"/>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BDF8-4BB8-8D91-EF02EBCD24D6}"/>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E0F5-4F5D-BB3A-61D226AB1A47}"/>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E0F5-4F5D-BB3A-61D226AB1A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'DIC-22'!$B$125:$B$138</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'DIC-22'!$A$125:$A$138</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8-BDF8-4BB8-8D91-EF02EBCD24D6}"/>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F8F7-4AAA-83EF-099CB7DE36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'DIC-22'!$C$146:$G$146</c:f>
              <c:strCache>
                <c:ptCount val="5"/>
                <c:pt idx="0">
                  <c:v>Hora Extra Entre semana</c:v>
                </c:pt>
                <c:pt idx="1">
                  <c:v>Sabado</c:v>
                </c:pt>
                <c:pt idx="2">
                  <c:v>Domingo</c:v>
                </c:pt>
                <c:pt idx="3">
                  <c:v>Feriado</c:v>
                </c:pt>
                <c:pt idx="4">
                  <c:v>Total Hora Extra</c:v>
                </c:pt>
              </c:strCache>
            </c:strRef>
          </c:cat>
          <c:val>
            <c:numRef>
              <c:f>'DIC-22'!$C$147:$G$147</c:f>
              <c:numCache>
                <c:formatCode>General</c:formatCode>
                <c:ptCount val="5"/>
                <c:pt idx="4" formatCode="#,##0;[Red]#,##0">
                  <c:v>0</c:v>
                </c:pt>
              </c:numCache>
            </c:numRef>
          </c:val>
          <c:extLst>
            <c:ext xmlns:c16="http://schemas.microsoft.com/office/drawing/2014/chart" uri="{C3380CC4-5D6E-409C-BE32-E72D297353CC}">
              <c16:uniqueId val="{00000002-F8F7-4AAA-83EF-099CB7DE368F}"/>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56A-469B-B6BF-B514E159598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56A-469B-B6BF-B514E159598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56A-469B-B6BF-B514E159598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56A-469B-B6BF-B514E159598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56A-469B-B6BF-B514E159598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56A-469B-B6BF-B514E159598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56A-469B-B6BF-B514E1595989}"/>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A56A-469B-B6BF-B514E1595989}"/>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A56A-469B-B6BF-B514E1595989}"/>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A56A-469B-B6BF-B514E1595989}"/>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A56A-469B-B6BF-B514E15959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'FEB-23'!$B$109:$B$119</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'FEB-23'!$A$109:$A$119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6-A56A-469B-B6BF-B514E1595989}"/>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080-4280-AEE1-296498CC6B5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080-4280-AEE1-296498CC6B5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080-4280-AEE1-296498CC6B5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080-4280-AEE1-296498CC6B5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080-4280-AEE1-296498CC6B5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080-4280-AEE1-296498CC6B5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080-4280-AEE1-296498CC6B5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080-4280-AEE1-296498CC6B5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080-4280-AEE1-296498CC6B5E}"/>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4080-4280-AEE1-296498CC6B5E}"/>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4080-4280-AEE1-296498CC6B5E}"/>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4080-4280-AEE1-296498CC6B5E}"/>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4080-4280-AEE1-296498CC6B5E}"/>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4080-4280-AEE1-296498CC6B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'FEB-23'!$B$125:$B$138</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'FEB-23'!$A$125:$A$138</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C-4080-4280-AEE1-296498CC6B5E}"/>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E599-41DD-A7AB-941459A8B6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'FEB-23'!$C$146:$G$146</c:f>
              <c:strCache>
                <c:ptCount val="5"/>
                <c:pt idx="0">
                  <c:v>Hora Extra Entre semana</c:v>
                </c:pt>
                <c:pt idx="1">
                  <c:v>Sabado</c:v>
                </c:pt>
                <c:pt idx="2">
                  <c:v>Domingo</c:v>
                </c:pt>
                <c:pt idx="3">
                  <c:v>Feriado</c:v>
                </c:pt>
                <c:pt idx="4">
                  <c:v>Total Hora Extra</c:v>
                </c:pt>
              </c:strCache>
            </c:strRef>
          </c:cat>
          <c:val>
            <c:numRef>
              <c:f>'FEB-23'!$C$147:$G$147</c:f>
              <c:numCache>
                <c:formatCode>General</c:formatCode>
                <c:ptCount val="5"/>
                <c:pt idx="4" formatCode="#,##0;[Red]#,##0">
                  <c:v>0</c:v>
                </c:pt>
              </c:numCache>
            </c:numRef>
          </c:val>
          <c:extLst>
            <c:ext xmlns:c16="http://schemas.microsoft.com/office/drawing/2014/chart" uri="{C3380CC4-5D6E-409C-BE32-E72D297353CC}">
              <c16:uniqueId val="{00000002-E599-41DD-A7AB-941459A8B679}"/>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617-4E57-8A60-BFE214B06CA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617-4E57-8A60-BFE214B06CA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617-4E57-8A60-BFE214B06CA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617-4E57-8A60-BFE214B06CA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617-4E57-8A60-BFE214B06CA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617-4E57-8A60-BFE214B06CA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617-4E57-8A60-BFE214B06CA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617-4E57-8A60-BFE214B06CA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617-4E57-8A60-BFE214B06CAE}"/>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4617-4E57-8A60-BFE214B06CAE}"/>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4617-4E57-8A60-BFE214B06C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'MAR-23'!$B$72:$B$82</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'MAR-23'!$A$72:$A$82</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6-4617-4E57-8A60-BFE214B06CAE}"/>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8A1-48A4-8FBD-DE378F7C8BE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A1-48A4-8FBD-DE378F7C8BE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8A1-48A4-8FBD-DE378F7C8BE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8A1-48A4-8FBD-DE378F7C8BE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8A1-48A4-8FBD-DE378F7C8BE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8A1-48A4-8FBD-DE378F7C8BE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8A1-48A4-8FBD-DE378F7C8BE6}"/>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8A1-48A4-8FBD-DE378F7C8BE6}"/>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8A1-48A4-8FBD-DE378F7C8BE6}"/>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8A1-48A4-8FBD-DE378F7C8BE6}"/>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98A1-48A4-8FBD-DE378F7C8BE6}"/>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98A1-48A4-8FBD-DE378F7C8BE6}"/>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98A1-48A4-8FBD-DE378F7C8BE6}"/>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98A1-48A4-8FBD-DE378F7C8B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'MAR-23'!$B$88:$B$101</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'MAR-23'!$A$88:$A$101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C-98A1-48A4-8FBD-DE378F7C8BE6}"/>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469B-43FB-A4B2-9F711F9CAB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'MAR-23'!$C$109:$G$109</c:f>
              <c:strCache>
                <c:ptCount val="5"/>
                <c:pt idx="0">
                  <c:v>Hora Extra Entre semana</c:v>
                </c:pt>
                <c:pt idx="1">
                  <c:v>Sabado</c:v>
                </c:pt>
                <c:pt idx="2">
                  <c:v>Domingo</c:v>
                </c:pt>
                <c:pt idx="3">
                  <c:v>Feriado</c:v>
                </c:pt>
                <c:pt idx="4">
                  <c:v>Total Hora Extra</c:v>
                </c:pt>
              </c:strCache>
            </c:strRef>
          </c:cat>
          <c:val>
            <c:numRef>
              <c:f>'MAR-23'!$C$110:$G$110</c:f>
              <c:numCache>
                <c:formatCode>General</c:formatCode>
                <c:ptCount val="5"/>
                <c:pt idx="0">
                  <c:v>220</c:v>
                </c:pt>
                <c:pt idx="1">
                  <c:v>695</c:v>
                </c:pt>
                <c:pt idx="2">
                  <c:v>369</c:v>
                </c:pt>
                <c:pt idx="3">
                  <c:v>0</c:v>
                </c:pt>
                <c:pt idx="4" formatCode="#,##0;[Red]#,##0">
                  <c:v>1284</c:v>
                </c:pt>
              </c:numCache>
            </c:numRef>
          </c:val>
          <c:extLst>
            <c:ext xmlns:c16="http://schemas.microsoft.com/office/drawing/2014/chart" uri="{C3380CC4-5D6E-409C-BE32-E72D297353CC}">
              <c16:uniqueId val="{00000002-469B-43FB-A4B2-9F711F9CAB44}"/>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48B-4E64-A6C1-E753A7B57A5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48B-4E64-A6C1-E753A7B57A5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48B-4E64-A6C1-E753A7B57A5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48B-4E64-A6C1-E753A7B57A5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48B-4E64-A6C1-E753A7B57A5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48B-4E64-A6C1-E753A7B57A5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48B-4E64-A6C1-E753A7B57A59}"/>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48B-4E64-A6C1-E753A7B57A59}"/>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48B-4E64-A6C1-E753A7B57A59}"/>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48B-4E64-A6C1-E753A7B57A59}"/>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548B-4E64-A6C1-E753A7B57A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'ABR-23'!$B$109:$B$119</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'ABR-23'!$A$109:$A$119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6-548B-4E64-A6C1-E753A7B57A59}"/>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6BF-4B43-9847-73023B228D1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6BF-4B43-9847-73023B228D1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6BF-4B43-9847-73023B228D1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6BF-4B43-9847-73023B228D1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6BF-4B43-9847-73023B228D1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6BF-4B43-9847-73023B228D1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6BF-4B43-9847-73023B228D1F}"/>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16BF-4B43-9847-73023B228D1F}"/>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16BF-4B43-9847-73023B228D1F}"/>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16BF-4B43-9847-73023B228D1F}"/>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16BF-4B43-9847-73023B228D1F}"/>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16BF-4B43-9847-73023B228D1F}"/>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16BF-4B43-9847-73023B228D1F}"/>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16BF-4B43-9847-73023B228D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'ABR-23'!$B$125:$B$138</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'ABR-23'!$A$125:$A$138</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C-16BF-4B43-9847-73023B228D1F}"/>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CA3D-4F0D-BB15-0F93E8EF4D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'ABR-23'!$C$146:$G$146</c:f>
              <c:strCache>
                <c:ptCount val="5"/>
                <c:pt idx="0">
                  <c:v>Hora Extra Entre semana</c:v>
                </c:pt>
                <c:pt idx="1">
                  <c:v>Sabado</c:v>
                </c:pt>
                <c:pt idx="2">
                  <c:v>Domingo</c:v>
                </c:pt>
                <c:pt idx="3">
                  <c:v>Feriado</c:v>
                </c:pt>
                <c:pt idx="4">
                  <c:v>Total Hora Extra</c:v>
                </c:pt>
              </c:strCache>
            </c:strRef>
          </c:cat>
          <c:val>
            <c:numRef>
              <c:f>'ABR-23'!$C$147:$G$147</c:f>
              <c:numCache>
                <c:formatCode>General</c:formatCode>
                <c:ptCount val="5"/>
                <c:pt idx="4" formatCode="#,##0;[Red]#,##0">
                  <c:v>0</c:v>
                </c:pt>
              </c:numCache>
            </c:numRef>
          </c:val>
          <c:extLst>
            <c:ext xmlns:c16="http://schemas.microsoft.com/office/drawing/2014/chart" uri="{C3380CC4-5D6E-409C-BE32-E72D297353CC}">
              <c16:uniqueId val="{00000002-CA3D-4F0D-BB15-0F93E8EF4DB5}"/>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7D-453E-B176-8DF9067C12D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7D-453E-B176-8DF9067C12D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A7D-453E-B176-8DF9067C12D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A7D-453E-B176-8DF9067C12D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A7D-453E-B176-8DF9067C12D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A7D-453E-B176-8DF9067C12D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A7D-453E-B176-8DF9067C12D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AA7D-453E-B176-8DF9067C12D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AA7D-453E-B176-8DF9067C12D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AA7D-453E-B176-8DF9067C12D5}"/>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AA7D-453E-B176-8DF9067C12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'MAY-23'!$B$109:$B$119</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'MAY-23'!$A$109:$A$119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6-AA7D-453E-B176-8DF9067C12D5}"/>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CA1-4D73-9A54-5B3491E5D20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CA1-4D73-9A54-5B3491E5D20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CA1-4D73-9A54-5B3491E5D20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CA1-4D73-9A54-5B3491E5D20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CA1-4D73-9A54-5B3491E5D20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CA1-4D73-9A54-5B3491E5D20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CA1-4D73-9A54-5B3491E5D20C}"/>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CA1-4D73-9A54-5B3491E5D20C}"/>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CA1-4D73-9A54-5B3491E5D20C}"/>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2CA1-4D73-9A54-5B3491E5D20C}"/>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2CA1-4D73-9A54-5B3491E5D20C}"/>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2CA1-4D73-9A54-5B3491E5D20C}"/>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2CA1-4D73-9A54-5B3491E5D20C}"/>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2CA1-4D73-9A54-5B3491E5D2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'MAY-23'!$B$125:$B$138</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'MAY-23'!$A$125:$A$138</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C-2CA1-4D73-9A54-5B3491E5D20C}"/>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6B45-4E56-A615-9885446F5E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'MAY-23'!$C$146:$G$146</c:f>
              <c:strCache>
                <c:ptCount val="5"/>
                <c:pt idx="0">
                  <c:v>Hora Extra Entre semana</c:v>
                </c:pt>
                <c:pt idx="1">
                  <c:v>Sabado</c:v>
                </c:pt>
                <c:pt idx="2">
                  <c:v>Domingo</c:v>
                </c:pt>
                <c:pt idx="3">
                  <c:v>Feriado</c:v>
                </c:pt>
                <c:pt idx="4">
                  <c:v>Total Hora Extra</c:v>
                </c:pt>
              </c:strCache>
            </c:strRef>
          </c:cat>
          <c:val>
            <c:numRef>
              <c:f>'MAY-23'!$C$147:$G$147</c:f>
              <c:numCache>
                <c:formatCode>General</c:formatCode>
                <c:ptCount val="5"/>
                <c:pt idx="4" formatCode="#,##0;[Red]#,##0">
                  <c:v>0</c:v>
                </c:pt>
              </c:numCache>
            </c:numRef>
          </c:val>
          <c:extLst>
            <c:ext xmlns:c16="http://schemas.microsoft.com/office/drawing/2014/chart" uri="{C3380CC4-5D6E-409C-BE32-E72D297353CC}">
              <c16:uniqueId val="{00000002-6B45-4E56-A615-9885446F5EEA}"/>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678-4035-B947-77AF3EC2247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678-4035-B947-77AF3EC2247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678-4035-B947-77AF3EC2247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678-4035-B947-77AF3EC2247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678-4035-B947-77AF3EC2247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678-4035-B947-77AF3EC2247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678-4035-B947-77AF3EC2247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678-4035-B947-77AF3EC22478}"/>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678-4035-B947-77AF3EC22478}"/>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2678-4035-B947-77AF3EC22478}"/>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2678-4035-B947-77AF3EC224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'JUN-23'!$B$109:$B$119</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'JUN-23'!$A$109:$A$119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6-2678-4035-B947-77AF3EC22478}"/>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AF4-4928-82DB-646F70D6DDA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AF4-4928-82DB-646F70D6DDA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AF4-4928-82DB-646F70D6DDA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AF4-4928-82DB-646F70D6DDA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AF4-4928-82DB-646F70D6DDA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AF4-4928-82DB-646F70D6DDA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AF4-4928-82DB-646F70D6DDAC}"/>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DAF4-4928-82DB-646F70D6DDAC}"/>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DAF4-4928-82DB-646F70D6DDAC}"/>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DAF4-4928-82DB-646F70D6DDAC}"/>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DAF4-4928-82DB-646F70D6DDAC}"/>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DAF4-4928-82DB-646F70D6DDAC}"/>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DAF4-4928-82DB-646F70D6DDAC}"/>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DAF4-4928-82DB-646F70D6DD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'JUN-23'!$B$125:$B$138</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'JUN-23'!$A$125:$A$138</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C-DAF4-4928-82DB-646F70D6DDAC}"/>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E122-4DB2-B7C3-B43609774A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'JUN-23'!$C$146:$G$146</c:f>
              <c:strCache>
                <c:ptCount val="5"/>
                <c:pt idx="0">
                  <c:v>Hora Extra Entre semana</c:v>
                </c:pt>
                <c:pt idx="1">
                  <c:v>Sabado</c:v>
                </c:pt>
                <c:pt idx="2">
                  <c:v>Domingo</c:v>
                </c:pt>
                <c:pt idx="3">
                  <c:v>Feriado</c:v>
                </c:pt>
                <c:pt idx="4">
                  <c:v>Total Hora Extra</c:v>
                </c:pt>
              </c:strCache>
            </c:strRef>
          </c:cat>
          <c:val>
            <c:numRef>
              <c:f>'JUN-23'!$C$147:$G$147</c:f>
              <c:numCache>
                <c:formatCode>General</c:formatCode>
                <c:ptCount val="5"/>
                <c:pt idx="4" formatCode="#,##0;[Red]#,##0">
                  <c:v>0</c:v>
                </c:pt>
              </c:numCache>
            </c:numRef>
          </c:val>
          <c:extLst>
            <c:ext xmlns:c16="http://schemas.microsoft.com/office/drawing/2014/chart" uri="{C3380CC4-5D6E-409C-BE32-E72D297353CC}">
              <c16:uniqueId val="{00000002-E122-4DB2-B7C3-B43609774AA0}"/>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A27-437E-9626-F44A9004DD3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A27-437E-9626-F44A9004DD3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A27-437E-9626-F44A9004DD3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A27-437E-9626-F44A9004DD3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A27-437E-9626-F44A9004DD3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A27-437E-9626-F44A9004DD3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A27-437E-9626-F44A9004DD3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A27-437E-9626-F44A9004DD30}"/>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A27-437E-9626-F44A9004DD30}"/>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A27-437E-9626-F44A9004DD30}"/>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8A27-437E-9626-F44A9004DD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'JUL-23'!$B$109:$B$119</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'JUL-23'!$A$109:$A$119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6-8A27-437E-9626-F44A9004DD30}"/>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E6B-4049-9212-DC75FB024A5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E6B-4049-9212-DC75FB024A5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E6B-4049-9212-DC75FB024A5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E6B-4049-9212-DC75FB024A5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E6B-4049-9212-DC75FB024A5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E6B-4049-9212-DC75FB024A5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E6B-4049-9212-DC75FB024A5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7E6B-4049-9212-DC75FB024A5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7E6B-4049-9212-DC75FB024A5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7E6B-4049-9212-DC75FB024A52}"/>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7E6B-4049-9212-DC75FB024A5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7E6B-4049-9212-DC75FB024A52}"/>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7E6B-4049-9212-DC75FB024A52}"/>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7E6B-4049-9212-DC75FB024A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'JUL-23'!$B$125:$B$138</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'JUL-23'!$A$125:$A$138</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C-7E6B-4049-9212-DC75FB024A52}"/>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762B-40C2-9F4D-96DE107CA2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'JUL-23'!$C$146:$G$146</c:f>
              <c:strCache>
                <c:ptCount val="5"/>
                <c:pt idx="0">
                  <c:v>Hora Extra Entre semana</c:v>
                </c:pt>
                <c:pt idx="1">
                  <c:v>Sabado</c:v>
                </c:pt>
                <c:pt idx="2">
                  <c:v>Domingo</c:v>
                </c:pt>
                <c:pt idx="3">
                  <c:v>Feriado</c:v>
                </c:pt>
                <c:pt idx="4">
                  <c:v>Total Hora Extra</c:v>
                </c:pt>
              </c:strCache>
            </c:strRef>
          </c:cat>
          <c:val>
            <c:numRef>
              <c:f>'JUL-23'!$C$147:$G$147</c:f>
              <c:numCache>
                <c:formatCode>General</c:formatCode>
                <c:ptCount val="5"/>
                <c:pt idx="4" formatCode="#,##0;[Red]#,##0">
                  <c:v>0</c:v>
                </c:pt>
              </c:numCache>
            </c:numRef>
          </c:val>
          <c:extLst>
            <c:ext xmlns:c16="http://schemas.microsoft.com/office/drawing/2014/chart" uri="{C3380CC4-5D6E-409C-BE32-E72D297353CC}">
              <c16:uniqueId val="{00000002-762B-40C2-9F4D-96DE107CA2E1}"/>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7B5-4D8A-AE97-8F8538CAB1B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7B5-4D8A-AE97-8F8538CAB1B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7B5-4D8A-AE97-8F8538CAB1B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7B5-4D8A-AE97-8F8538CAB1B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7B5-4D8A-AE97-8F8538CAB1B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7B5-4D8A-AE97-8F8538CAB1B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7B5-4D8A-AE97-8F8538CAB1B1}"/>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17B5-4D8A-AE97-8F8538CAB1B1}"/>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17B5-4D8A-AE97-8F8538CAB1B1}"/>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17B5-4D8A-AE97-8F8538CAB1B1}"/>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17B5-4D8A-AE97-8F8538CAB1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'AGO-23'!$B$109:$B$119</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'AGO-23'!$A$109:$A$119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6-17B5-4D8A-AE97-8F8538CAB1B1}"/>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EF3-4495-B6DE-091111BC037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EF3-4495-B6DE-091111BC037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EF3-4495-B6DE-091111BC037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EF3-4495-B6DE-091111BC037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EF3-4495-B6DE-091111BC037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EF3-4495-B6DE-091111BC037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EF3-4495-B6DE-091111BC0376}"/>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0EF3-4495-B6DE-091111BC0376}"/>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0EF3-4495-B6DE-091111BC0376}"/>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0EF3-4495-B6DE-091111BC0376}"/>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0EF3-4495-B6DE-091111BC0376}"/>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0EF3-4495-B6DE-091111BC0376}"/>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0EF3-4495-B6DE-091111BC0376}"/>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0EF3-4495-B6DE-091111BC03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'AGO-23'!$B$125:$B$138</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'AGO-23'!$A$125:$A$138</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C-0EF3-4495-B6DE-091111BC0376}"/>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804A-4D9D-AC9C-F4B66149A0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'AGO-23'!$C$146:$G$146</c:f>
              <c:strCache>
                <c:ptCount val="5"/>
                <c:pt idx="0">
                  <c:v>Hora Extra Entre semana</c:v>
                </c:pt>
                <c:pt idx="1">
                  <c:v>Sabado</c:v>
                </c:pt>
                <c:pt idx="2">
                  <c:v>Domingo</c:v>
                </c:pt>
                <c:pt idx="3">
                  <c:v>Feriado</c:v>
                </c:pt>
                <c:pt idx="4">
                  <c:v>Total Hora Extra</c:v>
                </c:pt>
              </c:strCache>
            </c:strRef>
          </c:cat>
          <c:val>
            <c:numRef>
              <c:f>'AGO-23'!$C$147:$G$147</c:f>
              <c:numCache>
                <c:formatCode>General</c:formatCode>
                <c:ptCount val="5"/>
                <c:pt idx="4" formatCode="#,##0;[Red]#,##0">
                  <c:v>0</c:v>
                </c:pt>
              </c:numCache>
            </c:numRef>
          </c:val>
          <c:extLst>
            <c:ext xmlns:c16="http://schemas.microsoft.com/office/drawing/2014/chart" uri="{C3380CC4-5D6E-409C-BE32-E72D297353CC}">
              <c16:uniqueId val="{00000002-804A-4D9D-AC9C-F4B66149A035}"/>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BB2-4C04-B768-E15D521489B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BB2-4C04-B768-E15D521489B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BB2-4C04-B768-E15D521489B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BB2-4C04-B768-E15D521489B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BB2-4C04-B768-E15D521489B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BB2-4C04-B768-E15D521489B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BB2-4C04-B768-E15D521489B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BB2-4C04-B768-E15D521489B8}"/>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BB2-4C04-B768-E15D521489B8}"/>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BB2-4C04-B768-E15D521489B8}"/>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8BB2-4C04-B768-E15D521489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'SEP-23'!$B$109:$B$119</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'SEP-23'!$A$109:$A$119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6-8BB2-4C04-B768-E15D521489B8}"/>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1B0-4FBD-A27F-452DE196F86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1B0-4FBD-A27F-452DE196F86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1B0-4FBD-A27F-452DE196F86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1B0-4FBD-A27F-452DE196F86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1B0-4FBD-A27F-452DE196F86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1B0-4FBD-A27F-452DE196F86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1B0-4FBD-A27F-452DE196F866}"/>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11B0-4FBD-A27F-452DE196F866}"/>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11B0-4FBD-A27F-452DE196F866}"/>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11B0-4FBD-A27F-452DE196F866}"/>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11B0-4FBD-A27F-452DE196F866}"/>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11B0-4FBD-A27F-452DE196F866}"/>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11B0-4FBD-A27F-452DE196F866}"/>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11B0-4FBD-A27F-452DE196F8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'SEP-23'!$B$125:$B$138</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'SEP-23'!$A$125:$A$138</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C-11B0-4FBD-A27F-452DE196F866}"/>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DBC8-4B4A-A466-947957E64F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'SEP-23'!$C$146:$G$146</c:f>
              <c:strCache>
                <c:ptCount val="5"/>
                <c:pt idx="0">
                  <c:v>Hora Extra Entre semana</c:v>
                </c:pt>
                <c:pt idx="1">
                  <c:v>Sabado</c:v>
                </c:pt>
                <c:pt idx="2">
                  <c:v>Domingo</c:v>
                </c:pt>
                <c:pt idx="3">
                  <c:v>Feriado</c:v>
                </c:pt>
                <c:pt idx="4">
                  <c:v>Total Hora Extra</c:v>
                </c:pt>
              </c:strCache>
            </c:strRef>
          </c:cat>
          <c:val>
            <c:numRef>
              <c:f>'SEP-23'!$C$147:$G$147</c:f>
              <c:numCache>
                <c:formatCode>General</c:formatCode>
                <c:ptCount val="5"/>
                <c:pt idx="4" formatCode="#,##0;[Red]#,##0">
                  <c:v>0</c:v>
                </c:pt>
              </c:numCache>
            </c:numRef>
          </c:val>
          <c:extLst>
            <c:ext xmlns:c16="http://schemas.microsoft.com/office/drawing/2014/chart" uri="{C3380CC4-5D6E-409C-BE32-E72D297353CC}">
              <c16:uniqueId val="{00000002-DBC8-4B4A-A466-947957E64F02}"/>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5D6-4A6E-825C-99D08EE80FA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5D6-4A6E-825C-99D08EE80FA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5D6-4A6E-825C-99D08EE80FA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5D6-4A6E-825C-99D08EE80FA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5D6-4A6E-825C-99D08EE80FA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5D6-4A6E-825C-99D08EE80FA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5D6-4A6E-825C-99D08EE80FA1}"/>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15D6-4A6E-825C-99D08EE80FA1}"/>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15D6-4A6E-825C-99D08EE80FA1}"/>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15D6-4A6E-825C-99D08EE80FA1}"/>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15D6-4A6E-825C-99D08EE80F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'OCT-23'!$B$109:$B$119</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'OCT-23'!$A$109:$A$119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6-15D6-4A6E-825C-99D08EE80FA1}"/>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8FE-499D-B9C3-DE48CAC3DD6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8FE-499D-B9C3-DE48CAC3DD6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8FE-499D-B9C3-DE48CAC3DD6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8FE-499D-B9C3-DE48CAC3DD6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8FE-499D-B9C3-DE48CAC3DD6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8FE-499D-B9C3-DE48CAC3DD6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8FE-499D-B9C3-DE48CAC3DD6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78FE-499D-B9C3-DE48CAC3DD6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78FE-499D-B9C3-DE48CAC3DD6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78FE-499D-B9C3-DE48CAC3DD6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78FE-499D-B9C3-DE48CAC3DD6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78FE-499D-B9C3-DE48CAC3DD63}"/>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78FE-499D-B9C3-DE48CAC3DD63}"/>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78FE-499D-B9C3-DE48CAC3DD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'OCT-23'!$B$125:$B$138</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'OCT-23'!$A$125:$A$138</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C-78FE-499D-B9C3-DE48CAC3DD63}"/>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FB7B-4816-B04E-32F1B23F2F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'OCT-23'!$C$146:$G$146</c:f>
              <c:strCache>
                <c:ptCount val="5"/>
                <c:pt idx="0">
                  <c:v>Hora Extra Entre semana</c:v>
                </c:pt>
                <c:pt idx="1">
                  <c:v>Sabado</c:v>
                </c:pt>
                <c:pt idx="2">
                  <c:v>Domingo</c:v>
                </c:pt>
                <c:pt idx="3">
                  <c:v>Feriado</c:v>
                </c:pt>
                <c:pt idx="4">
                  <c:v>Total Hora Extra</c:v>
                </c:pt>
              </c:strCache>
            </c:strRef>
          </c:cat>
          <c:val>
            <c:numRef>
              <c:f>'OCT-23'!$C$147:$G$147</c:f>
              <c:numCache>
                <c:formatCode>General</c:formatCode>
                <c:ptCount val="5"/>
                <c:pt idx="4" formatCode="#,##0;[Red]#,##0">
                  <c:v>0</c:v>
                </c:pt>
              </c:numCache>
            </c:numRef>
          </c:val>
          <c:extLst>
            <c:ext xmlns:c16="http://schemas.microsoft.com/office/drawing/2014/chart" uri="{C3380CC4-5D6E-409C-BE32-E72D297353CC}">
              <c16:uniqueId val="{00000002-FB7B-4816-B04E-32F1B23F2FA4}"/>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561-450B-B45E-CDE9210E7CD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561-450B-B45E-CDE9210E7CD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561-450B-B45E-CDE9210E7CD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561-450B-B45E-CDE9210E7CD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561-450B-B45E-CDE9210E7CD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561-450B-B45E-CDE9210E7CD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561-450B-B45E-CDE9210E7CD9}"/>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561-450B-B45E-CDE9210E7CD9}"/>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561-450B-B45E-CDE9210E7CD9}"/>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4561-450B-B45E-CDE9210E7CD9}"/>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782D-47E4-B714-D7FD23878B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'SEP-22'!$B$94:$B$104</c:f>
            </c:multiLvlStrRef>
          </c:cat>
          <c:val>
            <c:numRef>
              <c:f>'SEP-22'!$A$94:$A$104</c:f>
            </c:numRef>
          </c:val>
          <c:extLst>
            <c:ext xmlns:c16="http://schemas.microsoft.com/office/drawing/2014/chart" uri="{C3380CC4-5D6E-409C-BE32-E72D297353CC}">
              <c16:uniqueId val="{00000014-4561-450B-B45E-CDE9210E7CD9}"/>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9E3-4A0C-AF2B-8202FF6AD51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9E3-4A0C-AF2B-8202FF6AD51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9E3-4A0C-AF2B-8202FF6AD51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9E3-4A0C-AF2B-8202FF6AD51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9E3-4A0C-AF2B-8202FF6AD51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9E3-4A0C-AF2B-8202FF6AD51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9E3-4A0C-AF2B-8202FF6AD51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79E3-4A0C-AF2B-8202FF6AD51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79E3-4A0C-AF2B-8202FF6AD51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79E3-4A0C-AF2B-8202FF6AD512}"/>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79E3-4A0C-AF2B-8202FF6AD51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79E3-4A0C-AF2B-8202FF6AD512}"/>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CAC4-4F9F-92FB-208F59268963}"/>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CAC4-4F9F-92FB-208F592689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'SEP-22'!$B$110:$B$123</c:f>
            </c:multiLvlStrRef>
          </c:cat>
          <c:val>
            <c:numRef>
              <c:f>'SEP-22'!$A$110:$A$123</c:f>
            </c:numRef>
          </c:val>
          <c:extLst>
            <c:ext xmlns:c16="http://schemas.microsoft.com/office/drawing/2014/chart" uri="{C3380CC4-5D6E-409C-BE32-E72D297353CC}">
              <c16:uniqueId val="{00000018-79E3-4A0C-AF2B-8202FF6AD512}"/>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ED01-4995-B39A-A498970DB3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'SEP-22'!$C$131:$G$131</c:f>
              <c:strCache>
                <c:ptCount val="5"/>
                <c:pt idx="0">
                  <c:v>Hora Extra Entre semana</c:v>
                </c:pt>
                <c:pt idx="1">
                  <c:v>Sabado</c:v>
                </c:pt>
                <c:pt idx="2">
                  <c:v>Domingo</c:v>
                </c:pt>
                <c:pt idx="3">
                  <c:v>Feriado</c:v>
                </c:pt>
                <c:pt idx="4">
                  <c:v>Total Hora Extra</c:v>
                </c:pt>
              </c:strCache>
            </c:strRef>
          </c:cat>
          <c:val>
            <c:numRef>
              <c:f>'SEP-22'!$C$132:$G$132</c:f>
              <c:numCache>
                <c:formatCode>General</c:formatCode>
                <c:ptCount val="5"/>
                <c:pt idx="0">
                  <c:v>134</c:v>
                </c:pt>
                <c:pt idx="1">
                  <c:v>506</c:v>
                </c:pt>
                <c:pt idx="2">
                  <c:v>48</c:v>
                </c:pt>
                <c:pt idx="3">
                  <c:v>0</c:v>
                </c:pt>
                <c:pt idx="4" formatCode="#,##0;[Red]#,##0">
                  <c:v>688</c:v>
                </c:pt>
              </c:numCache>
            </c:numRef>
          </c:val>
          <c:extLst>
            <c:ext xmlns:c16="http://schemas.microsoft.com/office/drawing/2014/chart" uri="{C3380CC4-5D6E-409C-BE32-E72D297353CC}">
              <c16:uniqueId val="{00000002-ED01-4995-B39A-A498970DB30F}"/>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EAE-447D-904F-04D094FC233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EAE-447D-904F-04D094FC233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EAE-447D-904F-04D094FC233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EAE-447D-904F-04D094FC233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EAE-447D-904F-04D094FC233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EAE-447D-904F-04D094FC233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EAE-447D-904F-04D094FC233F}"/>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EAE-447D-904F-04D094FC233F}"/>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EAE-447D-904F-04D094FC233F}"/>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EAE-447D-904F-04D094FC233F}"/>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4B48-44E8-A41D-3C6A26BCC7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'OCT-22'!$B$111:$B$121</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'OCT-22'!$A$111:$A$121</c:f>
              <c:numCache>
                <c:formatCode>General</c:formatCode>
                <c:ptCount val="11"/>
                <c:pt idx="0">
                  <c:v>0</c:v>
                </c:pt>
                <c:pt idx="1">
                  <c:v>0</c:v>
                </c:pt>
                <c:pt idx="2">
                  <c:v>0</c:v>
                </c:pt>
                <c:pt idx="3">
                  <c:v>7</c:v>
                </c:pt>
                <c:pt idx="4">
                  <c:v>1</c:v>
                </c:pt>
                <c:pt idx="5">
                  <c:v>2</c:v>
                </c:pt>
                <c:pt idx="6">
                  <c:v>5</c:v>
                </c:pt>
                <c:pt idx="7">
                  <c:v>0</c:v>
                </c:pt>
                <c:pt idx="8">
                  <c:v>0</c:v>
                </c:pt>
                <c:pt idx="9">
                  <c:v>0</c:v>
                </c:pt>
                <c:pt idx="10">
                  <c:v>0</c:v>
                </c:pt>
              </c:numCache>
            </c:numRef>
          </c:val>
          <c:extLst>
            <c:ext xmlns:c16="http://schemas.microsoft.com/office/drawing/2014/chart" uri="{C3380CC4-5D6E-409C-BE32-E72D297353CC}">
              <c16:uniqueId val="{00000014-8EAE-447D-904F-04D094FC233F}"/>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8C4-4016-BC1D-F98E8388272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8C4-4016-BC1D-F98E8388272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8C4-4016-BC1D-F98E8388272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8C4-4016-BC1D-F98E8388272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8C4-4016-BC1D-F98E8388272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8C4-4016-BC1D-F98E8388272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8C4-4016-BC1D-F98E8388272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68C4-4016-BC1D-F98E8388272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68C4-4016-BC1D-F98E8388272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68C4-4016-BC1D-F98E8388272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68C4-4016-BC1D-F98E8388272A}"/>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68C4-4016-BC1D-F98E8388272A}"/>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8AE3-469F-8EDD-7CED21B1548B}"/>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8AE3-469F-8EDD-7CED21B154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'OCT-22'!$B$127:$B$140</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'OCT-22'!$A$127:$A$140</c:f>
              <c:numCache>
                <c:formatCode>General</c:formatCode>
                <c:ptCount val="14"/>
                <c:pt idx="0">
                  <c:v>0</c:v>
                </c:pt>
                <c:pt idx="1">
                  <c:v>0</c:v>
                </c:pt>
                <c:pt idx="2">
                  <c:v>2</c:v>
                </c:pt>
                <c:pt idx="3">
                  <c:v>0</c:v>
                </c:pt>
                <c:pt idx="4">
                  <c:v>0</c:v>
                </c:pt>
                <c:pt idx="5">
                  <c:v>10</c:v>
                </c:pt>
                <c:pt idx="6">
                  <c:v>0</c:v>
                </c:pt>
                <c:pt idx="7">
                  <c:v>3</c:v>
                </c:pt>
                <c:pt idx="8">
                  <c:v>0</c:v>
                </c:pt>
                <c:pt idx="9">
                  <c:v>0</c:v>
                </c:pt>
                <c:pt idx="10">
                  <c:v>0</c:v>
                </c:pt>
                <c:pt idx="11">
                  <c:v>0</c:v>
                </c:pt>
                <c:pt idx="12">
                  <c:v>0</c:v>
                </c:pt>
                <c:pt idx="13">
                  <c:v>0</c:v>
                </c:pt>
              </c:numCache>
            </c:numRef>
          </c:val>
          <c:extLst>
            <c:ext xmlns:c16="http://schemas.microsoft.com/office/drawing/2014/chart" uri="{C3380CC4-5D6E-409C-BE32-E72D297353CC}">
              <c16:uniqueId val="{00000018-68C4-4016-BC1D-F98E8388272A}"/>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1006-4A14-AD9C-E9032BCD92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'OCT-22'!$C$148:$G$148</c:f>
              <c:strCache>
                <c:ptCount val="5"/>
                <c:pt idx="0">
                  <c:v>Hora Extra Entre semana</c:v>
                </c:pt>
                <c:pt idx="1">
                  <c:v>Sabado</c:v>
                </c:pt>
                <c:pt idx="2">
                  <c:v>Domingo</c:v>
                </c:pt>
                <c:pt idx="3">
                  <c:v>Feriado</c:v>
                </c:pt>
                <c:pt idx="4">
                  <c:v>Total Hora Extra</c:v>
                </c:pt>
              </c:strCache>
            </c:strRef>
          </c:cat>
          <c:val>
            <c:numRef>
              <c:f>'OCT-22'!$C$149:$G$149</c:f>
              <c:numCache>
                <c:formatCode>General</c:formatCode>
                <c:ptCount val="5"/>
                <c:pt idx="0">
                  <c:v>244</c:v>
                </c:pt>
                <c:pt idx="1">
                  <c:v>649</c:v>
                </c:pt>
                <c:pt idx="2">
                  <c:v>91</c:v>
                </c:pt>
                <c:pt idx="3">
                  <c:v>0</c:v>
                </c:pt>
                <c:pt idx="4" formatCode="#,##0;[Red]#,##0">
                  <c:v>984</c:v>
                </c:pt>
              </c:numCache>
            </c:numRef>
          </c:val>
          <c:extLst>
            <c:ext xmlns:c16="http://schemas.microsoft.com/office/drawing/2014/chart" uri="{C3380CC4-5D6E-409C-BE32-E72D297353CC}">
              <c16:uniqueId val="{00000002-1006-4A14-AD9C-E9032BCD92DB}"/>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2D7-41E2-93CC-C94A3CECE53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2D7-41E2-93CC-C94A3CECE53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2D7-41E2-93CC-C94A3CECE53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2D7-41E2-93CC-C94A3CECE53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2D7-41E2-93CC-C94A3CECE53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2D7-41E2-93CC-C94A3CECE53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2D7-41E2-93CC-C94A3CECE53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72D7-41E2-93CC-C94A3CECE53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72D7-41E2-93CC-C94A3CECE53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72D7-41E2-93CC-C94A3CECE53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72D7-41E2-93CC-C94A3CECE5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'NOV-23'!$B$109:$B$119</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'NOV-23'!$A$109:$A$119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6-72D7-41E2-93CC-C94A3CECE53A}"/>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885-4326-B279-B8C8E2DC098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885-4326-B279-B8C8E2DC098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885-4326-B279-B8C8E2DC098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885-4326-B279-B8C8E2DC098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885-4326-B279-B8C8E2DC098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885-4326-B279-B8C8E2DC098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C885-4326-B279-B8C8E2DC098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C885-4326-B279-B8C8E2DC098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C885-4326-B279-B8C8E2DC098E}"/>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C885-4326-B279-B8C8E2DC098E}"/>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C885-4326-B279-B8C8E2DC098E}"/>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C885-4326-B279-B8C8E2DC098E}"/>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C885-4326-B279-B8C8E2DC098E}"/>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C885-4326-B279-B8C8E2DC09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'NOV-23'!$B$125:$B$138</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'NOV-23'!$A$125:$A$138</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C-C885-4326-B279-B8C8E2DC098E}"/>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179F-47B4-AAD3-F7276BCEAE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'NOV-23'!$C$146:$G$146</c:f>
              <c:strCache>
                <c:ptCount val="5"/>
                <c:pt idx="0">
                  <c:v>Hora Extra Entre semana</c:v>
                </c:pt>
                <c:pt idx="1">
                  <c:v>Sabado</c:v>
                </c:pt>
                <c:pt idx="2">
                  <c:v>Domingo</c:v>
                </c:pt>
                <c:pt idx="3">
                  <c:v>Feriado</c:v>
                </c:pt>
                <c:pt idx="4">
                  <c:v>Total Hora Extra</c:v>
                </c:pt>
              </c:strCache>
            </c:strRef>
          </c:cat>
          <c:val>
            <c:numRef>
              <c:f>'NOV-23'!$C$147:$G$147</c:f>
              <c:numCache>
                <c:formatCode>General</c:formatCode>
                <c:ptCount val="5"/>
                <c:pt idx="4" formatCode="#,##0;[Red]#,##0">
                  <c:v>0</c:v>
                </c:pt>
              </c:numCache>
            </c:numRef>
          </c:val>
          <c:extLst>
            <c:ext xmlns:c16="http://schemas.microsoft.com/office/drawing/2014/chart" uri="{C3380CC4-5D6E-409C-BE32-E72D297353CC}">
              <c16:uniqueId val="{00000002-179F-47B4-AAD3-F7276BCEAEC9}"/>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Atrasos por Areas</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CA1-4ADA-9F46-B13C0B71647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CA1-4ADA-9F46-B13C0B71647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CA1-4ADA-9F46-B13C0B71647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CA1-4ADA-9F46-B13C0B71647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CA1-4ADA-9F46-B13C0B71647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CA1-4ADA-9F46-B13C0B71647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CA1-4ADA-9F46-B13C0B71647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0CA1-4ADA-9F46-B13C0B71647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0CA1-4ADA-9F46-B13C0B71647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0CA1-4ADA-9F46-B13C0B71647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0CA1-4ADA-9F46-B13C0B7164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'DIC-23'!$B$109:$B$119</c:f>
              <c:strCache>
                <c:ptCount val="11"/>
                <c:pt idx="0">
                  <c:v>ING-A</c:v>
                </c:pt>
                <c:pt idx="1">
                  <c:v>CP-A</c:v>
                </c:pt>
                <c:pt idx="2">
                  <c:v>AR-A</c:v>
                </c:pt>
                <c:pt idx="3">
                  <c:v>MON-A</c:v>
                </c:pt>
                <c:pt idx="4">
                  <c:v>HID-A</c:v>
                </c:pt>
                <c:pt idx="5">
                  <c:v>PIN-A</c:v>
                </c:pt>
                <c:pt idx="6">
                  <c:v>TERM-A</c:v>
                </c:pt>
                <c:pt idx="7">
                  <c:v>VEN-A</c:v>
                </c:pt>
                <c:pt idx="8">
                  <c:v>PS-A</c:v>
                </c:pt>
                <c:pt idx="9">
                  <c:v>TMI</c:v>
                </c:pt>
                <c:pt idx="10">
                  <c:v>TMS</c:v>
                </c:pt>
              </c:strCache>
            </c:strRef>
          </c:cat>
          <c:val>
            <c:numRef>
              <c:f>'DIC-23'!$A$109:$A$119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6-0CA1-4ADA-9F46-B13C0B716477}"/>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baseline="0">
                <a:effectLst/>
              </a:rPr>
              <a:t>Motivos de Atrasos </a:t>
            </a:r>
            <a:endParaRPr lang="es-C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044-453E-8722-57AD2061CF9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044-453E-8722-57AD2061CF9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044-453E-8722-57AD2061CF9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044-453E-8722-57AD2061CF9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044-453E-8722-57AD2061CF9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044-453E-8722-57AD2061CF9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044-453E-8722-57AD2061CF99}"/>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044-453E-8722-57AD2061CF99}"/>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E044-453E-8722-57AD2061CF99}"/>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E044-453E-8722-57AD2061CF99}"/>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E044-453E-8722-57AD2061CF99}"/>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E044-453E-8722-57AD2061CF99}"/>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E044-453E-8722-57AD2061CF99}"/>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E044-453E-8722-57AD2061CF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'DIC-23'!$B$125:$B$138</c:f>
              <c:strCache>
                <c:ptCount val="14"/>
                <c:pt idx="1">
                  <c:v>FM</c:v>
                </c:pt>
                <c:pt idx="2">
                  <c:v>FMAT</c:v>
                </c:pt>
                <c:pt idx="3">
                  <c:v>FS</c:v>
                </c:pt>
                <c:pt idx="4">
                  <c:v>FH</c:v>
                </c:pt>
                <c:pt idx="5">
                  <c:v>AP</c:v>
                </c:pt>
                <c:pt idx="6">
                  <c:v>EP</c:v>
                </c:pt>
                <c:pt idx="7">
                  <c:v>CAP</c:v>
                </c:pt>
                <c:pt idx="8">
                  <c:v>PC</c:v>
                </c:pt>
                <c:pt idx="9">
                  <c:v>REP</c:v>
                </c:pt>
                <c:pt idx="10">
                  <c:v>GA</c:v>
                </c:pt>
                <c:pt idx="11">
                  <c:v>SI</c:v>
                </c:pt>
                <c:pt idx="12">
                  <c:v>SC</c:v>
                </c:pt>
                <c:pt idx="13">
                  <c:v>ET</c:v>
                </c:pt>
              </c:strCache>
            </c:strRef>
          </c:cat>
          <c:val>
            <c:numRef>
              <c:f>'DIC-23'!$A$125:$A$138</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C-E044-453E-8722-57AD2061CF99}"/>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85000"/>
      </a:schemeClr>
    </a:solidFill>
    <a:ln w="9525" cap="flat" cmpd="sng" algn="ctr">
      <a:solidFill>
        <a:sysClr val="windowText" lastClr="000000"/>
      </a:solidFill>
      <a:round/>
    </a:ln>
    <a:effectLst/>
  </c:spPr>
  <c:txPr>
    <a:bodyPr/>
    <a:lstStyle/>
    <a:p>
      <a:pPr>
        <a:defRPr/>
      </a:pPr>
      <a:endParaRPr lang="es-CL"/>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Distribucion de Hora Extra </a:t>
            </a:r>
            <a:endParaRPr lang="es-CL"/>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29DF-43B7-8C24-64C60EBB2A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'DIC-23'!$C$146:$G$146</c:f>
              <c:strCache>
                <c:ptCount val="5"/>
                <c:pt idx="0">
                  <c:v>Hora Extra Entre semana</c:v>
                </c:pt>
                <c:pt idx="1">
                  <c:v>Sabado</c:v>
                </c:pt>
                <c:pt idx="2">
                  <c:v>Domingo</c:v>
                </c:pt>
                <c:pt idx="3">
                  <c:v>Feriado</c:v>
                </c:pt>
                <c:pt idx="4">
                  <c:v>Total Hora Extra</c:v>
                </c:pt>
              </c:strCache>
            </c:strRef>
          </c:cat>
          <c:val>
            <c:numRef>
              <c:f>'DIC-23'!$C$147:$G$147</c:f>
              <c:numCache>
                <c:formatCode>General</c:formatCode>
                <c:ptCount val="5"/>
                <c:pt idx="4" formatCode="#,##0;[Red]#,##0">
                  <c:v>0</c:v>
                </c:pt>
              </c:numCache>
            </c:numRef>
          </c:val>
          <c:extLst>
            <c:ext xmlns:c16="http://schemas.microsoft.com/office/drawing/2014/chart" uri="{C3380CC4-5D6E-409C-BE32-E72D297353CC}">
              <c16:uniqueId val="{00000002-29DF-43B7-8C24-64C60EBB2A8B}"/>
            </c:ext>
          </c:extLst>
        </c:ser>
        <c:dLbls>
          <c:dLblPos val="outEnd"/>
          <c:showLegendKey val="0"/>
          <c:showVal val="1"/>
          <c:showCatName val="0"/>
          <c:showSerName val="0"/>
          <c:showPercent val="0"/>
          <c:showBubbleSize val="0"/>
        </c:dLbls>
        <c:gapWidth val="267"/>
        <c:overlap val="-43"/>
        <c:axId val="587423704"/>
        <c:axId val="587418128"/>
      </c:barChart>
      <c:catAx>
        <c:axId val="587423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587418128"/>
        <c:crosses val="autoZero"/>
        <c:auto val="1"/>
        <c:lblAlgn val="ctr"/>
        <c:lblOffset val="100"/>
        <c:noMultiLvlLbl val="0"/>
      </c:catAx>
      <c:valAx>
        <c:axId val="58741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5874237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none" spc="0" normalizeH="0" baseline="0">
                <a:solidFill>
                  <a:schemeClr val="dk1">
                    <a:lumMod val="50000"/>
                    <a:lumOff val="50000"/>
                  </a:schemeClr>
                </a:solidFill>
                <a:latin typeface="+mj-lt"/>
                <a:ea typeface="+mj-ea"/>
                <a:cs typeface="+mj-cs"/>
              </a:defRPr>
            </a:pPr>
            <a:r>
              <a:rPr lang="en-US" sz="2400"/>
              <a:t>Comparativo de Horas Extras </a:t>
            </a:r>
            <a:endParaRPr lang="es-CL" sz="2400"/>
          </a:p>
        </c:rich>
      </c:tx>
      <c:overlay val="0"/>
      <c:spPr>
        <a:noFill/>
        <a:ln>
          <a:noFill/>
        </a:ln>
        <a:effectLst/>
      </c:spPr>
      <c:txPr>
        <a:bodyPr rot="0" spcFirstLastPara="1" vertOverflow="ellipsis" vert="horz" wrap="square" anchor="ctr" anchorCtr="1"/>
        <a:lstStyle/>
        <a:p>
          <a:pPr>
            <a:defRPr sz="24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tx>
            <c:strRef>
              <c:f>'Resume 2022'!$B$76:$C$76</c:f>
              <c:strCache>
                <c:ptCount val="1"/>
                <c:pt idx="0">
                  <c:v>Enero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ullRef>
                    <c15:sqref>'Resume 2022'!$A$77:$A$82</c15:sqref>
                  </c15:fullRef>
                </c:ext>
              </c:extLst>
              <c:f>('Resume 2022'!$A$77:$A$80,'Resume 2022'!$A$82)</c:f>
              <c:strCache>
                <c:ptCount val="5"/>
                <c:pt idx="0">
                  <c:v>Entre semana</c:v>
                </c:pt>
                <c:pt idx="1">
                  <c:v>Sabado</c:v>
                </c:pt>
                <c:pt idx="2">
                  <c:v>Domingo</c:v>
                </c:pt>
                <c:pt idx="3">
                  <c:v>Feriado</c:v>
                </c:pt>
                <c:pt idx="4">
                  <c:v>Total horas Extras</c:v>
                </c:pt>
              </c:strCache>
            </c:strRef>
          </c:cat>
          <c:val>
            <c:numRef>
              <c:extLst>
                <c:ext xmlns:c15="http://schemas.microsoft.com/office/drawing/2012/chart" uri="{02D57815-91ED-43cb-92C2-25804820EDAC}">
                  <c15:fullRef>
                    <c15:sqref>'Resume 2022'!$B$77:$B$82</c15:sqref>
                  </c15:fullRef>
                </c:ext>
              </c:extLst>
              <c:f>('Resume 2022'!$B$77:$B$80,'Resume 2022'!$B$82)</c:f>
              <c:numCache>
                <c:formatCode>General</c:formatCode>
                <c:ptCount val="5"/>
                <c:pt idx="0">
                  <c:v>144</c:v>
                </c:pt>
                <c:pt idx="1">
                  <c:v>462</c:v>
                </c:pt>
                <c:pt idx="2">
                  <c:v>67</c:v>
                </c:pt>
                <c:pt idx="3">
                  <c:v>0</c:v>
                </c:pt>
                <c:pt idx="4">
                  <c:v>673</c:v>
                </c:pt>
              </c:numCache>
            </c:numRef>
          </c:val>
          <c:extLst>
            <c:ext xmlns:c16="http://schemas.microsoft.com/office/drawing/2014/chart" uri="{C3380CC4-5D6E-409C-BE32-E72D297353CC}">
              <c16:uniqueId val="{00000000-AA83-4C35-8AA6-CBD90224CA56}"/>
            </c:ext>
          </c:extLst>
        </c:ser>
        <c:ser>
          <c:idx val="1"/>
          <c:order val="1"/>
          <c:tx>
            <c:strRef>
              <c:f>'Resume 2022'!$D$76:$E$76</c:f>
              <c:strCache>
                <c:ptCount val="1"/>
                <c:pt idx="0">
                  <c:v>Febrero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ullRef>
                    <c15:sqref>'Resume 2022'!$A$77:$A$82</c15:sqref>
                  </c15:fullRef>
                </c:ext>
              </c:extLst>
              <c:f>('Resume 2022'!$A$77:$A$80,'Resume 2022'!$A$82)</c:f>
              <c:strCache>
                <c:ptCount val="5"/>
                <c:pt idx="0">
                  <c:v>Entre semana</c:v>
                </c:pt>
                <c:pt idx="1">
                  <c:v>Sabado</c:v>
                </c:pt>
                <c:pt idx="2">
                  <c:v>Domingo</c:v>
                </c:pt>
                <c:pt idx="3">
                  <c:v>Feriado</c:v>
                </c:pt>
                <c:pt idx="4">
                  <c:v>Total horas Extras</c:v>
                </c:pt>
              </c:strCache>
            </c:strRef>
          </c:cat>
          <c:val>
            <c:numRef>
              <c:extLst>
                <c:ext xmlns:c15="http://schemas.microsoft.com/office/drawing/2012/chart" uri="{02D57815-91ED-43cb-92C2-25804820EDAC}">
                  <c15:fullRef>
                    <c15:sqref>'Resume 2022'!$D$77:$D$82</c15:sqref>
                  </c15:fullRef>
                </c:ext>
              </c:extLst>
              <c:f>('Resume 2022'!$D$77:$D$80,'Resume 2022'!$D$82)</c:f>
              <c:numCache>
                <c:formatCode>General</c:formatCode>
                <c:ptCount val="5"/>
                <c:pt idx="0">
                  <c:v>94</c:v>
                </c:pt>
                <c:pt idx="1">
                  <c:v>411</c:v>
                </c:pt>
                <c:pt idx="2">
                  <c:v>135</c:v>
                </c:pt>
                <c:pt idx="3">
                  <c:v>0</c:v>
                </c:pt>
                <c:pt idx="4">
                  <c:v>640</c:v>
                </c:pt>
              </c:numCache>
            </c:numRef>
          </c:val>
          <c:extLst>
            <c:ext xmlns:c16="http://schemas.microsoft.com/office/drawing/2014/chart" uri="{C3380CC4-5D6E-409C-BE32-E72D297353CC}">
              <c16:uniqueId val="{00000002-AA83-4C35-8AA6-CBD90224CA56}"/>
            </c:ext>
          </c:extLst>
        </c:ser>
        <c:ser>
          <c:idx val="2"/>
          <c:order val="2"/>
          <c:tx>
            <c:strRef>
              <c:f>'Resume 2022'!$F$76:$G$76</c:f>
              <c:strCache>
                <c:ptCount val="1"/>
                <c:pt idx="0">
                  <c:v>Marzo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ullRef>
                    <c15:sqref>'Resume 2022'!$A$77:$A$82</c15:sqref>
                  </c15:fullRef>
                </c:ext>
              </c:extLst>
              <c:f>('Resume 2022'!$A$77:$A$80,'Resume 2022'!$A$82)</c:f>
              <c:strCache>
                <c:ptCount val="5"/>
                <c:pt idx="0">
                  <c:v>Entre semana</c:v>
                </c:pt>
                <c:pt idx="1">
                  <c:v>Sabado</c:v>
                </c:pt>
                <c:pt idx="2">
                  <c:v>Domingo</c:v>
                </c:pt>
                <c:pt idx="3">
                  <c:v>Feriado</c:v>
                </c:pt>
                <c:pt idx="4">
                  <c:v>Total horas Extras</c:v>
                </c:pt>
              </c:strCache>
            </c:strRef>
          </c:cat>
          <c:val>
            <c:numRef>
              <c:extLst>
                <c:ext xmlns:c15="http://schemas.microsoft.com/office/drawing/2012/chart" uri="{02D57815-91ED-43cb-92C2-25804820EDAC}">
                  <c15:fullRef>
                    <c15:sqref>'Resume 2022'!$F$77:$F$82</c15:sqref>
                  </c15:fullRef>
                </c:ext>
              </c:extLst>
              <c:f>('Resume 2022'!$F$77:$F$80,'Resume 2022'!$F$82)</c:f>
              <c:numCache>
                <c:formatCode>General</c:formatCode>
                <c:ptCount val="5"/>
                <c:pt idx="0">
                  <c:v>272</c:v>
                </c:pt>
                <c:pt idx="1">
                  <c:v>652</c:v>
                </c:pt>
                <c:pt idx="2">
                  <c:v>135</c:v>
                </c:pt>
                <c:pt idx="3">
                  <c:v>0</c:v>
                </c:pt>
                <c:pt idx="4">
                  <c:v>1059</c:v>
                </c:pt>
              </c:numCache>
            </c:numRef>
          </c:val>
          <c:extLst>
            <c:ext xmlns:c16="http://schemas.microsoft.com/office/drawing/2014/chart" uri="{C3380CC4-5D6E-409C-BE32-E72D297353CC}">
              <c16:uniqueId val="{00000004-AA83-4C35-8AA6-CBD90224CA56}"/>
            </c:ext>
          </c:extLst>
        </c:ser>
        <c:ser>
          <c:idx val="3"/>
          <c:order val="3"/>
          <c:tx>
            <c:strRef>
              <c:f>'Resume 2022'!$H$76:$I$76</c:f>
              <c:strCache>
                <c:ptCount val="1"/>
                <c:pt idx="0">
                  <c:v>Abril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ullRef>
                    <c15:sqref>'Resume 2022'!$A$77:$A$82</c15:sqref>
                  </c15:fullRef>
                </c:ext>
              </c:extLst>
              <c:f>('Resume 2022'!$A$77:$A$80,'Resume 2022'!$A$82)</c:f>
              <c:strCache>
                <c:ptCount val="5"/>
                <c:pt idx="0">
                  <c:v>Entre semana</c:v>
                </c:pt>
                <c:pt idx="1">
                  <c:v>Sabado</c:v>
                </c:pt>
                <c:pt idx="2">
                  <c:v>Domingo</c:v>
                </c:pt>
                <c:pt idx="3">
                  <c:v>Feriado</c:v>
                </c:pt>
                <c:pt idx="4">
                  <c:v>Total horas Extras</c:v>
                </c:pt>
              </c:strCache>
            </c:strRef>
          </c:cat>
          <c:val>
            <c:numRef>
              <c:extLst>
                <c:ext xmlns:c15="http://schemas.microsoft.com/office/drawing/2012/chart" uri="{02D57815-91ED-43cb-92C2-25804820EDAC}">
                  <c15:fullRef>
                    <c15:sqref>'Resume 2022'!$H$77:$H$82</c15:sqref>
                  </c15:fullRef>
                </c:ext>
              </c:extLst>
              <c:f>('Resume 2022'!$H$77:$H$80,'Resume 2022'!$H$82)</c:f>
              <c:numCache>
                <c:formatCode>General</c:formatCode>
                <c:ptCount val="5"/>
                <c:pt idx="0">
                  <c:v>260</c:v>
                </c:pt>
                <c:pt idx="1">
                  <c:v>631</c:v>
                </c:pt>
                <c:pt idx="2">
                  <c:v>70</c:v>
                </c:pt>
                <c:pt idx="3">
                  <c:v>0</c:v>
                </c:pt>
                <c:pt idx="4">
                  <c:v>961</c:v>
                </c:pt>
              </c:numCache>
            </c:numRef>
          </c:val>
          <c:extLst>
            <c:ext xmlns:c16="http://schemas.microsoft.com/office/drawing/2014/chart" uri="{C3380CC4-5D6E-409C-BE32-E72D297353CC}">
              <c16:uniqueId val="{00000005-AA83-4C35-8AA6-CBD90224CA56}"/>
            </c:ext>
          </c:extLst>
        </c:ser>
        <c:ser>
          <c:idx val="4"/>
          <c:order val="4"/>
          <c:tx>
            <c:strRef>
              <c:f>'Resume 2022'!$J$76:$K$76</c:f>
              <c:strCache>
                <c:ptCount val="1"/>
                <c:pt idx="0">
                  <c:v>Mayo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ullRef>
                    <c15:sqref>'Resume 2022'!$A$77:$A$82</c15:sqref>
                  </c15:fullRef>
                </c:ext>
              </c:extLst>
              <c:f>('Resume 2022'!$A$77:$A$80,'Resume 2022'!$A$82)</c:f>
              <c:strCache>
                <c:ptCount val="5"/>
                <c:pt idx="0">
                  <c:v>Entre semana</c:v>
                </c:pt>
                <c:pt idx="1">
                  <c:v>Sabado</c:v>
                </c:pt>
                <c:pt idx="2">
                  <c:v>Domingo</c:v>
                </c:pt>
                <c:pt idx="3">
                  <c:v>Feriado</c:v>
                </c:pt>
                <c:pt idx="4">
                  <c:v>Total horas Extras</c:v>
                </c:pt>
              </c:strCache>
            </c:strRef>
          </c:cat>
          <c:val>
            <c:numRef>
              <c:extLst>
                <c:ext xmlns:c15="http://schemas.microsoft.com/office/drawing/2012/chart" uri="{02D57815-91ED-43cb-92C2-25804820EDAC}">
                  <c15:fullRef>
                    <c15:sqref>'Resume 2022'!$J$77:$J$82</c15:sqref>
                  </c15:fullRef>
                </c:ext>
              </c:extLst>
              <c:f>('Resume 2022'!$J$77:$J$80,'Resume 2022'!$J$82)</c:f>
              <c:numCache>
                <c:formatCode>General</c:formatCode>
                <c:ptCount val="5"/>
                <c:pt idx="0">
                  <c:v>216</c:v>
                </c:pt>
                <c:pt idx="1">
                  <c:v>231</c:v>
                </c:pt>
                <c:pt idx="2">
                  <c:v>63</c:v>
                </c:pt>
                <c:pt idx="3">
                  <c:v>87</c:v>
                </c:pt>
                <c:pt idx="4">
                  <c:v>596</c:v>
                </c:pt>
              </c:numCache>
            </c:numRef>
          </c:val>
          <c:extLst>
            <c:ext xmlns:c16="http://schemas.microsoft.com/office/drawing/2014/chart" uri="{C3380CC4-5D6E-409C-BE32-E72D297353CC}">
              <c16:uniqueId val="{00000006-AA83-4C35-8AA6-CBD90224CA56}"/>
            </c:ext>
          </c:extLst>
        </c:ser>
        <c:ser>
          <c:idx val="5"/>
          <c:order val="5"/>
          <c:tx>
            <c:strRef>
              <c:f>'Resume 2022'!$L$76:$M$76</c:f>
              <c:strCache>
                <c:ptCount val="1"/>
                <c:pt idx="0">
                  <c:v>Junio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ullRef>
                    <c15:sqref>'Resume 2022'!$A$77:$A$82</c15:sqref>
                  </c15:fullRef>
                </c:ext>
              </c:extLst>
              <c:f>('Resume 2022'!$A$77:$A$80,'Resume 2022'!$A$82)</c:f>
              <c:strCache>
                <c:ptCount val="5"/>
                <c:pt idx="0">
                  <c:v>Entre semana</c:v>
                </c:pt>
                <c:pt idx="1">
                  <c:v>Sabado</c:v>
                </c:pt>
                <c:pt idx="2">
                  <c:v>Domingo</c:v>
                </c:pt>
                <c:pt idx="3">
                  <c:v>Feriado</c:v>
                </c:pt>
                <c:pt idx="4">
                  <c:v>Total horas Extras</c:v>
                </c:pt>
              </c:strCache>
            </c:strRef>
          </c:cat>
          <c:val>
            <c:numRef>
              <c:extLst>
                <c:ext xmlns:c15="http://schemas.microsoft.com/office/drawing/2012/chart" uri="{02D57815-91ED-43cb-92C2-25804820EDAC}">
                  <c15:fullRef>
                    <c15:sqref>'Resume 2022'!$L$77:$L$82</c15:sqref>
                  </c15:fullRef>
                </c:ext>
              </c:extLst>
              <c:f>('Resume 2022'!$L$77:$L$80,'Resume 2022'!$L$82)</c:f>
              <c:numCache>
                <c:formatCode>General</c:formatCode>
                <c:ptCount val="5"/>
                <c:pt idx="0">
                  <c:v>266</c:v>
                </c:pt>
                <c:pt idx="1">
                  <c:v>724</c:v>
                </c:pt>
                <c:pt idx="2">
                  <c:v>67</c:v>
                </c:pt>
                <c:pt idx="3">
                  <c:v>73</c:v>
                </c:pt>
                <c:pt idx="4">
                  <c:v>1130</c:v>
                </c:pt>
              </c:numCache>
            </c:numRef>
          </c:val>
          <c:extLst>
            <c:ext xmlns:c16="http://schemas.microsoft.com/office/drawing/2014/chart" uri="{C3380CC4-5D6E-409C-BE32-E72D297353CC}">
              <c16:uniqueId val="{00000007-AA83-4C35-8AA6-CBD90224CA56}"/>
            </c:ext>
          </c:extLst>
        </c:ser>
        <c:ser>
          <c:idx val="6"/>
          <c:order val="6"/>
          <c:tx>
            <c:strRef>
              <c:f>'Resume 2022'!$N$76:$O$76</c:f>
              <c:strCache>
                <c:ptCount val="1"/>
                <c:pt idx="0">
                  <c:v>Julio</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ullRef>
                    <c15:sqref>'Resume 2022'!$A$77:$A$82</c15:sqref>
                  </c15:fullRef>
                </c:ext>
              </c:extLst>
              <c:f>('Resume 2022'!$A$77:$A$80,'Resume 2022'!$A$82)</c:f>
              <c:strCache>
                <c:ptCount val="5"/>
                <c:pt idx="0">
                  <c:v>Entre semana</c:v>
                </c:pt>
                <c:pt idx="1">
                  <c:v>Sabado</c:v>
                </c:pt>
                <c:pt idx="2">
                  <c:v>Domingo</c:v>
                </c:pt>
                <c:pt idx="3">
                  <c:v>Feriado</c:v>
                </c:pt>
                <c:pt idx="4">
                  <c:v>Total horas Extras</c:v>
                </c:pt>
              </c:strCache>
            </c:strRef>
          </c:cat>
          <c:val>
            <c:numRef>
              <c:extLst>
                <c:ext xmlns:c15="http://schemas.microsoft.com/office/drawing/2012/chart" uri="{02D57815-91ED-43cb-92C2-25804820EDAC}">
                  <c15:fullRef>
                    <c15:sqref>'Resume 2022'!$N$77:$N$82</c15:sqref>
                  </c15:fullRef>
                </c:ext>
              </c:extLst>
              <c:f>('Resume 2022'!$N$77:$N$80,'Resume 2022'!$N$82)</c:f>
              <c:numCache>
                <c:formatCode>General</c:formatCode>
                <c:ptCount val="5"/>
                <c:pt idx="0">
                  <c:v>158</c:v>
                </c:pt>
                <c:pt idx="1">
                  <c:v>306</c:v>
                </c:pt>
                <c:pt idx="2">
                  <c:v>56</c:v>
                </c:pt>
                <c:pt idx="3">
                  <c:v>118</c:v>
                </c:pt>
                <c:pt idx="4">
                  <c:v>638</c:v>
                </c:pt>
              </c:numCache>
            </c:numRef>
          </c:val>
          <c:extLst>
            <c:ext xmlns:c16="http://schemas.microsoft.com/office/drawing/2014/chart" uri="{C3380CC4-5D6E-409C-BE32-E72D297353CC}">
              <c16:uniqueId val="{00000008-AA83-4C35-8AA6-CBD90224CA56}"/>
            </c:ext>
          </c:extLst>
        </c:ser>
        <c:ser>
          <c:idx val="7"/>
          <c:order val="7"/>
          <c:tx>
            <c:strRef>
              <c:f>'Resume 2022'!$P$76:$Q$76</c:f>
              <c:strCache>
                <c:ptCount val="1"/>
                <c:pt idx="0">
                  <c:v>Agosto</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ullRef>
                    <c15:sqref>'Resume 2022'!$A$77:$A$82</c15:sqref>
                  </c15:fullRef>
                </c:ext>
              </c:extLst>
              <c:f>('Resume 2022'!$A$77:$A$80,'Resume 2022'!$A$82)</c:f>
              <c:strCache>
                <c:ptCount val="5"/>
                <c:pt idx="0">
                  <c:v>Entre semana</c:v>
                </c:pt>
                <c:pt idx="1">
                  <c:v>Sabado</c:v>
                </c:pt>
                <c:pt idx="2">
                  <c:v>Domingo</c:v>
                </c:pt>
                <c:pt idx="3">
                  <c:v>Feriado</c:v>
                </c:pt>
                <c:pt idx="4">
                  <c:v>Total horas Extras</c:v>
                </c:pt>
              </c:strCache>
            </c:strRef>
          </c:cat>
          <c:val>
            <c:numRef>
              <c:extLst>
                <c:ext xmlns:c15="http://schemas.microsoft.com/office/drawing/2012/chart" uri="{02D57815-91ED-43cb-92C2-25804820EDAC}">
                  <c15:fullRef>
                    <c15:sqref>'Resume 2022'!$P$77:$P$82</c15:sqref>
                  </c15:fullRef>
                </c:ext>
              </c:extLst>
              <c:f>('Resume 2022'!$P$77:$P$80,'Resume 2022'!$P$82)</c:f>
              <c:numCache>
                <c:formatCode>General</c:formatCode>
                <c:ptCount val="5"/>
                <c:pt idx="0">
                  <c:v>105</c:v>
                </c:pt>
                <c:pt idx="1">
                  <c:v>513</c:v>
                </c:pt>
                <c:pt idx="2">
                  <c:v>15</c:v>
                </c:pt>
                <c:pt idx="3">
                  <c:v>113</c:v>
                </c:pt>
                <c:pt idx="4">
                  <c:v>746</c:v>
                </c:pt>
              </c:numCache>
            </c:numRef>
          </c:val>
          <c:extLst>
            <c:ext xmlns:c16="http://schemas.microsoft.com/office/drawing/2014/chart" uri="{C3380CC4-5D6E-409C-BE32-E72D297353CC}">
              <c16:uniqueId val="{00000009-AA83-4C35-8AA6-CBD90224CA56}"/>
            </c:ext>
          </c:extLst>
        </c:ser>
        <c:ser>
          <c:idx val="8"/>
          <c:order val="8"/>
          <c:tx>
            <c:strRef>
              <c:f>'Resume 2022'!$R$76:$S$76</c:f>
              <c:strCache>
                <c:ptCount val="1"/>
                <c:pt idx="0">
                  <c:v>Septiembre </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ullRef>
                    <c15:sqref>'Resume 2022'!$A$77:$A$82</c15:sqref>
                  </c15:fullRef>
                </c:ext>
              </c:extLst>
              <c:f>('Resume 2022'!$A$77:$A$80,'Resume 2022'!$A$82)</c:f>
              <c:strCache>
                <c:ptCount val="5"/>
                <c:pt idx="0">
                  <c:v>Entre semana</c:v>
                </c:pt>
                <c:pt idx="1">
                  <c:v>Sabado</c:v>
                </c:pt>
                <c:pt idx="2">
                  <c:v>Domingo</c:v>
                </c:pt>
                <c:pt idx="3">
                  <c:v>Feriado</c:v>
                </c:pt>
                <c:pt idx="4">
                  <c:v>Total horas Extras</c:v>
                </c:pt>
              </c:strCache>
            </c:strRef>
          </c:cat>
          <c:val>
            <c:numRef>
              <c:extLst>
                <c:ext xmlns:c15="http://schemas.microsoft.com/office/drawing/2012/chart" uri="{02D57815-91ED-43cb-92C2-25804820EDAC}">
                  <c15:fullRef>
                    <c15:sqref>'Resume 2022'!$R$77:$R$82</c15:sqref>
                  </c15:fullRef>
                </c:ext>
              </c:extLst>
              <c:f>('Resume 2022'!$R$77:$R$80,'Resume 2022'!$R$82)</c:f>
              <c:numCache>
                <c:formatCode>General</c:formatCode>
                <c:ptCount val="5"/>
                <c:pt idx="0">
                  <c:v>134</c:v>
                </c:pt>
                <c:pt idx="1">
                  <c:v>506</c:v>
                </c:pt>
                <c:pt idx="2">
                  <c:v>48</c:v>
                </c:pt>
                <c:pt idx="3">
                  <c:v>0</c:v>
                </c:pt>
                <c:pt idx="4">
                  <c:v>688</c:v>
                </c:pt>
              </c:numCache>
            </c:numRef>
          </c:val>
          <c:extLst>
            <c:ext xmlns:c16="http://schemas.microsoft.com/office/drawing/2014/chart" uri="{C3380CC4-5D6E-409C-BE32-E72D297353CC}">
              <c16:uniqueId val="{0000000A-AA83-4C35-8AA6-CBD90224CA56}"/>
            </c:ext>
          </c:extLst>
        </c:ser>
        <c:ser>
          <c:idx val="9"/>
          <c:order val="9"/>
          <c:tx>
            <c:strRef>
              <c:f>'Resume 2022'!$T$76:$U$76</c:f>
              <c:strCache>
                <c:ptCount val="1"/>
                <c:pt idx="0">
                  <c:v>Octubre</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ullRef>
                    <c15:sqref>'Resume 2022'!$A$77:$A$82</c15:sqref>
                  </c15:fullRef>
                </c:ext>
              </c:extLst>
              <c:f>('Resume 2022'!$A$77:$A$80,'Resume 2022'!$A$82)</c:f>
              <c:strCache>
                <c:ptCount val="5"/>
                <c:pt idx="0">
                  <c:v>Entre semana</c:v>
                </c:pt>
                <c:pt idx="1">
                  <c:v>Sabado</c:v>
                </c:pt>
                <c:pt idx="2">
                  <c:v>Domingo</c:v>
                </c:pt>
                <c:pt idx="3">
                  <c:v>Feriado</c:v>
                </c:pt>
                <c:pt idx="4">
                  <c:v>Total horas Extras</c:v>
                </c:pt>
              </c:strCache>
            </c:strRef>
          </c:cat>
          <c:val>
            <c:numRef>
              <c:extLst>
                <c:ext xmlns:c15="http://schemas.microsoft.com/office/drawing/2012/chart" uri="{02D57815-91ED-43cb-92C2-25804820EDAC}">
                  <c15:fullRef>
                    <c15:sqref>'Resume 2022'!$T$77:$T$82</c15:sqref>
                  </c15:fullRef>
                </c:ext>
              </c:extLst>
              <c:f>('Resume 2022'!$T$77:$T$80,'Resume 2022'!$T$82)</c:f>
              <c:numCache>
                <c:formatCode>General</c:formatCode>
                <c:ptCount val="5"/>
                <c:pt idx="0">
                  <c:v>244</c:v>
                </c:pt>
                <c:pt idx="1">
                  <c:v>649</c:v>
                </c:pt>
                <c:pt idx="2">
                  <c:v>91</c:v>
                </c:pt>
                <c:pt idx="3">
                  <c:v>0</c:v>
                </c:pt>
                <c:pt idx="4">
                  <c:v>984</c:v>
                </c:pt>
              </c:numCache>
            </c:numRef>
          </c:val>
          <c:extLst>
            <c:ext xmlns:c16="http://schemas.microsoft.com/office/drawing/2014/chart" uri="{C3380CC4-5D6E-409C-BE32-E72D297353CC}">
              <c16:uniqueId val="{0000000B-AA83-4C35-8AA6-CBD90224CA56}"/>
            </c:ext>
          </c:extLst>
        </c:ser>
        <c:ser>
          <c:idx val="10"/>
          <c:order val="10"/>
          <c:tx>
            <c:strRef>
              <c:f>'Resume 2022'!$V$76:$W$76</c:f>
              <c:strCache>
                <c:ptCount val="1"/>
                <c:pt idx="0">
                  <c:v>Noviembre</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ullRef>
                    <c15:sqref>'Resume 2022'!$A$77:$A$82</c15:sqref>
                  </c15:fullRef>
                </c:ext>
              </c:extLst>
              <c:f>('Resume 2022'!$A$77:$A$80,'Resume 2022'!$A$82)</c:f>
              <c:strCache>
                <c:ptCount val="5"/>
                <c:pt idx="0">
                  <c:v>Entre semana</c:v>
                </c:pt>
                <c:pt idx="1">
                  <c:v>Sabado</c:v>
                </c:pt>
                <c:pt idx="2">
                  <c:v>Domingo</c:v>
                </c:pt>
                <c:pt idx="3">
                  <c:v>Feriado</c:v>
                </c:pt>
                <c:pt idx="4">
                  <c:v>Total horas Extras</c:v>
                </c:pt>
              </c:strCache>
            </c:strRef>
          </c:cat>
          <c:val>
            <c:numRef>
              <c:extLst>
                <c:ext xmlns:c15="http://schemas.microsoft.com/office/drawing/2012/chart" uri="{02D57815-91ED-43cb-92C2-25804820EDAC}">
                  <c15:fullRef>
                    <c15:sqref>'Resume 2022'!$V$77:$V$82</c15:sqref>
                  </c15:fullRef>
                </c:ext>
              </c:extLst>
              <c:f>('Resume 2022'!$V$77:$V$80,'Resume 2022'!$V$82)</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C-AA83-4C35-8AA6-CBD90224CA56}"/>
            </c:ext>
          </c:extLst>
        </c:ser>
        <c:ser>
          <c:idx val="11"/>
          <c:order val="11"/>
          <c:tx>
            <c:strRef>
              <c:f>'Resume 2022'!$X$76:$Y$76</c:f>
              <c:strCache>
                <c:ptCount val="1"/>
                <c:pt idx="0">
                  <c:v>Diciembre</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ullRef>
                    <c15:sqref>'Resume 2022'!$A$77:$A$82</c15:sqref>
                  </c15:fullRef>
                </c:ext>
              </c:extLst>
              <c:f>('Resume 2022'!$A$77:$A$80,'Resume 2022'!$A$82)</c:f>
              <c:strCache>
                <c:ptCount val="5"/>
                <c:pt idx="0">
                  <c:v>Entre semana</c:v>
                </c:pt>
                <c:pt idx="1">
                  <c:v>Sabado</c:v>
                </c:pt>
                <c:pt idx="2">
                  <c:v>Domingo</c:v>
                </c:pt>
                <c:pt idx="3">
                  <c:v>Feriado</c:v>
                </c:pt>
                <c:pt idx="4">
                  <c:v>Total horas Extras</c:v>
                </c:pt>
              </c:strCache>
            </c:strRef>
          </c:cat>
          <c:val>
            <c:numRef>
              <c:extLst>
                <c:ext xmlns:c15="http://schemas.microsoft.com/office/drawing/2012/chart" uri="{02D57815-91ED-43cb-92C2-25804820EDAC}">
                  <c15:fullRef>
                    <c15:sqref>'Resume 2022'!$X$77:$X$82</c15:sqref>
                  </c15:fullRef>
                </c:ext>
              </c:extLst>
              <c:f>('Resume 2022'!$X$77:$X$80,'Resume 2022'!$X$82)</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D-AA83-4C35-8AA6-CBD90224CA56}"/>
            </c:ext>
          </c:extLst>
        </c:ser>
        <c:dLbls>
          <c:dLblPos val="outEnd"/>
          <c:showLegendKey val="0"/>
          <c:showVal val="1"/>
          <c:showCatName val="0"/>
          <c:showSerName val="0"/>
          <c:showPercent val="0"/>
          <c:showBubbleSize val="0"/>
        </c:dLbls>
        <c:gapWidth val="267"/>
        <c:overlap val="-43"/>
        <c:axId val="374123640"/>
        <c:axId val="374119376"/>
      </c:barChart>
      <c:catAx>
        <c:axId val="37412364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374119376"/>
        <c:crosses val="autoZero"/>
        <c:auto val="1"/>
        <c:lblAlgn val="ctr"/>
        <c:lblOffset val="100"/>
        <c:noMultiLvlLbl val="0"/>
      </c:catAx>
      <c:valAx>
        <c:axId val="37411937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374123640"/>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tx>
            <c:strRef>
              <c:f>'Resume 2022'!$A$82</c:f>
              <c:strCache>
                <c:ptCount val="1"/>
                <c:pt idx="0">
                  <c:v>Total horas Extras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ullRef>
                    <c15:sqref>'Resume 2022'!$B$76:$Y$76</c15:sqref>
                  </c15:fullRef>
                </c:ext>
              </c:extLst>
              <c:f>('Resume 2022'!$B$76,'Resume 2022'!$D$76,'Resume 2022'!$F$76,'Resume 2022'!$H$76,'Resume 2022'!$J$76,'Resume 2022'!$L$76,'Resume 2022'!$N$76,'Resume 2022'!$P$76,'Resume 2022'!$R$76,'Resume 2022'!$T$76,'Resume 2022'!$V$76,'Resume 2022'!$X$76)</c:f>
              <c:strCache>
                <c:ptCount val="12"/>
                <c:pt idx="0">
                  <c:v>Enero</c:v>
                </c:pt>
                <c:pt idx="1">
                  <c:v>Febrero</c:v>
                </c:pt>
                <c:pt idx="2">
                  <c:v>Marzo</c:v>
                </c:pt>
                <c:pt idx="3">
                  <c:v>Abril </c:v>
                </c:pt>
                <c:pt idx="4">
                  <c:v>Mayo </c:v>
                </c:pt>
                <c:pt idx="5">
                  <c:v>Junio</c:v>
                </c:pt>
                <c:pt idx="6">
                  <c:v>Julio</c:v>
                </c:pt>
                <c:pt idx="7">
                  <c:v>Agosto</c:v>
                </c:pt>
                <c:pt idx="8">
                  <c:v>Septiembre </c:v>
                </c:pt>
                <c:pt idx="9">
                  <c:v>Octubre</c:v>
                </c:pt>
                <c:pt idx="10">
                  <c:v>Noviembre</c:v>
                </c:pt>
                <c:pt idx="11">
                  <c:v>Diciembre</c:v>
                </c:pt>
              </c:strCache>
            </c:strRef>
          </c:cat>
          <c:val>
            <c:numRef>
              <c:extLst>
                <c:ext xmlns:c15="http://schemas.microsoft.com/office/drawing/2012/chart" uri="{02D57815-91ED-43cb-92C2-25804820EDAC}">
                  <c15:fullRef>
                    <c15:sqref>'Resume 2022'!$B$82:$Y$82</c15:sqref>
                  </c15:fullRef>
                </c:ext>
              </c:extLst>
              <c:f>('Resume 2022'!$B$82,'Resume 2022'!$D$82,'Resume 2022'!$F$82,'Resume 2022'!$H$82,'Resume 2022'!$J$82,'Resume 2022'!$L$82,'Resume 2022'!$N$82,'Resume 2022'!$P$82,'Resume 2022'!$R$82,'Resume 2022'!$T$82,'Resume 2022'!$V$82,'Resume 2022'!$X$82)</c:f>
              <c:numCache>
                <c:formatCode>General</c:formatCode>
                <c:ptCount val="12"/>
                <c:pt idx="0">
                  <c:v>673</c:v>
                </c:pt>
                <c:pt idx="1">
                  <c:v>640</c:v>
                </c:pt>
                <c:pt idx="2">
                  <c:v>1059</c:v>
                </c:pt>
                <c:pt idx="3">
                  <c:v>961</c:v>
                </c:pt>
                <c:pt idx="4">
                  <c:v>596</c:v>
                </c:pt>
                <c:pt idx="5">
                  <c:v>1130</c:v>
                </c:pt>
                <c:pt idx="6">
                  <c:v>638</c:v>
                </c:pt>
                <c:pt idx="7">
                  <c:v>746</c:v>
                </c:pt>
                <c:pt idx="8">
                  <c:v>688</c:v>
                </c:pt>
                <c:pt idx="9">
                  <c:v>984</c:v>
                </c:pt>
                <c:pt idx="10">
                  <c:v>0</c:v>
                </c:pt>
                <c:pt idx="11">
                  <c:v>0</c:v>
                </c:pt>
              </c:numCache>
            </c:numRef>
          </c:val>
          <c:extLst>
            <c:ext xmlns:c16="http://schemas.microsoft.com/office/drawing/2014/chart" uri="{C3380CC4-5D6E-409C-BE32-E72D297353CC}">
              <c16:uniqueId val="{00000002-F186-471E-92B2-7F5481C7CC96}"/>
            </c:ext>
          </c:extLst>
        </c:ser>
        <c:dLbls>
          <c:dLblPos val="outEnd"/>
          <c:showLegendKey val="0"/>
          <c:showVal val="1"/>
          <c:showCatName val="0"/>
          <c:showSerName val="0"/>
          <c:showPercent val="0"/>
          <c:showBubbleSize val="0"/>
        </c:dLbls>
        <c:gapWidth val="267"/>
        <c:overlap val="-43"/>
        <c:axId val="636508048"/>
        <c:axId val="636503128"/>
      </c:barChart>
      <c:catAx>
        <c:axId val="6365080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636503128"/>
        <c:crosses val="autoZero"/>
        <c:auto val="1"/>
        <c:lblAlgn val="ctr"/>
        <c:lblOffset val="100"/>
        <c:noMultiLvlLbl val="0"/>
      </c:catAx>
      <c:valAx>
        <c:axId val="636503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636508048"/>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none" spc="0" normalizeH="0" baseline="0">
                <a:solidFill>
                  <a:schemeClr val="dk1">
                    <a:lumMod val="50000"/>
                    <a:lumOff val="50000"/>
                  </a:schemeClr>
                </a:solidFill>
                <a:latin typeface="+mj-lt"/>
                <a:ea typeface="+mj-ea"/>
                <a:cs typeface="+mj-cs"/>
              </a:defRPr>
            </a:pPr>
            <a:r>
              <a:rPr lang="es-CL" sz="2400"/>
              <a:t>Historico de equipos fabricados</a:t>
            </a:r>
          </a:p>
        </c:rich>
      </c:tx>
      <c:layout>
        <c:manualLayout>
          <c:xMode val="edge"/>
          <c:yMode val="edge"/>
          <c:x val="0.36814504641149615"/>
          <c:y val="0"/>
        </c:manualLayout>
      </c:layout>
      <c:overlay val="0"/>
      <c:spPr>
        <a:noFill/>
        <a:ln>
          <a:noFill/>
        </a:ln>
        <a:effectLst/>
      </c:spPr>
      <c:txPr>
        <a:bodyPr rot="0" spcFirstLastPara="1" vertOverflow="ellipsis" vert="horz" wrap="square" anchor="ctr" anchorCtr="1"/>
        <a:lstStyle/>
        <a:p>
          <a:pPr>
            <a:defRPr sz="24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manualLayout>
          <c:layoutTarget val="inner"/>
          <c:xMode val="edge"/>
          <c:yMode val="edge"/>
          <c:x val="1.6206821506525065E-2"/>
          <c:y val="8.0695356601265728E-2"/>
          <c:w val="0.97504716528996271"/>
          <c:h val="0.81168199675418795"/>
        </c:manualLayout>
      </c:layout>
      <c:barChart>
        <c:barDir val="col"/>
        <c:grouping val="clustered"/>
        <c:varyColors val="0"/>
        <c:ser>
          <c:idx val="0"/>
          <c:order val="0"/>
          <c:tx>
            <c:strRef>
              <c:f>'Resume 2022'!$B$31:$C$31</c:f>
              <c:strCache>
                <c:ptCount val="1"/>
                <c:pt idx="0">
                  <c:v>Enero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2022'!$B$33:$B$39</c:f>
              <c:numCache>
                <c:formatCode>General</c:formatCode>
                <c:ptCount val="7"/>
                <c:pt idx="0">
                  <c:v>4</c:v>
                </c:pt>
                <c:pt idx="1">
                  <c:v>1</c:v>
                </c:pt>
                <c:pt idx="2">
                  <c:v>0</c:v>
                </c:pt>
                <c:pt idx="3">
                  <c:v>1</c:v>
                </c:pt>
                <c:pt idx="4">
                  <c:v>0</c:v>
                </c:pt>
                <c:pt idx="5">
                  <c:v>1</c:v>
                </c:pt>
                <c:pt idx="6">
                  <c:v>13</c:v>
                </c:pt>
              </c:numCache>
            </c:numRef>
          </c:val>
          <c:extLst>
            <c:ext xmlns:c16="http://schemas.microsoft.com/office/drawing/2014/chart" uri="{C3380CC4-5D6E-409C-BE32-E72D297353CC}">
              <c16:uniqueId val="{00000000-F1D4-4A30-A725-72AA5E3037F6}"/>
            </c:ext>
          </c:extLst>
        </c:ser>
        <c:ser>
          <c:idx val="1"/>
          <c:order val="1"/>
          <c:tx>
            <c:strRef>
              <c:f>'Resume 2022'!$D$31:$E$31</c:f>
              <c:strCache>
                <c:ptCount val="1"/>
                <c:pt idx="0">
                  <c:v>Febrero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2022'!$D$33:$D$39</c:f>
              <c:numCache>
                <c:formatCode>General</c:formatCode>
                <c:ptCount val="7"/>
                <c:pt idx="0">
                  <c:v>2</c:v>
                </c:pt>
                <c:pt idx="1">
                  <c:v>1</c:v>
                </c:pt>
                <c:pt idx="2">
                  <c:v>1</c:v>
                </c:pt>
                <c:pt idx="3">
                  <c:v>2</c:v>
                </c:pt>
                <c:pt idx="4">
                  <c:v>0</c:v>
                </c:pt>
                <c:pt idx="5">
                  <c:v>1</c:v>
                </c:pt>
                <c:pt idx="6">
                  <c:v>12</c:v>
                </c:pt>
              </c:numCache>
            </c:numRef>
          </c:val>
          <c:extLst>
            <c:ext xmlns:c16="http://schemas.microsoft.com/office/drawing/2014/chart" uri="{C3380CC4-5D6E-409C-BE32-E72D297353CC}">
              <c16:uniqueId val="{00000002-F1D4-4A30-A725-72AA5E3037F6}"/>
            </c:ext>
          </c:extLst>
        </c:ser>
        <c:ser>
          <c:idx val="2"/>
          <c:order val="2"/>
          <c:tx>
            <c:strRef>
              <c:f>'Resume 2022'!$F$31:$G$31</c:f>
              <c:strCache>
                <c:ptCount val="1"/>
                <c:pt idx="0">
                  <c:v>Marzo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2022'!$F$33:$F$39</c:f>
              <c:numCache>
                <c:formatCode>General</c:formatCode>
                <c:ptCount val="7"/>
                <c:pt idx="0">
                  <c:v>3</c:v>
                </c:pt>
                <c:pt idx="1">
                  <c:v>1.5</c:v>
                </c:pt>
                <c:pt idx="2">
                  <c:v>0</c:v>
                </c:pt>
                <c:pt idx="3">
                  <c:v>1.5</c:v>
                </c:pt>
                <c:pt idx="4">
                  <c:v>1</c:v>
                </c:pt>
                <c:pt idx="5">
                  <c:v>1</c:v>
                </c:pt>
                <c:pt idx="6">
                  <c:v>15</c:v>
                </c:pt>
              </c:numCache>
            </c:numRef>
          </c:val>
          <c:extLst>
            <c:ext xmlns:c16="http://schemas.microsoft.com/office/drawing/2014/chart" uri="{C3380CC4-5D6E-409C-BE32-E72D297353CC}">
              <c16:uniqueId val="{00000004-F1D4-4A30-A725-72AA5E3037F6}"/>
            </c:ext>
          </c:extLst>
        </c:ser>
        <c:ser>
          <c:idx val="3"/>
          <c:order val="3"/>
          <c:tx>
            <c:strRef>
              <c:f>'Resume 2022'!$H$31:$I$31</c:f>
              <c:strCache>
                <c:ptCount val="1"/>
                <c:pt idx="0">
                  <c:v>Abril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2022'!$H$33:$H$39</c:f>
              <c:numCache>
                <c:formatCode>General</c:formatCode>
                <c:ptCount val="7"/>
                <c:pt idx="0">
                  <c:v>1</c:v>
                </c:pt>
                <c:pt idx="1">
                  <c:v>1</c:v>
                </c:pt>
                <c:pt idx="2">
                  <c:v>1</c:v>
                </c:pt>
                <c:pt idx="3">
                  <c:v>0</c:v>
                </c:pt>
                <c:pt idx="4">
                  <c:v>0</c:v>
                </c:pt>
                <c:pt idx="5">
                  <c:v>1</c:v>
                </c:pt>
                <c:pt idx="6">
                  <c:v>16</c:v>
                </c:pt>
              </c:numCache>
            </c:numRef>
          </c:val>
          <c:extLst>
            <c:ext xmlns:c16="http://schemas.microsoft.com/office/drawing/2014/chart" uri="{C3380CC4-5D6E-409C-BE32-E72D297353CC}">
              <c16:uniqueId val="{00000005-F1D4-4A30-A725-72AA5E3037F6}"/>
            </c:ext>
          </c:extLst>
        </c:ser>
        <c:ser>
          <c:idx val="4"/>
          <c:order val="4"/>
          <c:tx>
            <c:strRef>
              <c:f>'Resume 2022'!$J$31:$K$31</c:f>
              <c:strCache>
                <c:ptCount val="1"/>
                <c:pt idx="0">
                  <c:v>Mayo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2022'!$J$33:$J$39</c:f>
              <c:numCache>
                <c:formatCode>General</c:formatCode>
                <c:ptCount val="7"/>
                <c:pt idx="0">
                  <c:v>4</c:v>
                </c:pt>
                <c:pt idx="1">
                  <c:v>1</c:v>
                </c:pt>
                <c:pt idx="2">
                  <c:v>3</c:v>
                </c:pt>
                <c:pt idx="3">
                  <c:v>3</c:v>
                </c:pt>
                <c:pt idx="4">
                  <c:v>0</c:v>
                </c:pt>
                <c:pt idx="5">
                  <c:v>0</c:v>
                </c:pt>
                <c:pt idx="6">
                  <c:v>9</c:v>
                </c:pt>
              </c:numCache>
            </c:numRef>
          </c:val>
          <c:extLst>
            <c:ext xmlns:c16="http://schemas.microsoft.com/office/drawing/2014/chart" uri="{C3380CC4-5D6E-409C-BE32-E72D297353CC}">
              <c16:uniqueId val="{00000006-F1D4-4A30-A725-72AA5E3037F6}"/>
            </c:ext>
          </c:extLst>
        </c:ser>
        <c:ser>
          <c:idx val="5"/>
          <c:order val="5"/>
          <c:tx>
            <c:strRef>
              <c:f>'Resume 2022'!$L$31:$M$31</c:f>
              <c:strCache>
                <c:ptCount val="1"/>
                <c:pt idx="0">
                  <c:v>Junio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2022'!$L$33:$L$39</c:f>
              <c:numCache>
                <c:formatCode>General</c:formatCode>
                <c:ptCount val="7"/>
                <c:pt idx="0">
                  <c:v>4</c:v>
                </c:pt>
                <c:pt idx="1">
                  <c:v>2</c:v>
                </c:pt>
                <c:pt idx="2">
                  <c:v>0</c:v>
                </c:pt>
                <c:pt idx="3">
                  <c:v>2</c:v>
                </c:pt>
                <c:pt idx="4">
                  <c:v>0</c:v>
                </c:pt>
                <c:pt idx="5">
                  <c:v>3</c:v>
                </c:pt>
                <c:pt idx="6">
                  <c:v>9</c:v>
                </c:pt>
              </c:numCache>
            </c:numRef>
          </c:val>
          <c:extLst>
            <c:ext xmlns:c16="http://schemas.microsoft.com/office/drawing/2014/chart" uri="{C3380CC4-5D6E-409C-BE32-E72D297353CC}">
              <c16:uniqueId val="{00000007-F1D4-4A30-A725-72AA5E3037F6}"/>
            </c:ext>
          </c:extLst>
        </c:ser>
        <c:ser>
          <c:idx val="6"/>
          <c:order val="6"/>
          <c:tx>
            <c:strRef>
              <c:f>'Resume 2022'!$N$31:$O$31</c:f>
              <c:strCache>
                <c:ptCount val="1"/>
                <c:pt idx="0">
                  <c:v>Julio</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2022'!$N$33:$N$39</c:f>
              <c:numCache>
                <c:formatCode>General</c:formatCode>
                <c:ptCount val="7"/>
                <c:pt idx="0">
                  <c:v>6</c:v>
                </c:pt>
                <c:pt idx="1">
                  <c:v>0</c:v>
                </c:pt>
                <c:pt idx="2">
                  <c:v>1.5</c:v>
                </c:pt>
                <c:pt idx="3">
                  <c:v>4</c:v>
                </c:pt>
                <c:pt idx="4">
                  <c:v>0</c:v>
                </c:pt>
                <c:pt idx="5">
                  <c:v>0</c:v>
                </c:pt>
                <c:pt idx="6">
                  <c:v>5.5</c:v>
                </c:pt>
              </c:numCache>
            </c:numRef>
          </c:val>
          <c:extLst>
            <c:ext xmlns:c16="http://schemas.microsoft.com/office/drawing/2014/chart" uri="{C3380CC4-5D6E-409C-BE32-E72D297353CC}">
              <c16:uniqueId val="{00000008-F1D4-4A30-A725-72AA5E3037F6}"/>
            </c:ext>
          </c:extLst>
        </c:ser>
        <c:ser>
          <c:idx val="7"/>
          <c:order val="7"/>
          <c:tx>
            <c:strRef>
              <c:f>'Resume 2022'!$P$31:$Q$31</c:f>
              <c:strCache>
                <c:ptCount val="1"/>
                <c:pt idx="0">
                  <c:v>Agosto</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2022'!$P$33:$P$39</c:f>
              <c:numCache>
                <c:formatCode>General</c:formatCode>
                <c:ptCount val="7"/>
                <c:pt idx="0">
                  <c:v>2</c:v>
                </c:pt>
                <c:pt idx="1">
                  <c:v>3</c:v>
                </c:pt>
                <c:pt idx="2">
                  <c:v>0</c:v>
                </c:pt>
                <c:pt idx="3">
                  <c:v>4</c:v>
                </c:pt>
                <c:pt idx="4">
                  <c:v>0</c:v>
                </c:pt>
                <c:pt idx="5">
                  <c:v>1</c:v>
                </c:pt>
                <c:pt idx="6">
                  <c:v>8</c:v>
                </c:pt>
              </c:numCache>
            </c:numRef>
          </c:val>
          <c:extLst>
            <c:ext xmlns:c16="http://schemas.microsoft.com/office/drawing/2014/chart" uri="{C3380CC4-5D6E-409C-BE32-E72D297353CC}">
              <c16:uniqueId val="{00000009-F1D4-4A30-A725-72AA5E3037F6}"/>
            </c:ext>
          </c:extLst>
        </c:ser>
        <c:ser>
          <c:idx val="8"/>
          <c:order val="8"/>
          <c:tx>
            <c:strRef>
              <c:f>'Resume 2022'!$R$31:$S$31</c:f>
              <c:strCache>
                <c:ptCount val="1"/>
                <c:pt idx="0">
                  <c:v>Septiembre </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2022'!$R$33:$R$39</c:f>
              <c:numCache>
                <c:formatCode>General</c:formatCode>
                <c:ptCount val="7"/>
                <c:pt idx="0">
                  <c:v>2</c:v>
                </c:pt>
                <c:pt idx="1">
                  <c:v>1</c:v>
                </c:pt>
                <c:pt idx="2">
                  <c:v>2</c:v>
                </c:pt>
                <c:pt idx="3">
                  <c:v>1</c:v>
                </c:pt>
                <c:pt idx="4">
                  <c:v>0</c:v>
                </c:pt>
                <c:pt idx="5">
                  <c:v>2</c:v>
                </c:pt>
                <c:pt idx="6">
                  <c:v>11</c:v>
                </c:pt>
              </c:numCache>
            </c:numRef>
          </c:val>
          <c:extLst>
            <c:ext xmlns:c16="http://schemas.microsoft.com/office/drawing/2014/chart" uri="{C3380CC4-5D6E-409C-BE32-E72D297353CC}">
              <c16:uniqueId val="{0000000A-F1D4-4A30-A725-72AA5E3037F6}"/>
            </c:ext>
          </c:extLst>
        </c:ser>
        <c:ser>
          <c:idx val="9"/>
          <c:order val="9"/>
          <c:tx>
            <c:strRef>
              <c:f>'Resume 2022'!$T$31:$U$31</c:f>
              <c:strCache>
                <c:ptCount val="1"/>
                <c:pt idx="0">
                  <c:v>Octubre</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2022'!$T$33:$T$39</c:f>
              <c:numCache>
                <c:formatCode>General</c:formatCode>
                <c:ptCount val="7"/>
                <c:pt idx="0">
                  <c:v>2</c:v>
                </c:pt>
                <c:pt idx="1">
                  <c:v>1</c:v>
                </c:pt>
                <c:pt idx="2">
                  <c:v>1</c:v>
                </c:pt>
                <c:pt idx="3">
                  <c:v>1</c:v>
                </c:pt>
                <c:pt idx="4">
                  <c:v>0</c:v>
                </c:pt>
                <c:pt idx="5">
                  <c:v>0</c:v>
                </c:pt>
                <c:pt idx="6">
                  <c:v>7</c:v>
                </c:pt>
              </c:numCache>
            </c:numRef>
          </c:val>
          <c:extLst>
            <c:ext xmlns:c16="http://schemas.microsoft.com/office/drawing/2014/chart" uri="{C3380CC4-5D6E-409C-BE32-E72D297353CC}">
              <c16:uniqueId val="{0000000B-F1D4-4A30-A725-72AA5E3037F6}"/>
            </c:ext>
          </c:extLst>
        </c:ser>
        <c:ser>
          <c:idx val="10"/>
          <c:order val="10"/>
          <c:tx>
            <c:strRef>
              <c:f>'Resume 2022'!$V$31:$W$31</c:f>
              <c:strCache>
                <c:ptCount val="1"/>
                <c:pt idx="0">
                  <c:v>Noviembre</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2022'!$V$33:$V$39</c:f>
              <c:numCache>
                <c:formatCode>General</c:formatCode>
                <c:ptCount val="7"/>
                <c:pt idx="0">
                  <c:v>6</c:v>
                </c:pt>
                <c:pt idx="1">
                  <c:v>2</c:v>
                </c:pt>
                <c:pt idx="2">
                  <c:v>0</c:v>
                </c:pt>
                <c:pt idx="3">
                  <c:v>4</c:v>
                </c:pt>
                <c:pt idx="4">
                  <c:v>0</c:v>
                </c:pt>
                <c:pt idx="5">
                  <c:v>1</c:v>
                </c:pt>
                <c:pt idx="6">
                  <c:v>8</c:v>
                </c:pt>
              </c:numCache>
            </c:numRef>
          </c:val>
          <c:extLst>
            <c:ext xmlns:c16="http://schemas.microsoft.com/office/drawing/2014/chart" uri="{C3380CC4-5D6E-409C-BE32-E72D297353CC}">
              <c16:uniqueId val="{0000000C-F1D4-4A30-A725-72AA5E3037F6}"/>
            </c:ext>
          </c:extLst>
        </c:ser>
        <c:ser>
          <c:idx val="11"/>
          <c:order val="11"/>
          <c:tx>
            <c:strRef>
              <c:f>'Resume 2022'!$X$31:$Y$31</c:f>
              <c:strCache>
                <c:ptCount val="1"/>
                <c:pt idx="0">
                  <c:v>Diciembre</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2022'!$X$33:$X$39</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D-F1D4-4A30-A725-72AA5E3037F6}"/>
            </c:ext>
          </c:extLst>
        </c:ser>
        <c:dLbls>
          <c:dLblPos val="outEnd"/>
          <c:showLegendKey val="0"/>
          <c:showVal val="1"/>
          <c:showCatName val="0"/>
          <c:showSerName val="0"/>
          <c:showPercent val="0"/>
          <c:showBubbleSize val="0"/>
        </c:dLbls>
        <c:gapWidth val="267"/>
        <c:overlap val="-43"/>
        <c:axId val="657450848"/>
        <c:axId val="657449208"/>
      </c:barChart>
      <c:catAx>
        <c:axId val="6574508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657449208"/>
        <c:crosses val="autoZero"/>
        <c:auto val="1"/>
        <c:lblAlgn val="ctr"/>
        <c:lblOffset val="100"/>
        <c:noMultiLvlLbl val="0"/>
      </c:catAx>
      <c:valAx>
        <c:axId val="65744920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657450848"/>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none" spc="0" normalizeH="0" baseline="0">
                <a:solidFill>
                  <a:schemeClr val="dk1">
                    <a:lumMod val="50000"/>
                    <a:lumOff val="50000"/>
                  </a:schemeClr>
                </a:solidFill>
                <a:latin typeface="+mj-lt"/>
                <a:ea typeface="+mj-ea"/>
                <a:cs typeface="+mj-cs"/>
              </a:defRPr>
            </a:pPr>
            <a:r>
              <a:rPr lang="es-CL" sz="2400"/>
              <a:t>Historico de equipos fabricados</a:t>
            </a:r>
          </a:p>
        </c:rich>
      </c:tx>
      <c:layout>
        <c:manualLayout>
          <c:xMode val="edge"/>
          <c:yMode val="edge"/>
          <c:x val="0.36814504641149615"/>
          <c:y val="0"/>
        </c:manualLayout>
      </c:layout>
      <c:overlay val="0"/>
      <c:spPr>
        <a:noFill/>
        <a:ln>
          <a:noFill/>
        </a:ln>
        <a:effectLst/>
      </c:spPr>
      <c:txPr>
        <a:bodyPr rot="0" spcFirstLastPara="1" vertOverflow="ellipsis" vert="horz" wrap="square" anchor="ctr" anchorCtr="1"/>
        <a:lstStyle/>
        <a:p>
          <a:pPr>
            <a:defRPr sz="24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manualLayout>
          <c:layoutTarget val="inner"/>
          <c:xMode val="edge"/>
          <c:yMode val="edge"/>
          <c:x val="1.6206821506525065E-2"/>
          <c:y val="8.0695356601265728E-2"/>
          <c:w val="0.97504716528996271"/>
          <c:h val="0.81168199675418795"/>
        </c:manualLayout>
      </c:layout>
      <c:barChart>
        <c:barDir val="col"/>
        <c:grouping val="clustered"/>
        <c:varyColors val="0"/>
        <c:ser>
          <c:idx val="0"/>
          <c:order val="0"/>
          <c:tx>
            <c:strRef>
              <c:f>'Resume 2022'!$B$31:$C$31</c:f>
              <c:strCache>
                <c:ptCount val="1"/>
                <c:pt idx="0">
                  <c:v>Enero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2022'!$B$33:$B$39</c:f>
              <c:numCache>
                <c:formatCode>General</c:formatCode>
                <c:ptCount val="7"/>
                <c:pt idx="0">
                  <c:v>4</c:v>
                </c:pt>
                <c:pt idx="1">
                  <c:v>1</c:v>
                </c:pt>
                <c:pt idx="2">
                  <c:v>0</c:v>
                </c:pt>
                <c:pt idx="3">
                  <c:v>1</c:v>
                </c:pt>
                <c:pt idx="4">
                  <c:v>0</c:v>
                </c:pt>
                <c:pt idx="5">
                  <c:v>1</c:v>
                </c:pt>
                <c:pt idx="6">
                  <c:v>13</c:v>
                </c:pt>
              </c:numCache>
            </c:numRef>
          </c:val>
          <c:extLst>
            <c:ext xmlns:c16="http://schemas.microsoft.com/office/drawing/2014/chart" uri="{C3380CC4-5D6E-409C-BE32-E72D297353CC}">
              <c16:uniqueId val="{00000000-F1D4-4A30-A725-72AA5E3037F6}"/>
            </c:ext>
          </c:extLst>
        </c:ser>
        <c:ser>
          <c:idx val="1"/>
          <c:order val="1"/>
          <c:tx>
            <c:strRef>
              <c:f>'Resume 2022'!$D$31:$E$31</c:f>
              <c:strCache>
                <c:ptCount val="1"/>
                <c:pt idx="0">
                  <c:v>Febrero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2022'!$D$33:$D$39</c:f>
              <c:numCache>
                <c:formatCode>General</c:formatCode>
                <c:ptCount val="7"/>
                <c:pt idx="0">
                  <c:v>2</c:v>
                </c:pt>
                <c:pt idx="1">
                  <c:v>1</c:v>
                </c:pt>
                <c:pt idx="2">
                  <c:v>1</c:v>
                </c:pt>
                <c:pt idx="3">
                  <c:v>2</c:v>
                </c:pt>
                <c:pt idx="4">
                  <c:v>0</c:v>
                </c:pt>
                <c:pt idx="5">
                  <c:v>1</c:v>
                </c:pt>
                <c:pt idx="6">
                  <c:v>12</c:v>
                </c:pt>
              </c:numCache>
            </c:numRef>
          </c:val>
          <c:extLst>
            <c:ext xmlns:c16="http://schemas.microsoft.com/office/drawing/2014/chart" uri="{C3380CC4-5D6E-409C-BE32-E72D297353CC}">
              <c16:uniqueId val="{00000002-F1D4-4A30-A725-72AA5E3037F6}"/>
            </c:ext>
          </c:extLst>
        </c:ser>
        <c:ser>
          <c:idx val="2"/>
          <c:order val="2"/>
          <c:tx>
            <c:strRef>
              <c:f>'Resume 2022'!$F$31:$G$31</c:f>
              <c:strCache>
                <c:ptCount val="1"/>
                <c:pt idx="0">
                  <c:v>Marzo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2022'!$F$33:$F$39</c:f>
              <c:numCache>
                <c:formatCode>General</c:formatCode>
                <c:ptCount val="7"/>
                <c:pt idx="0">
                  <c:v>3</c:v>
                </c:pt>
                <c:pt idx="1">
                  <c:v>1.5</c:v>
                </c:pt>
                <c:pt idx="2">
                  <c:v>0</c:v>
                </c:pt>
                <c:pt idx="3">
                  <c:v>1.5</c:v>
                </c:pt>
                <c:pt idx="4">
                  <c:v>1</c:v>
                </c:pt>
                <c:pt idx="5">
                  <c:v>1</c:v>
                </c:pt>
                <c:pt idx="6">
                  <c:v>15</c:v>
                </c:pt>
              </c:numCache>
            </c:numRef>
          </c:val>
          <c:extLst>
            <c:ext xmlns:c16="http://schemas.microsoft.com/office/drawing/2014/chart" uri="{C3380CC4-5D6E-409C-BE32-E72D297353CC}">
              <c16:uniqueId val="{00000004-F1D4-4A30-A725-72AA5E3037F6}"/>
            </c:ext>
          </c:extLst>
        </c:ser>
        <c:ser>
          <c:idx val="3"/>
          <c:order val="3"/>
          <c:tx>
            <c:strRef>
              <c:f>'Resume 2022'!$H$31:$I$31</c:f>
              <c:strCache>
                <c:ptCount val="1"/>
                <c:pt idx="0">
                  <c:v>Abril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2022'!$H$33:$H$39</c:f>
              <c:numCache>
                <c:formatCode>General</c:formatCode>
                <c:ptCount val="7"/>
                <c:pt idx="0">
                  <c:v>1</c:v>
                </c:pt>
                <c:pt idx="1">
                  <c:v>1</c:v>
                </c:pt>
                <c:pt idx="2">
                  <c:v>1</c:v>
                </c:pt>
                <c:pt idx="3">
                  <c:v>0</c:v>
                </c:pt>
                <c:pt idx="4">
                  <c:v>0</c:v>
                </c:pt>
                <c:pt idx="5">
                  <c:v>1</c:v>
                </c:pt>
                <c:pt idx="6">
                  <c:v>16</c:v>
                </c:pt>
              </c:numCache>
            </c:numRef>
          </c:val>
          <c:extLst>
            <c:ext xmlns:c16="http://schemas.microsoft.com/office/drawing/2014/chart" uri="{C3380CC4-5D6E-409C-BE32-E72D297353CC}">
              <c16:uniqueId val="{00000005-F1D4-4A30-A725-72AA5E3037F6}"/>
            </c:ext>
          </c:extLst>
        </c:ser>
        <c:ser>
          <c:idx val="4"/>
          <c:order val="4"/>
          <c:tx>
            <c:strRef>
              <c:f>'Resume 2022'!$J$31:$K$31</c:f>
              <c:strCache>
                <c:ptCount val="1"/>
                <c:pt idx="0">
                  <c:v>Mayo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2022'!$J$33:$J$39</c:f>
              <c:numCache>
                <c:formatCode>General</c:formatCode>
                <c:ptCount val="7"/>
                <c:pt idx="0">
                  <c:v>4</c:v>
                </c:pt>
                <c:pt idx="1">
                  <c:v>1</c:v>
                </c:pt>
                <c:pt idx="2">
                  <c:v>3</c:v>
                </c:pt>
                <c:pt idx="3">
                  <c:v>3</c:v>
                </c:pt>
                <c:pt idx="4">
                  <c:v>0</c:v>
                </c:pt>
                <c:pt idx="5">
                  <c:v>0</c:v>
                </c:pt>
                <c:pt idx="6">
                  <c:v>9</c:v>
                </c:pt>
              </c:numCache>
            </c:numRef>
          </c:val>
          <c:extLst>
            <c:ext xmlns:c16="http://schemas.microsoft.com/office/drawing/2014/chart" uri="{C3380CC4-5D6E-409C-BE32-E72D297353CC}">
              <c16:uniqueId val="{00000006-F1D4-4A30-A725-72AA5E3037F6}"/>
            </c:ext>
          </c:extLst>
        </c:ser>
        <c:ser>
          <c:idx val="5"/>
          <c:order val="5"/>
          <c:tx>
            <c:strRef>
              <c:f>'Resume 2022'!$L$31:$M$31</c:f>
              <c:strCache>
                <c:ptCount val="1"/>
                <c:pt idx="0">
                  <c:v>Junio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2022'!$L$33:$L$39</c:f>
              <c:numCache>
                <c:formatCode>General</c:formatCode>
                <c:ptCount val="7"/>
                <c:pt idx="0">
                  <c:v>4</c:v>
                </c:pt>
                <c:pt idx="1">
                  <c:v>2</c:v>
                </c:pt>
                <c:pt idx="2">
                  <c:v>0</c:v>
                </c:pt>
                <c:pt idx="3">
                  <c:v>2</c:v>
                </c:pt>
                <c:pt idx="4">
                  <c:v>0</c:v>
                </c:pt>
                <c:pt idx="5">
                  <c:v>3</c:v>
                </c:pt>
                <c:pt idx="6">
                  <c:v>9</c:v>
                </c:pt>
              </c:numCache>
            </c:numRef>
          </c:val>
          <c:extLst>
            <c:ext xmlns:c16="http://schemas.microsoft.com/office/drawing/2014/chart" uri="{C3380CC4-5D6E-409C-BE32-E72D297353CC}">
              <c16:uniqueId val="{00000007-F1D4-4A30-A725-72AA5E3037F6}"/>
            </c:ext>
          </c:extLst>
        </c:ser>
        <c:ser>
          <c:idx val="6"/>
          <c:order val="6"/>
          <c:tx>
            <c:strRef>
              <c:f>'Resume 2022'!$N$31:$O$31</c:f>
              <c:strCache>
                <c:ptCount val="1"/>
                <c:pt idx="0">
                  <c:v>Julio</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2022'!$N$33:$N$39</c:f>
              <c:numCache>
                <c:formatCode>General</c:formatCode>
                <c:ptCount val="7"/>
                <c:pt idx="0">
                  <c:v>6</c:v>
                </c:pt>
                <c:pt idx="1">
                  <c:v>0</c:v>
                </c:pt>
                <c:pt idx="2">
                  <c:v>1.5</c:v>
                </c:pt>
                <c:pt idx="3">
                  <c:v>4</c:v>
                </c:pt>
                <c:pt idx="4">
                  <c:v>0</c:v>
                </c:pt>
                <c:pt idx="5">
                  <c:v>0</c:v>
                </c:pt>
                <c:pt idx="6">
                  <c:v>5.5</c:v>
                </c:pt>
              </c:numCache>
            </c:numRef>
          </c:val>
          <c:extLst>
            <c:ext xmlns:c16="http://schemas.microsoft.com/office/drawing/2014/chart" uri="{C3380CC4-5D6E-409C-BE32-E72D297353CC}">
              <c16:uniqueId val="{00000008-F1D4-4A30-A725-72AA5E3037F6}"/>
            </c:ext>
          </c:extLst>
        </c:ser>
        <c:ser>
          <c:idx val="7"/>
          <c:order val="7"/>
          <c:tx>
            <c:strRef>
              <c:f>'Resume 2022'!$P$31:$Q$31</c:f>
              <c:strCache>
                <c:ptCount val="1"/>
                <c:pt idx="0">
                  <c:v>Agosto</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2022'!$P$33:$P$39</c:f>
              <c:numCache>
                <c:formatCode>General</c:formatCode>
                <c:ptCount val="7"/>
                <c:pt idx="0">
                  <c:v>2</c:v>
                </c:pt>
                <c:pt idx="1">
                  <c:v>3</c:v>
                </c:pt>
                <c:pt idx="2">
                  <c:v>0</c:v>
                </c:pt>
                <c:pt idx="3">
                  <c:v>4</c:v>
                </c:pt>
                <c:pt idx="4">
                  <c:v>0</c:v>
                </c:pt>
                <c:pt idx="5">
                  <c:v>1</c:v>
                </c:pt>
                <c:pt idx="6">
                  <c:v>8</c:v>
                </c:pt>
              </c:numCache>
            </c:numRef>
          </c:val>
          <c:extLst>
            <c:ext xmlns:c16="http://schemas.microsoft.com/office/drawing/2014/chart" uri="{C3380CC4-5D6E-409C-BE32-E72D297353CC}">
              <c16:uniqueId val="{00000009-F1D4-4A30-A725-72AA5E3037F6}"/>
            </c:ext>
          </c:extLst>
        </c:ser>
        <c:ser>
          <c:idx val="8"/>
          <c:order val="8"/>
          <c:tx>
            <c:strRef>
              <c:f>'Resume 2022'!$R$31:$S$31</c:f>
              <c:strCache>
                <c:ptCount val="1"/>
                <c:pt idx="0">
                  <c:v>Septiembre </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2022'!$R$33:$R$39</c:f>
              <c:numCache>
                <c:formatCode>General</c:formatCode>
                <c:ptCount val="7"/>
                <c:pt idx="0">
                  <c:v>2</c:v>
                </c:pt>
                <c:pt idx="1">
                  <c:v>1</c:v>
                </c:pt>
                <c:pt idx="2">
                  <c:v>2</c:v>
                </c:pt>
                <c:pt idx="3">
                  <c:v>1</c:v>
                </c:pt>
                <c:pt idx="4">
                  <c:v>0</c:v>
                </c:pt>
                <c:pt idx="5">
                  <c:v>2</c:v>
                </c:pt>
                <c:pt idx="6">
                  <c:v>11</c:v>
                </c:pt>
              </c:numCache>
            </c:numRef>
          </c:val>
          <c:extLst>
            <c:ext xmlns:c16="http://schemas.microsoft.com/office/drawing/2014/chart" uri="{C3380CC4-5D6E-409C-BE32-E72D297353CC}">
              <c16:uniqueId val="{0000000A-F1D4-4A30-A725-72AA5E3037F6}"/>
            </c:ext>
          </c:extLst>
        </c:ser>
        <c:ser>
          <c:idx val="9"/>
          <c:order val="9"/>
          <c:tx>
            <c:strRef>
              <c:f>'Resume 2022'!$T$31:$U$31</c:f>
              <c:strCache>
                <c:ptCount val="1"/>
                <c:pt idx="0">
                  <c:v>Octubre</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2022'!$T$33:$T$39</c:f>
              <c:numCache>
                <c:formatCode>General</c:formatCode>
                <c:ptCount val="7"/>
                <c:pt idx="0">
                  <c:v>2</c:v>
                </c:pt>
                <c:pt idx="1">
                  <c:v>1</c:v>
                </c:pt>
                <c:pt idx="2">
                  <c:v>1</c:v>
                </c:pt>
                <c:pt idx="3">
                  <c:v>1</c:v>
                </c:pt>
                <c:pt idx="4">
                  <c:v>0</c:v>
                </c:pt>
                <c:pt idx="5">
                  <c:v>0</c:v>
                </c:pt>
                <c:pt idx="6">
                  <c:v>7</c:v>
                </c:pt>
              </c:numCache>
            </c:numRef>
          </c:val>
          <c:extLst>
            <c:ext xmlns:c16="http://schemas.microsoft.com/office/drawing/2014/chart" uri="{C3380CC4-5D6E-409C-BE32-E72D297353CC}">
              <c16:uniqueId val="{0000000B-F1D4-4A30-A725-72AA5E3037F6}"/>
            </c:ext>
          </c:extLst>
        </c:ser>
        <c:ser>
          <c:idx val="10"/>
          <c:order val="10"/>
          <c:tx>
            <c:strRef>
              <c:f>'Resume 2022'!$V$31:$W$31</c:f>
              <c:strCache>
                <c:ptCount val="1"/>
                <c:pt idx="0">
                  <c:v>Noviembre</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2022'!$V$33:$V$39</c:f>
              <c:numCache>
                <c:formatCode>General</c:formatCode>
                <c:ptCount val="7"/>
                <c:pt idx="0">
                  <c:v>6</c:v>
                </c:pt>
                <c:pt idx="1">
                  <c:v>2</c:v>
                </c:pt>
                <c:pt idx="2">
                  <c:v>0</c:v>
                </c:pt>
                <c:pt idx="3">
                  <c:v>4</c:v>
                </c:pt>
                <c:pt idx="4">
                  <c:v>0</c:v>
                </c:pt>
                <c:pt idx="5">
                  <c:v>1</c:v>
                </c:pt>
                <c:pt idx="6">
                  <c:v>8</c:v>
                </c:pt>
              </c:numCache>
            </c:numRef>
          </c:val>
          <c:extLst>
            <c:ext xmlns:c16="http://schemas.microsoft.com/office/drawing/2014/chart" uri="{C3380CC4-5D6E-409C-BE32-E72D297353CC}">
              <c16:uniqueId val="{0000000C-F1D4-4A30-A725-72AA5E3037F6}"/>
            </c:ext>
          </c:extLst>
        </c:ser>
        <c:ser>
          <c:idx val="11"/>
          <c:order val="11"/>
          <c:tx>
            <c:strRef>
              <c:f>'Resume 2022'!$X$31:$Y$31</c:f>
              <c:strCache>
                <c:ptCount val="1"/>
                <c:pt idx="0">
                  <c:v>Diciembre</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2022'!$A$33:$A$39</c:f>
              <c:strCache>
                <c:ptCount val="7"/>
                <c:pt idx="0">
                  <c:v>ALJIBE</c:v>
                </c:pt>
                <c:pt idx="1">
                  <c:v>ATMOSFERICO</c:v>
                </c:pt>
                <c:pt idx="2">
                  <c:v>CARROCERIA MINERA</c:v>
                </c:pt>
                <c:pt idx="3">
                  <c:v>COMBUSTIBLE</c:v>
                </c:pt>
                <c:pt idx="4">
                  <c:v>COMBUSTIBLE AVIACION</c:v>
                </c:pt>
                <c:pt idx="5">
                  <c:v>LUBRICADOR</c:v>
                </c:pt>
                <c:pt idx="6">
                  <c:v>TOLVA</c:v>
                </c:pt>
              </c:strCache>
            </c:strRef>
          </c:cat>
          <c:val>
            <c:numRef>
              <c:f>'Resume 2022'!$X$33:$X$39</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D-F1D4-4A30-A725-72AA5E3037F6}"/>
            </c:ext>
          </c:extLst>
        </c:ser>
        <c:dLbls>
          <c:dLblPos val="outEnd"/>
          <c:showLegendKey val="0"/>
          <c:showVal val="1"/>
          <c:showCatName val="0"/>
          <c:showSerName val="0"/>
          <c:showPercent val="0"/>
          <c:showBubbleSize val="0"/>
        </c:dLbls>
        <c:gapWidth val="267"/>
        <c:overlap val="-43"/>
        <c:axId val="657450848"/>
        <c:axId val="657449208"/>
      </c:barChart>
      <c:catAx>
        <c:axId val="6574508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657449208"/>
        <c:crosses val="autoZero"/>
        <c:auto val="1"/>
        <c:lblAlgn val="ctr"/>
        <c:lblOffset val="100"/>
        <c:noMultiLvlLbl val="0"/>
      </c:catAx>
      <c:valAx>
        <c:axId val="65744920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657450848"/>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dk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CL"/>
              <a:t>MOTIVOS DE ATRASOS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tx>
            <c:strRef>
              <c:f>'Resume 2022'!$B$163:$C$163</c:f>
              <c:strCache>
                <c:ptCount val="1"/>
                <c:pt idx="0">
                  <c:v>Enero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2022'!$A$164:$A$176</c:f>
              <c:strCache>
                <c:ptCount val="13"/>
                <c:pt idx="0">
                  <c:v>FALLA MAQUINARIA</c:v>
                </c:pt>
                <c:pt idx="1">
                  <c:v>FALTA MATERIAL</c:v>
                </c:pt>
                <c:pt idx="2">
                  <c:v>FALLA SUMINISTRO</c:v>
                </c:pt>
                <c:pt idx="3">
                  <c:v>FALTA HERRAMIENTA</c:v>
                </c:pt>
                <c:pt idx="4">
                  <c:v>AUSENCIA PERSONAL</c:v>
                </c:pt>
                <c:pt idx="5">
                  <c:v>ESPERA PROSESO</c:v>
                </c:pt>
                <c:pt idx="6">
                  <c:v>CAMBIO PRIORIDAD</c:v>
                </c:pt>
                <c:pt idx="7">
                  <c:v>PROBLEMA EN CAMION</c:v>
                </c:pt>
                <c:pt idx="8">
                  <c:v>REPROCESO</c:v>
                </c:pt>
                <c:pt idx="9">
                  <c:v>GARANTIA</c:v>
                </c:pt>
                <c:pt idx="10">
                  <c:v>SIN INFORMACION</c:v>
                </c:pt>
                <c:pt idx="11">
                  <c:v>SIN CAMION</c:v>
                </c:pt>
                <c:pt idx="12">
                  <c:v>ESPERA TERCEROS</c:v>
                </c:pt>
              </c:strCache>
            </c:strRef>
          </c:cat>
          <c:val>
            <c:numRef>
              <c:f>'Resume 2022'!$B$164:$B$176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D388-45BE-9EE4-EE6780475443}"/>
            </c:ext>
          </c:extLst>
        </c:ser>
        <c:ser>
          <c:idx val="1"/>
          <c:order val="1"/>
          <c:tx>
            <c:strRef>
              <c:f>'Resume 2022'!$D$163:$E$163</c:f>
              <c:strCache>
                <c:ptCount val="1"/>
                <c:pt idx="0">
                  <c:v>Febrero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2022'!$A$164:$A$176</c:f>
              <c:strCache>
                <c:ptCount val="13"/>
                <c:pt idx="0">
                  <c:v>FALLA MAQUINARIA</c:v>
                </c:pt>
                <c:pt idx="1">
                  <c:v>FALTA MATERIAL</c:v>
                </c:pt>
                <c:pt idx="2">
                  <c:v>FALLA SUMINISTRO</c:v>
                </c:pt>
                <c:pt idx="3">
                  <c:v>FALTA HERRAMIENTA</c:v>
                </c:pt>
                <c:pt idx="4">
                  <c:v>AUSENCIA PERSONAL</c:v>
                </c:pt>
                <c:pt idx="5">
                  <c:v>ESPERA PROSESO</c:v>
                </c:pt>
                <c:pt idx="6">
                  <c:v>CAMBIO PRIORIDAD</c:v>
                </c:pt>
                <c:pt idx="7">
                  <c:v>PROBLEMA EN CAMION</c:v>
                </c:pt>
                <c:pt idx="8">
                  <c:v>REPROCESO</c:v>
                </c:pt>
                <c:pt idx="9">
                  <c:v>GARANTIA</c:v>
                </c:pt>
                <c:pt idx="10">
                  <c:v>SIN INFORMACION</c:v>
                </c:pt>
                <c:pt idx="11">
                  <c:v>SIN CAMION</c:v>
                </c:pt>
                <c:pt idx="12">
                  <c:v>ESPERA TERCEROS</c:v>
                </c:pt>
              </c:strCache>
            </c:strRef>
          </c:cat>
          <c:val>
            <c:numRef>
              <c:f>'Resume 2022'!$D$164:$D$176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D388-45BE-9EE4-EE6780475443}"/>
            </c:ext>
          </c:extLst>
        </c:ser>
        <c:ser>
          <c:idx val="2"/>
          <c:order val="2"/>
          <c:tx>
            <c:strRef>
              <c:f>'Resume 2022'!$F$163:$G$163</c:f>
              <c:strCache>
                <c:ptCount val="1"/>
                <c:pt idx="0">
                  <c:v>Marzo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2022'!$A$164:$A$176</c:f>
              <c:strCache>
                <c:ptCount val="13"/>
                <c:pt idx="0">
                  <c:v>FALLA MAQUINARIA</c:v>
                </c:pt>
                <c:pt idx="1">
                  <c:v>FALTA MATERIAL</c:v>
                </c:pt>
                <c:pt idx="2">
                  <c:v>FALLA SUMINISTRO</c:v>
                </c:pt>
                <c:pt idx="3">
                  <c:v>FALTA HERRAMIENTA</c:v>
                </c:pt>
                <c:pt idx="4">
                  <c:v>AUSENCIA PERSONAL</c:v>
                </c:pt>
                <c:pt idx="5">
                  <c:v>ESPERA PROSESO</c:v>
                </c:pt>
                <c:pt idx="6">
                  <c:v>CAMBIO PRIORIDAD</c:v>
                </c:pt>
                <c:pt idx="7">
                  <c:v>PROBLEMA EN CAMION</c:v>
                </c:pt>
                <c:pt idx="8">
                  <c:v>REPROCESO</c:v>
                </c:pt>
                <c:pt idx="9">
                  <c:v>GARANTIA</c:v>
                </c:pt>
                <c:pt idx="10">
                  <c:v>SIN INFORMACION</c:v>
                </c:pt>
                <c:pt idx="11">
                  <c:v>SIN CAMION</c:v>
                </c:pt>
                <c:pt idx="12">
                  <c:v>ESPERA TERCEROS</c:v>
                </c:pt>
              </c:strCache>
            </c:strRef>
          </c:cat>
          <c:val>
            <c:numRef>
              <c:f>'Resume 2022'!$F$164:$F$175</c:f>
              <c:numCache>
                <c:formatCode>General</c:formatCode>
                <c:ptCount val="12"/>
                <c:pt idx="0">
                  <c:v>23</c:v>
                </c:pt>
                <c:pt idx="1">
                  <c:v>11</c:v>
                </c:pt>
                <c:pt idx="2">
                  <c:v>1</c:v>
                </c:pt>
                <c:pt idx="3">
                  <c:v>0</c:v>
                </c:pt>
                <c:pt idx="4">
                  <c:v>10</c:v>
                </c:pt>
                <c:pt idx="5">
                  <c:v>0</c:v>
                </c:pt>
                <c:pt idx="6">
                  <c:v>3</c:v>
                </c:pt>
                <c:pt idx="7">
                  <c:v>0</c:v>
                </c:pt>
                <c:pt idx="8">
                  <c:v>2</c:v>
                </c:pt>
                <c:pt idx="9">
                  <c:v>0</c:v>
                </c:pt>
                <c:pt idx="10">
                  <c:v>0</c:v>
                </c:pt>
                <c:pt idx="11">
                  <c:v>0</c:v>
                </c:pt>
              </c:numCache>
            </c:numRef>
          </c:val>
          <c:extLst>
            <c:ext xmlns:c16="http://schemas.microsoft.com/office/drawing/2014/chart" uri="{C3380CC4-5D6E-409C-BE32-E72D297353CC}">
              <c16:uniqueId val="{00000003-D388-45BE-9EE4-EE6780475443}"/>
            </c:ext>
          </c:extLst>
        </c:ser>
        <c:ser>
          <c:idx val="3"/>
          <c:order val="3"/>
          <c:tx>
            <c:strRef>
              <c:f>'Resume 2022'!$H$163:$I$163</c:f>
              <c:strCache>
                <c:ptCount val="1"/>
                <c:pt idx="0">
                  <c:v>Abril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2022'!$A$164:$A$176</c:f>
              <c:strCache>
                <c:ptCount val="13"/>
                <c:pt idx="0">
                  <c:v>FALLA MAQUINARIA</c:v>
                </c:pt>
                <c:pt idx="1">
                  <c:v>FALTA MATERIAL</c:v>
                </c:pt>
                <c:pt idx="2">
                  <c:v>FALLA SUMINISTRO</c:v>
                </c:pt>
                <c:pt idx="3">
                  <c:v>FALTA HERRAMIENTA</c:v>
                </c:pt>
                <c:pt idx="4">
                  <c:v>AUSENCIA PERSONAL</c:v>
                </c:pt>
                <c:pt idx="5">
                  <c:v>ESPERA PROSESO</c:v>
                </c:pt>
                <c:pt idx="6">
                  <c:v>CAMBIO PRIORIDAD</c:v>
                </c:pt>
                <c:pt idx="7">
                  <c:v>PROBLEMA EN CAMION</c:v>
                </c:pt>
                <c:pt idx="8">
                  <c:v>REPROCESO</c:v>
                </c:pt>
                <c:pt idx="9">
                  <c:v>GARANTIA</c:v>
                </c:pt>
                <c:pt idx="10">
                  <c:v>SIN INFORMACION</c:v>
                </c:pt>
                <c:pt idx="11">
                  <c:v>SIN CAMION</c:v>
                </c:pt>
                <c:pt idx="12">
                  <c:v>ESPERA TERCEROS</c:v>
                </c:pt>
              </c:strCache>
            </c:strRef>
          </c:cat>
          <c:val>
            <c:numRef>
              <c:f>'Resume 2022'!$H$164:$H$175</c:f>
              <c:numCache>
                <c:formatCode>General</c:formatCode>
                <c:ptCount val="12"/>
                <c:pt idx="0">
                  <c:v>4</c:v>
                </c:pt>
                <c:pt idx="1">
                  <c:v>15</c:v>
                </c:pt>
                <c:pt idx="2">
                  <c:v>0</c:v>
                </c:pt>
                <c:pt idx="3">
                  <c:v>0</c:v>
                </c:pt>
                <c:pt idx="4">
                  <c:v>21</c:v>
                </c:pt>
                <c:pt idx="5">
                  <c:v>0</c:v>
                </c:pt>
                <c:pt idx="6">
                  <c:v>7</c:v>
                </c:pt>
                <c:pt idx="7">
                  <c:v>0</c:v>
                </c:pt>
                <c:pt idx="8">
                  <c:v>6</c:v>
                </c:pt>
                <c:pt idx="9">
                  <c:v>0</c:v>
                </c:pt>
                <c:pt idx="10">
                  <c:v>3</c:v>
                </c:pt>
                <c:pt idx="11">
                  <c:v>0</c:v>
                </c:pt>
              </c:numCache>
            </c:numRef>
          </c:val>
          <c:extLst>
            <c:ext xmlns:c16="http://schemas.microsoft.com/office/drawing/2014/chart" uri="{C3380CC4-5D6E-409C-BE32-E72D297353CC}">
              <c16:uniqueId val="{00000004-D388-45BE-9EE4-EE6780475443}"/>
            </c:ext>
          </c:extLst>
        </c:ser>
        <c:ser>
          <c:idx val="4"/>
          <c:order val="4"/>
          <c:tx>
            <c:strRef>
              <c:f>'Resume 2022'!$J$163:$K$163</c:f>
              <c:strCache>
                <c:ptCount val="1"/>
                <c:pt idx="0">
                  <c:v>Mayo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2022'!$A$164:$A$176</c:f>
              <c:strCache>
                <c:ptCount val="13"/>
                <c:pt idx="0">
                  <c:v>FALLA MAQUINARIA</c:v>
                </c:pt>
                <c:pt idx="1">
                  <c:v>FALTA MATERIAL</c:v>
                </c:pt>
                <c:pt idx="2">
                  <c:v>FALLA SUMINISTRO</c:v>
                </c:pt>
                <c:pt idx="3">
                  <c:v>FALTA HERRAMIENTA</c:v>
                </c:pt>
                <c:pt idx="4">
                  <c:v>AUSENCIA PERSONAL</c:v>
                </c:pt>
                <c:pt idx="5">
                  <c:v>ESPERA PROSESO</c:v>
                </c:pt>
                <c:pt idx="6">
                  <c:v>CAMBIO PRIORIDAD</c:v>
                </c:pt>
                <c:pt idx="7">
                  <c:v>PROBLEMA EN CAMION</c:v>
                </c:pt>
                <c:pt idx="8">
                  <c:v>REPROCESO</c:v>
                </c:pt>
                <c:pt idx="9">
                  <c:v>GARANTIA</c:v>
                </c:pt>
                <c:pt idx="10">
                  <c:v>SIN INFORMACION</c:v>
                </c:pt>
                <c:pt idx="11">
                  <c:v>SIN CAMION</c:v>
                </c:pt>
                <c:pt idx="12">
                  <c:v>ESPERA TERCEROS</c:v>
                </c:pt>
              </c:strCache>
            </c:strRef>
          </c:cat>
          <c:val>
            <c:numRef>
              <c:f>'Resume 2022'!$J$164:$J$175</c:f>
              <c:numCache>
                <c:formatCode>General</c:formatCode>
                <c:ptCount val="12"/>
                <c:pt idx="0">
                  <c:v>13</c:v>
                </c:pt>
                <c:pt idx="1">
                  <c:v>5</c:v>
                </c:pt>
                <c:pt idx="2">
                  <c:v>0</c:v>
                </c:pt>
                <c:pt idx="3">
                  <c:v>0</c:v>
                </c:pt>
                <c:pt idx="4">
                  <c:v>28</c:v>
                </c:pt>
                <c:pt idx="5">
                  <c:v>1</c:v>
                </c:pt>
                <c:pt idx="6">
                  <c:v>2</c:v>
                </c:pt>
                <c:pt idx="7">
                  <c:v>1</c:v>
                </c:pt>
                <c:pt idx="8">
                  <c:v>4</c:v>
                </c:pt>
                <c:pt idx="9">
                  <c:v>18</c:v>
                </c:pt>
                <c:pt idx="10">
                  <c:v>4</c:v>
                </c:pt>
                <c:pt idx="11">
                  <c:v>1</c:v>
                </c:pt>
              </c:numCache>
            </c:numRef>
          </c:val>
          <c:extLst>
            <c:ext xmlns:c16="http://schemas.microsoft.com/office/drawing/2014/chart" uri="{C3380CC4-5D6E-409C-BE32-E72D297353CC}">
              <c16:uniqueId val="{00000005-D388-45BE-9EE4-EE6780475443}"/>
            </c:ext>
          </c:extLst>
        </c:ser>
        <c:ser>
          <c:idx val="5"/>
          <c:order val="5"/>
          <c:tx>
            <c:strRef>
              <c:f>'Resume 2022'!$L$163:$M$163</c:f>
              <c:strCache>
                <c:ptCount val="1"/>
                <c:pt idx="0">
                  <c:v>Junio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2022'!$A$164:$A$176</c:f>
              <c:strCache>
                <c:ptCount val="13"/>
                <c:pt idx="0">
                  <c:v>FALLA MAQUINARIA</c:v>
                </c:pt>
                <c:pt idx="1">
                  <c:v>FALTA MATERIAL</c:v>
                </c:pt>
                <c:pt idx="2">
                  <c:v>FALLA SUMINISTRO</c:v>
                </c:pt>
                <c:pt idx="3">
                  <c:v>FALTA HERRAMIENTA</c:v>
                </c:pt>
                <c:pt idx="4">
                  <c:v>AUSENCIA PERSONAL</c:v>
                </c:pt>
                <c:pt idx="5">
                  <c:v>ESPERA PROSESO</c:v>
                </c:pt>
                <c:pt idx="6">
                  <c:v>CAMBIO PRIORIDAD</c:v>
                </c:pt>
                <c:pt idx="7">
                  <c:v>PROBLEMA EN CAMION</c:v>
                </c:pt>
                <c:pt idx="8">
                  <c:v>REPROCESO</c:v>
                </c:pt>
                <c:pt idx="9">
                  <c:v>GARANTIA</c:v>
                </c:pt>
                <c:pt idx="10">
                  <c:v>SIN INFORMACION</c:v>
                </c:pt>
                <c:pt idx="11">
                  <c:v>SIN CAMION</c:v>
                </c:pt>
                <c:pt idx="12">
                  <c:v>ESPERA TERCEROS</c:v>
                </c:pt>
              </c:strCache>
            </c:strRef>
          </c:cat>
          <c:val>
            <c:numRef>
              <c:f>'Resume 2022'!$L$164:$L$175</c:f>
              <c:numCache>
                <c:formatCode>General</c:formatCode>
                <c:ptCount val="12"/>
                <c:pt idx="0">
                  <c:v>10</c:v>
                </c:pt>
                <c:pt idx="1">
                  <c:v>5</c:v>
                </c:pt>
                <c:pt idx="2">
                  <c:v>0</c:v>
                </c:pt>
                <c:pt idx="3">
                  <c:v>0</c:v>
                </c:pt>
                <c:pt idx="4">
                  <c:v>42</c:v>
                </c:pt>
                <c:pt idx="5">
                  <c:v>1</c:v>
                </c:pt>
                <c:pt idx="6">
                  <c:v>11</c:v>
                </c:pt>
                <c:pt idx="7">
                  <c:v>0</c:v>
                </c:pt>
                <c:pt idx="8">
                  <c:v>1</c:v>
                </c:pt>
                <c:pt idx="9">
                  <c:v>1</c:v>
                </c:pt>
                <c:pt idx="10">
                  <c:v>3</c:v>
                </c:pt>
                <c:pt idx="11">
                  <c:v>0</c:v>
                </c:pt>
              </c:numCache>
            </c:numRef>
          </c:val>
          <c:extLst>
            <c:ext xmlns:c16="http://schemas.microsoft.com/office/drawing/2014/chart" uri="{C3380CC4-5D6E-409C-BE32-E72D297353CC}">
              <c16:uniqueId val="{00000006-D388-45BE-9EE4-EE6780475443}"/>
            </c:ext>
          </c:extLst>
        </c:ser>
        <c:ser>
          <c:idx val="6"/>
          <c:order val="6"/>
          <c:tx>
            <c:strRef>
              <c:f>'Resume 2022'!$N$163:$O$163</c:f>
              <c:strCache>
                <c:ptCount val="1"/>
                <c:pt idx="0">
                  <c:v>Julio</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2022'!$A$164:$A$176</c:f>
              <c:strCache>
                <c:ptCount val="13"/>
                <c:pt idx="0">
                  <c:v>FALLA MAQUINARIA</c:v>
                </c:pt>
                <c:pt idx="1">
                  <c:v>FALTA MATERIAL</c:v>
                </c:pt>
                <c:pt idx="2">
                  <c:v>FALLA SUMINISTRO</c:v>
                </c:pt>
                <c:pt idx="3">
                  <c:v>FALTA HERRAMIENTA</c:v>
                </c:pt>
                <c:pt idx="4">
                  <c:v>AUSENCIA PERSONAL</c:v>
                </c:pt>
                <c:pt idx="5">
                  <c:v>ESPERA PROSESO</c:v>
                </c:pt>
                <c:pt idx="6">
                  <c:v>CAMBIO PRIORIDAD</c:v>
                </c:pt>
                <c:pt idx="7">
                  <c:v>PROBLEMA EN CAMION</c:v>
                </c:pt>
                <c:pt idx="8">
                  <c:v>REPROCESO</c:v>
                </c:pt>
                <c:pt idx="9">
                  <c:v>GARANTIA</c:v>
                </c:pt>
                <c:pt idx="10">
                  <c:v>SIN INFORMACION</c:v>
                </c:pt>
                <c:pt idx="11">
                  <c:v>SIN CAMION</c:v>
                </c:pt>
                <c:pt idx="12">
                  <c:v>ESPERA TERCEROS</c:v>
                </c:pt>
              </c:strCache>
            </c:strRef>
          </c:cat>
          <c:val>
            <c:numRef>
              <c:f>'Resume 2022'!$N$164:$N$175</c:f>
              <c:numCache>
                <c:formatCode>General</c:formatCode>
                <c:ptCount val="12"/>
                <c:pt idx="0">
                  <c:v>6</c:v>
                </c:pt>
                <c:pt idx="1">
                  <c:v>4</c:v>
                </c:pt>
                <c:pt idx="2">
                  <c:v>0</c:v>
                </c:pt>
                <c:pt idx="3">
                  <c:v>0</c:v>
                </c:pt>
                <c:pt idx="4">
                  <c:v>37</c:v>
                </c:pt>
                <c:pt idx="5">
                  <c:v>0</c:v>
                </c:pt>
                <c:pt idx="6">
                  <c:v>4</c:v>
                </c:pt>
                <c:pt idx="7">
                  <c:v>2</c:v>
                </c:pt>
                <c:pt idx="8">
                  <c:v>11</c:v>
                </c:pt>
                <c:pt idx="9">
                  <c:v>12</c:v>
                </c:pt>
                <c:pt idx="10">
                  <c:v>4</c:v>
                </c:pt>
                <c:pt idx="11">
                  <c:v>0</c:v>
                </c:pt>
              </c:numCache>
            </c:numRef>
          </c:val>
          <c:extLst>
            <c:ext xmlns:c16="http://schemas.microsoft.com/office/drawing/2014/chart" uri="{C3380CC4-5D6E-409C-BE32-E72D297353CC}">
              <c16:uniqueId val="{00000007-D388-45BE-9EE4-EE6780475443}"/>
            </c:ext>
          </c:extLst>
        </c:ser>
        <c:ser>
          <c:idx val="7"/>
          <c:order val="7"/>
          <c:tx>
            <c:strRef>
              <c:f>'Resume 2022'!$P$163:$Q$163</c:f>
              <c:strCache>
                <c:ptCount val="1"/>
                <c:pt idx="0">
                  <c:v>Agosto</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2022'!$A$164:$A$176</c:f>
              <c:strCache>
                <c:ptCount val="13"/>
                <c:pt idx="0">
                  <c:v>FALLA MAQUINARIA</c:v>
                </c:pt>
                <c:pt idx="1">
                  <c:v>FALTA MATERIAL</c:v>
                </c:pt>
                <c:pt idx="2">
                  <c:v>FALLA SUMINISTRO</c:v>
                </c:pt>
                <c:pt idx="3">
                  <c:v>FALTA HERRAMIENTA</c:v>
                </c:pt>
                <c:pt idx="4">
                  <c:v>AUSENCIA PERSONAL</c:v>
                </c:pt>
                <c:pt idx="5">
                  <c:v>ESPERA PROSESO</c:v>
                </c:pt>
                <c:pt idx="6">
                  <c:v>CAMBIO PRIORIDAD</c:v>
                </c:pt>
                <c:pt idx="7">
                  <c:v>PROBLEMA EN CAMION</c:v>
                </c:pt>
                <c:pt idx="8">
                  <c:v>REPROCESO</c:v>
                </c:pt>
                <c:pt idx="9">
                  <c:v>GARANTIA</c:v>
                </c:pt>
                <c:pt idx="10">
                  <c:v>SIN INFORMACION</c:v>
                </c:pt>
                <c:pt idx="11">
                  <c:v>SIN CAMION</c:v>
                </c:pt>
                <c:pt idx="12">
                  <c:v>ESPERA TERCEROS</c:v>
                </c:pt>
              </c:strCache>
            </c:strRef>
          </c:cat>
          <c:val>
            <c:numRef>
              <c:f>'Resume 2022'!$P$164:$P$175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D388-45BE-9EE4-EE6780475443}"/>
            </c:ext>
          </c:extLst>
        </c:ser>
        <c:ser>
          <c:idx val="8"/>
          <c:order val="8"/>
          <c:tx>
            <c:strRef>
              <c:f>'Resume 2022'!$R$163:$S$163</c:f>
              <c:strCache>
                <c:ptCount val="1"/>
                <c:pt idx="0">
                  <c:v>Septiembre </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2022'!$A$164:$A$176</c:f>
              <c:strCache>
                <c:ptCount val="13"/>
                <c:pt idx="0">
                  <c:v>FALLA MAQUINARIA</c:v>
                </c:pt>
                <c:pt idx="1">
                  <c:v>FALTA MATERIAL</c:v>
                </c:pt>
                <c:pt idx="2">
                  <c:v>FALLA SUMINISTRO</c:v>
                </c:pt>
                <c:pt idx="3">
                  <c:v>FALTA HERRAMIENTA</c:v>
                </c:pt>
                <c:pt idx="4">
                  <c:v>AUSENCIA PERSONAL</c:v>
                </c:pt>
                <c:pt idx="5">
                  <c:v>ESPERA PROSESO</c:v>
                </c:pt>
                <c:pt idx="6">
                  <c:v>CAMBIO PRIORIDAD</c:v>
                </c:pt>
                <c:pt idx="7">
                  <c:v>PROBLEMA EN CAMION</c:v>
                </c:pt>
                <c:pt idx="8">
                  <c:v>REPROCESO</c:v>
                </c:pt>
                <c:pt idx="9">
                  <c:v>GARANTIA</c:v>
                </c:pt>
                <c:pt idx="10">
                  <c:v>SIN INFORMACION</c:v>
                </c:pt>
                <c:pt idx="11">
                  <c:v>SIN CAMION</c:v>
                </c:pt>
                <c:pt idx="12">
                  <c:v>ESPERA TERCEROS</c:v>
                </c:pt>
              </c:strCache>
            </c:strRef>
          </c:cat>
          <c:val>
            <c:numRef>
              <c:f>'Resume 2022'!$R$164:$R$175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9-D388-45BE-9EE4-EE6780475443}"/>
            </c:ext>
          </c:extLst>
        </c:ser>
        <c:ser>
          <c:idx val="9"/>
          <c:order val="9"/>
          <c:tx>
            <c:strRef>
              <c:f>'Resume 2022'!$T$163:$U$163</c:f>
              <c:strCache>
                <c:ptCount val="1"/>
                <c:pt idx="0">
                  <c:v>Octubre</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2022'!$A$164:$A$176</c:f>
              <c:strCache>
                <c:ptCount val="13"/>
                <c:pt idx="0">
                  <c:v>FALLA MAQUINARIA</c:v>
                </c:pt>
                <c:pt idx="1">
                  <c:v>FALTA MATERIAL</c:v>
                </c:pt>
                <c:pt idx="2">
                  <c:v>FALLA SUMINISTRO</c:v>
                </c:pt>
                <c:pt idx="3">
                  <c:v>FALTA HERRAMIENTA</c:v>
                </c:pt>
                <c:pt idx="4">
                  <c:v>AUSENCIA PERSONAL</c:v>
                </c:pt>
                <c:pt idx="5">
                  <c:v>ESPERA PROSESO</c:v>
                </c:pt>
                <c:pt idx="6">
                  <c:v>CAMBIO PRIORIDAD</c:v>
                </c:pt>
                <c:pt idx="7">
                  <c:v>PROBLEMA EN CAMION</c:v>
                </c:pt>
                <c:pt idx="8">
                  <c:v>REPROCESO</c:v>
                </c:pt>
                <c:pt idx="9">
                  <c:v>GARANTIA</c:v>
                </c:pt>
                <c:pt idx="10">
                  <c:v>SIN INFORMACION</c:v>
                </c:pt>
                <c:pt idx="11">
                  <c:v>SIN CAMION</c:v>
                </c:pt>
                <c:pt idx="12">
                  <c:v>ESPERA TERCEROS</c:v>
                </c:pt>
              </c:strCache>
            </c:strRef>
          </c:cat>
          <c:val>
            <c:numRef>
              <c:f>'Resume 2022'!$T$164:$T$175</c:f>
              <c:numCache>
                <c:formatCode>General</c:formatCode>
                <c:ptCount val="12"/>
                <c:pt idx="0">
                  <c:v>0</c:v>
                </c:pt>
                <c:pt idx="1">
                  <c:v>2</c:v>
                </c:pt>
                <c:pt idx="2">
                  <c:v>0</c:v>
                </c:pt>
                <c:pt idx="3">
                  <c:v>0</c:v>
                </c:pt>
                <c:pt idx="4">
                  <c:v>10</c:v>
                </c:pt>
                <c:pt idx="5">
                  <c:v>0</c:v>
                </c:pt>
                <c:pt idx="6">
                  <c:v>3</c:v>
                </c:pt>
                <c:pt idx="7">
                  <c:v>0</c:v>
                </c:pt>
                <c:pt idx="8">
                  <c:v>0</c:v>
                </c:pt>
                <c:pt idx="9">
                  <c:v>0</c:v>
                </c:pt>
                <c:pt idx="10">
                  <c:v>0</c:v>
                </c:pt>
                <c:pt idx="11">
                  <c:v>0</c:v>
                </c:pt>
              </c:numCache>
            </c:numRef>
          </c:val>
          <c:extLst>
            <c:ext xmlns:c16="http://schemas.microsoft.com/office/drawing/2014/chart" uri="{C3380CC4-5D6E-409C-BE32-E72D297353CC}">
              <c16:uniqueId val="{0000000A-D388-45BE-9EE4-EE6780475443}"/>
            </c:ext>
          </c:extLst>
        </c:ser>
        <c:ser>
          <c:idx val="10"/>
          <c:order val="10"/>
          <c:tx>
            <c:strRef>
              <c:f>'Resume 2022'!$V$163:$W$163</c:f>
              <c:strCache>
                <c:ptCount val="1"/>
                <c:pt idx="0">
                  <c:v>Noviembre</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2022'!$A$164:$A$176</c:f>
              <c:strCache>
                <c:ptCount val="13"/>
                <c:pt idx="0">
                  <c:v>FALLA MAQUINARIA</c:v>
                </c:pt>
                <c:pt idx="1">
                  <c:v>FALTA MATERIAL</c:v>
                </c:pt>
                <c:pt idx="2">
                  <c:v>FALLA SUMINISTRO</c:v>
                </c:pt>
                <c:pt idx="3">
                  <c:v>FALTA HERRAMIENTA</c:v>
                </c:pt>
                <c:pt idx="4">
                  <c:v>AUSENCIA PERSONAL</c:v>
                </c:pt>
                <c:pt idx="5">
                  <c:v>ESPERA PROSESO</c:v>
                </c:pt>
                <c:pt idx="6">
                  <c:v>CAMBIO PRIORIDAD</c:v>
                </c:pt>
                <c:pt idx="7">
                  <c:v>PROBLEMA EN CAMION</c:v>
                </c:pt>
                <c:pt idx="8">
                  <c:v>REPROCESO</c:v>
                </c:pt>
                <c:pt idx="9">
                  <c:v>GARANTIA</c:v>
                </c:pt>
                <c:pt idx="10">
                  <c:v>SIN INFORMACION</c:v>
                </c:pt>
                <c:pt idx="11">
                  <c:v>SIN CAMION</c:v>
                </c:pt>
                <c:pt idx="12">
                  <c:v>ESPERA TERCEROS</c:v>
                </c:pt>
              </c:strCache>
            </c:strRef>
          </c:cat>
          <c:val>
            <c:numRef>
              <c:f>'Resume 2022'!$V$164:$V$175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D388-45BE-9EE4-EE6780475443}"/>
            </c:ext>
          </c:extLst>
        </c:ser>
        <c:ser>
          <c:idx val="11"/>
          <c:order val="11"/>
          <c:tx>
            <c:strRef>
              <c:f>'Resume 2022'!$X$163:$Y$163</c:f>
              <c:strCache>
                <c:ptCount val="1"/>
                <c:pt idx="0">
                  <c:v>Diciembre</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'Resume 2022'!$A$164:$A$176</c:f>
              <c:strCache>
                <c:ptCount val="13"/>
                <c:pt idx="0">
                  <c:v>FALLA MAQUINARIA</c:v>
                </c:pt>
                <c:pt idx="1">
                  <c:v>FALTA MATERIAL</c:v>
                </c:pt>
                <c:pt idx="2">
                  <c:v>FALLA SUMINISTRO</c:v>
                </c:pt>
                <c:pt idx="3">
                  <c:v>FALTA HERRAMIENTA</c:v>
                </c:pt>
                <c:pt idx="4">
                  <c:v>AUSENCIA PERSONAL</c:v>
                </c:pt>
                <c:pt idx="5">
                  <c:v>ESPERA PROSESO</c:v>
                </c:pt>
                <c:pt idx="6">
                  <c:v>CAMBIO PRIORIDAD</c:v>
                </c:pt>
                <c:pt idx="7">
                  <c:v>PROBLEMA EN CAMION</c:v>
                </c:pt>
                <c:pt idx="8">
                  <c:v>REPROCESO</c:v>
                </c:pt>
                <c:pt idx="9">
                  <c:v>GARANTIA</c:v>
                </c:pt>
                <c:pt idx="10">
                  <c:v>SIN INFORMACION</c:v>
                </c:pt>
                <c:pt idx="11">
                  <c:v>SIN CAMION</c:v>
                </c:pt>
                <c:pt idx="12">
                  <c:v>ESPERA TERCEROS</c:v>
                </c:pt>
              </c:strCache>
            </c:strRef>
          </c:cat>
          <c:val>
            <c:numRef>
              <c:f>'Resume 2022'!$X$164:$X$175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C-D388-45BE-9EE4-EE6780475443}"/>
            </c:ext>
          </c:extLst>
        </c:ser>
        <c:dLbls>
          <c:dLblPos val="outEnd"/>
          <c:showLegendKey val="0"/>
          <c:showVal val="1"/>
          <c:showCatName val="0"/>
          <c:showSerName val="0"/>
          <c:showPercent val="0"/>
          <c:showBubbleSize val="0"/>
        </c:dLbls>
        <c:gapWidth val="267"/>
        <c:overlap val="-43"/>
        <c:axId val="637655088"/>
        <c:axId val="637654760"/>
      </c:barChart>
      <c:catAx>
        <c:axId val="63765508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637654760"/>
        <c:crosses val="autoZero"/>
        <c:auto val="1"/>
        <c:lblAlgn val="ctr"/>
        <c:lblOffset val="100"/>
        <c:noMultiLvlLbl val="0"/>
      </c:catAx>
      <c:valAx>
        <c:axId val="63765476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637655088"/>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9.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0.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chart" Target="../charts/chart37.xml"/><Relationship Id="rId1" Type="http://schemas.openxmlformats.org/officeDocument/2006/relationships/chart" Target="../charts/chart36.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53.xml"/><Relationship Id="rId2" Type="http://schemas.openxmlformats.org/officeDocument/2006/relationships/chart" Target="../charts/chart52.xml"/><Relationship Id="rId1" Type="http://schemas.openxmlformats.org/officeDocument/2006/relationships/chart" Target="../charts/chart51.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56.xml"/><Relationship Id="rId2" Type="http://schemas.openxmlformats.org/officeDocument/2006/relationships/chart" Target="../charts/chart55.xml"/><Relationship Id="rId1" Type="http://schemas.openxmlformats.org/officeDocument/2006/relationships/chart" Target="../charts/chart54.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59.xml"/><Relationship Id="rId2" Type="http://schemas.openxmlformats.org/officeDocument/2006/relationships/chart" Target="../charts/chart58.xml"/><Relationship Id="rId1" Type="http://schemas.openxmlformats.org/officeDocument/2006/relationships/chart" Target="../charts/chart57.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62.xml"/><Relationship Id="rId2" Type="http://schemas.openxmlformats.org/officeDocument/2006/relationships/chart" Target="../charts/chart61.xml"/><Relationship Id="rId1" Type="http://schemas.openxmlformats.org/officeDocument/2006/relationships/chart" Target="../charts/chart60.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65.xml"/><Relationship Id="rId2" Type="http://schemas.openxmlformats.org/officeDocument/2006/relationships/chart" Target="../charts/chart64.xml"/><Relationship Id="rId1" Type="http://schemas.openxmlformats.org/officeDocument/2006/relationships/chart" Target="../charts/chart63.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68.xml"/><Relationship Id="rId2" Type="http://schemas.openxmlformats.org/officeDocument/2006/relationships/chart" Target="../charts/chart67.xml"/><Relationship Id="rId1" Type="http://schemas.openxmlformats.org/officeDocument/2006/relationships/chart" Target="../charts/chart66.xml"/></Relationships>
</file>

<file path=xl/drawings/_rels/drawing26.xml.rels><?xml version="1.0" encoding="UTF-8" standalone="yes"?>
<Relationships xmlns="http://schemas.openxmlformats.org/package/2006/relationships"><Relationship Id="rId3" Type="http://schemas.openxmlformats.org/officeDocument/2006/relationships/chart" Target="../charts/chart71.xml"/><Relationship Id="rId2" Type="http://schemas.openxmlformats.org/officeDocument/2006/relationships/chart" Target="../charts/chart70.xml"/><Relationship Id="rId1" Type="http://schemas.openxmlformats.org/officeDocument/2006/relationships/chart" Target="../charts/chart69.xml"/><Relationship Id="rId5" Type="http://schemas.openxmlformats.org/officeDocument/2006/relationships/chart" Target="../charts/chart73.xml"/><Relationship Id="rId4" Type="http://schemas.openxmlformats.org/officeDocument/2006/relationships/chart" Target="../charts/chart72.xml"/></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áfico 1" descr="Diagrama de Gantt con relleno sólid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28013</xdr:colOff>
      <xdr:row>48</xdr:row>
      <xdr:rowOff>129987</xdr:rowOff>
    </xdr:from>
    <xdr:to>
      <xdr:col>5</xdr:col>
      <xdr:colOff>1030940</xdr:colOff>
      <xdr:row>68</xdr:row>
      <xdr:rowOff>112058</xdr:rowOff>
    </xdr:to>
    <xdr:graphicFrame macro="">
      <xdr:nvGraphicFramePr>
        <xdr:cNvPr id="2" name="Gráfico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28013</xdr:colOff>
      <xdr:row>48</xdr:row>
      <xdr:rowOff>129987</xdr:rowOff>
    </xdr:from>
    <xdr:to>
      <xdr:col>5</xdr:col>
      <xdr:colOff>1030940</xdr:colOff>
      <xdr:row>68</xdr:row>
      <xdr:rowOff>112058</xdr:rowOff>
    </xdr:to>
    <xdr:graphicFrame macro="">
      <xdr:nvGraphicFramePr>
        <xdr:cNvPr id="2" name="Gráfico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212909</xdr:colOff>
      <xdr:row>127</xdr:row>
      <xdr:rowOff>96371</xdr:rowOff>
    </xdr:from>
    <xdr:to>
      <xdr:col>8</xdr:col>
      <xdr:colOff>212912</xdr:colOff>
      <xdr:row>143</xdr:row>
      <xdr:rowOff>89647</xdr:rowOff>
    </xdr:to>
    <xdr:graphicFrame macro="">
      <xdr:nvGraphicFramePr>
        <xdr:cNvPr id="15" name="Gráfico 14">
          <a:extLst>
            <a:ext uri="{FF2B5EF4-FFF2-40B4-BE49-F238E27FC236}">
              <a16:creationId xmlns:a16="http://schemas.microsoft.com/office/drawing/2014/main" id="{00000000-0008-0000-07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144</xdr:row>
      <xdr:rowOff>44823</xdr:rowOff>
    </xdr:from>
    <xdr:to>
      <xdr:col>8</xdr:col>
      <xdr:colOff>212915</xdr:colOff>
      <xdr:row>160</xdr:row>
      <xdr:rowOff>38099</xdr:rowOff>
    </xdr:to>
    <xdr:graphicFrame macro="">
      <xdr:nvGraphicFramePr>
        <xdr:cNvPr id="16" name="Gráfico 15">
          <a:extLst>
            <a:ext uri="{FF2B5EF4-FFF2-40B4-BE49-F238E27FC236}">
              <a16:creationId xmlns:a16="http://schemas.microsoft.com/office/drawing/2014/main" id="{00000000-0008-0000-0700-000010000000}"/>
            </a:ext>
            <a:ext uri="{147F2762-F138-4A5C-976F-8EAC2B608ADB}">
              <a16:predDERef xmlns:a16="http://schemas.microsoft.com/office/drawing/2014/main" pred="{00000000-0008-0000-07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168</xdr:row>
      <xdr:rowOff>129987</xdr:rowOff>
    </xdr:from>
    <xdr:to>
      <xdr:col>6</xdr:col>
      <xdr:colOff>1030940</xdr:colOff>
      <xdr:row>188</xdr:row>
      <xdr:rowOff>112058</xdr:rowOff>
    </xdr:to>
    <xdr:graphicFrame macro="">
      <xdr:nvGraphicFramePr>
        <xdr:cNvPr id="3" name="Gráfico 2">
          <a:extLst>
            <a:ext uri="{FF2B5EF4-FFF2-40B4-BE49-F238E27FC236}">
              <a16:creationId xmlns:a16="http://schemas.microsoft.com/office/drawing/2014/main" id="{00000000-0008-0000-0700-000003000000}"/>
            </a:ext>
            <a:ext uri="{147F2762-F138-4A5C-976F-8EAC2B608ADB}">
              <a16:predDERef xmlns:a16="http://schemas.microsoft.com/office/drawing/2014/main" pred="{00000000-0008-0000-07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212909</xdr:colOff>
      <xdr:row>123</xdr:row>
      <xdr:rowOff>96371</xdr:rowOff>
    </xdr:from>
    <xdr:to>
      <xdr:col>8</xdr:col>
      <xdr:colOff>212912</xdr:colOff>
      <xdr:row>139</xdr:row>
      <xdr:rowOff>89647</xdr:rowOff>
    </xdr:to>
    <xdr:graphicFrame macro="">
      <xdr:nvGraphicFramePr>
        <xdr:cNvPr id="2" name="Gráfico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267186</xdr:colOff>
      <xdr:row>141</xdr:row>
      <xdr:rowOff>93670</xdr:rowOff>
    </xdr:from>
    <xdr:to>
      <xdr:col>8</xdr:col>
      <xdr:colOff>267189</xdr:colOff>
      <xdr:row>157</xdr:row>
      <xdr:rowOff>86945</xdr:rowOff>
    </xdr:to>
    <xdr:graphicFrame macro="">
      <xdr:nvGraphicFramePr>
        <xdr:cNvPr id="6" name="Gráfico 2">
          <a:extLst>
            <a:ext uri="{FF2B5EF4-FFF2-40B4-BE49-F238E27FC236}">
              <a16:creationId xmlns:a16="http://schemas.microsoft.com/office/drawing/2014/main" id="{00000000-0008-0000-0800-000006000000}"/>
            </a:ext>
            <a:ext uri="{147F2762-F138-4A5C-976F-8EAC2B608ADB}">
              <a16:predDERef xmlns:a16="http://schemas.microsoft.com/office/drawing/2014/main" pre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164</xdr:row>
      <xdr:rowOff>129987</xdr:rowOff>
    </xdr:from>
    <xdr:to>
      <xdr:col>6</xdr:col>
      <xdr:colOff>1030940</xdr:colOff>
      <xdr:row>184</xdr:row>
      <xdr:rowOff>112058</xdr:rowOff>
    </xdr:to>
    <xdr:graphicFrame macro="">
      <xdr:nvGraphicFramePr>
        <xdr:cNvPr id="4" name="Gráfico 3">
          <a:extLst>
            <a:ext uri="{FF2B5EF4-FFF2-40B4-BE49-F238E27FC236}">
              <a16:creationId xmlns:a16="http://schemas.microsoft.com/office/drawing/2014/main" id="{00000000-0008-0000-0800-000004000000}"/>
            </a:ext>
            <a:ext uri="{147F2762-F138-4A5C-976F-8EAC2B608ADB}">
              <a16:predDERef xmlns:a16="http://schemas.microsoft.com/office/drawing/2014/main" pred="{00000000-0008-0000-0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212909</xdr:colOff>
      <xdr:row>144</xdr:row>
      <xdr:rowOff>96371</xdr:rowOff>
    </xdr:from>
    <xdr:to>
      <xdr:col>8</xdr:col>
      <xdr:colOff>212912</xdr:colOff>
      <xdr:row>160</xdr:row>
      <xdr:rowOff>89647</xdr:rowOff>
    </xdr:to>
    <xdr:graphicFrame macro="">
      <xdr:nvGraphicFramePr>
        <xdr:cNvPr id="8" name="Gráfico 1">
          <a:extLst>
            <a:ext uri="{FF2B5EF4-FFF2-40B4-BE49-F238E27FC236}">
              <a16:creationId xmlns:a16="http://schemas.microsoft.com/office/drawing/2014/main" id="{00000000-0008-0000-09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161</xdr:row>
      <xdr:rowOff>44823</xdr:rowOff>
    </xdr:from>
    <xdr:to>
      <xdr:col>8</xdr:col>
      <xdr:colOff>212915</xdr:colOff>
      <xdr:row>177</xdr:row>
      <xdr:rowOff>38099</xdr:rowOff>
    </xdr:to>
    <xdr:graphicFrame macro="">
      <xdr:nvGraphicFramePr>
        <xdr:cNvPr id="3" name="Gráfico 2">
          <a:extLst>
            <a:ext uri="{FF2B5EF4-FFF2-40B4-BE49-F238E27FC236}">
              <a16:creationId xmlns:a16="http://schemas.microsoft.com/office/drawing/2014/main" id="{00000000-0008-0000-0900-000003000000}"/>
            </a:ext>
            <a:ext uri="{147F2762-F138-4A5C-976F-8EAC2B608ADB}">
              <a16:predDERef xmlns:a16="http://schemas.microsoft.com/office/drawing/2014/main" pred="{00000000-0008-0000-09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185</xdr:row>
      <xdr:rowOff>129987</xdr:rowOff>
    </xdr:from>
    <xdr:to>
      <xdr:col>6</xdr:col>
      <xdr:colOff>1030940</xdr:colOff>
      <xdr:row>205</xdr:row>
      <xdr:rowOff>112058</xdr:rowOff>
    </xdr:to>
    <xdr:graphicFrame macro="">
      <xdr:nvGraphicFramePr>
        <xdr:cNvPr id="4" name="Gráfico 3">
          <a:extLst>
            <a:ext uri="{FF2B5EF4-FFF2-40B4-BE49-F238E27FC236}">
              <a16:creationId xmlns:a16="http://schemas.microsoft.com/office/drawing/2014/main" id="{00000000-0008-0000-0900-000004000000}"/>
            </a:ext>
            <a:ext uri="{147F2762-F138-4A5C-976F-8EAC2B608ADB}">
              <a16:predDERef xmlns:a16="http://schemas.microsoft.com/office/drawing/2014/main" pre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212909</xdr:colOff>
      <xdr:row>157</xdr:row>
      <xdr:rowOff>96371</xdr:rowOff>
    </xdr:from>
    <xdr:to>
      <xdr:col>8</xdr:col>
      <xdr:colOff>212912</xdr:colOff>
      <xdr:row>173</xdr:row>
      <xdr:rowOff>89647</xdr:rowOff>
    </xdr:to>
    <xdr:graphicFrame macro="">
      <xdr:nvGraphicFramePr>
        <xdr:cNvPr id="2" name="Gráfico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174</xdr:row>
      <xdr:rowOff>44823</xdr:rowOff>
    </xdr:from>
    <xdr:to>
      <xdr:col>8</xdr:col>
      <xdr:colOff>212915</xdr:colOff>
      <xdr:row>190</xdr:row>
      <xdr:rowOff>38099</xdr:rowOff>
    </xdr:to>
    <xdr:graphicFrame macro="">
      <xdr:nvGraphicFramePr>
        <xdr:cNvPr id="3" name="Gráfico 2">
          <a:extLst>
            <a:ext uri="{FF2B5EF4-FFF2-40B4-BE49-F238E27FC236}">
              <a16:creationId xmlns:a16="http://schemas.microsoft.com/office/drawing/2014/main" id="{00000000-0008-0000-0A00-000003000000}"/>
            </a:ext>
            <a:ext uri="{147F2762-F138-4A5C-976F-8EAC2B608ADB}">
              <a16:predDERef xmlns:a16="http://schemas.microsoft.com/office/drawing/2014/main" pre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198</xdr:row>
      <xdr:rowOff>129987</xdr:rowOff>
    </xdr:from>
    <xdr:to>
      <xdr:col>6</xdr:col>
      <xdr:colOff>1030940</xdr:colOff>
      <xdr:row>218</xdr:row>
      <xdr:rowOff>112058</xdr:rowOff>
    </xdr:to>
    <xdr:graphicFrame macro="">
      <xdr:nvGraphicFramePr>
        <xdr:cNvPr id="4" name="Gráfico 3">
          <a:extLst>
            <a:ext uri="{FF2B5EF4-FFF2-40B4-BE49-F238E27FC236}">
              <a16:creationId xmlns:a16="http://schemas.microsoft.com/office/drawing/2014/main" id="{00000000-0008-0000-0A00-000004000000}"/>
            </a:ext>
            <a:ext uri="{147F2762-F138-4A5C-976F-8EAC2B608ADB}">
              <a16:predDERef xmlns:a16="http://schemas.microsoft.com/office/drawing/2014/main" pre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212909</xdr:colOff>
      <xdr:row>169</xdr:row>
      <xdr:rowOff>96371</xdr:rowOff>
    </xdr:from>
    <xdr:to>
      <xdr:col>8</xdr:col>
      <xdr:colOff>212912</xdr:colOff>
      <xdr:row>185</xdr:row>
      <xdr:rowOff>89647</xdr:rowOff>
    </xdr:to>
    <xdr:graphicFrame macro="">
      <xdr:nvGraphicFramePr>
        <xdr:cNvPr id="2" name="Gráfico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186</xdr:row>
      <xdr:rowOff>44823</xdr:rowOff>
    </xdr:from>
    <xdr:to>
      <xdr:col>8</xdr:col>
      <xdr:colOff>212915</xdr:colOff>
      <xdr:row>202</xdr:row>
      <xdr:rowOff>38099</xdr:rowOff>
    </xdr:to>
    <xdr:graphicFrame macro="">
      <xdr:nvGraphicFramePr>
        <xdr:cNvPr id="3" name="Gráfico 2">
          <a:extLst>
            <a:ext uri="{FF2B5EF4-FFF2-40B4-BE49-F238E27FC236}">
              <a16:creationId xmlns:a16="http://schemas.microsoft.com/office/drawing/2014/main" id="{00000000-0008-0000-0B00-000003000000}"/>
            </a:ext>
            <a:ext uri="{147F2762-F138-4A5C-976F-8EAC2B608ADB}">
              <a16:predDERef xmlns:a16="http://schemas.microsoft.com/office/drawing/2014/main" pre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210</xdr:row>
      <xdr:rowOff>129987</xdr:rowOff>
    </xdr:from>
    <xdr:to>
      <xdr:col>6</xdr:col>
      <xdr:colOff>1030940</xdr:colOff>
      <xdr:row>230</xdr:row>
      <xdr:rowOff>112058</xdr:rowOff>
    </xdr:to>
    <xdr:graphicFrame macro="">
      <xdr:nvGraphicFramePr>
        <xdr:cNvPr id="4" name="Gráfico 3">
          <a:extLst>
            <a:ext uri="{FF2B5EF4-FFF2-40B4-BE49-F238E27FC236}">
              <a16:creationId xmlns:a16="http://schemas.microsoft.com/office/drawing/2014/main" id="{00000000-0008-0000-0B00-000004000000}"/>
            </a:ext>
            <a:ext uri="{147F2762-F138-4A5C-976F-8EAC2B608ADB}">
              <a16:predDERef xmlns:a16="http://schemas.microsoft.com/office/drawing/2014/main" pre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212909</xdr:colOff>
      <xdr:row>66</xdr:row>
      <xdr:rowOff>96371</xdr:rowOff>
    </xdr:from>
    <xdr:to>
      <xdr:col>8</xdr:col>
      <xdr:colOff>212912</xdr:colOff>
      <xdr:row>82</xdr:row>
      <xdr:rowOff>89647</xdr:rowOff>
    </xdr:to>
    <xdr:graphicFrame macro="">
      <xdr:nvGraphicFramePr>
        <xdr:cNvPr id="2" name="Gráfico 1">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83</xdr:row>
      <xdr:rowOff>44823</xdr:rowOff>
    </xdr:from>
    <xdr:to>
      <xdr:col>8</xdr:col>
      <xdr:colOff>212915</xdr:colOff>
      <xdr:row>99</xdr:row>
      <xdr:rowOff>38099</xdr:rowOff>
    </xdr:to>
    <xdr:graphicFrame macro="">
      <xdr:nvGraphicFramePr>
        <xdr:cNvPr id="3" name="Gráfico 2">
          <a:extLst>
            <a:ext uri="{FF2B5EF4-FFF2-40B4-BE49-F238E27FC236}">
              <a16:creationId xmlns:a16="http://schemas.microsoft.com/office/drawing/2014/main" id="{00000000-0008-0000-0C00-000003000000}"/>
            </a:ext>
            <a:ext uri="{147F2762-F138-4A5C-976F-8EAC2B608ADB}">
              <a16:predDERef xmlns:a16="http://schemas.microsoft.com/office/drawing/2014/main" pre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107</xdr:row>
      <xdr:rowOff>129987</xdr:rowOff>
    </xdr:from>
    <xdr:to>
      <xdr:col>6</xdr:col>
      <xdr:colOff>1030940</xdr:colOff>
      <xdr:row>127</xdr:row>
      <xdr:rowOff>112058</xdr:rowOff>
    </xdr:to>
    <xdr:graphicFrame macro="">
      <xdr:nvGraphicFramePr>
        <xdr:cNvPr id="4" name="Gráfico 3">
          <a:extLst>
            <a:ext uri="{FF2B5EF4-FFF2-40B4-BE49-F238E27FC236}">
              <a16:creationId xmlns:a16="http://schemas.microsoft.com/office/drawing/2014/main" id="{00000000-0008-0000-0C00-000004000000}"/>
            </a:ext>
            <a:ext uri="{147F2762-F138-4A5C-976F-8EAC2B608ADB}">
              <a16:predDERef xmlns:a16="http://schemas.microsoft.com/office/drawing/2014/main" pre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212909</xdr:colOff>
      <xdr:row>68</xdr:row>
      <xdr:rowOff>96371</xdr:rowOff>
    </xdr:from>
    <xdr:to>
      <xdr:col>8</xdr:col>
      <xdr:colOff>212912</xdr:colOff>
      <xdr:row>84</xdr:row>
      <xdr:rowOff>89647</xdr:rowOff>
    </xdr:to>
    <xdr:graphicFrame macro="">
      <xdr:nvGraphicFramePr>
        <xdr:cNvPr id="2" name="Gráfico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85</xdr:row>
      <xdr:rowOff>44823</xdr:rowOff>
    </xdr:from>
    <xdr:to>
      <xdr:col>8</xdr:col>
      <xdr:colOff>212915</xdr:colOff>
      <xdr:row>101</xdr:row>
      <xdr:rowOff>38099</xdr:rowOff>
    </xdr:to>
    <xdr:graphicFrame macro="">
      <xdr:nvGraphicFramePr>
        <xdr:cNvPr id="3" name="Gráfico 2">
          <a:extLst>
            <a:ext uri="{FF2B5EF4-FFF2-40B4-BE49-F238E27FC236}">
              <a16:creationId xmlns:a16="http://schemas.microsoft.com/office/drawing/2014/main" id="{00000000-0008-0000-0D00-000003000000}"/>
            </a:ext>
            <a:ext uri="{147F2762-F138-4A5C-976F-8EAC2B608ADB}">
              <a16:predDERef xmlns:a16="http://schemas.microsoft.com/office/drawing/2014/main" pre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109</xdr:row>
      <xdr:rowOff>129987</xdr:rowOff>
    </xdr:from>
    <xdr:to>
      <xdr:col>6</xdr:col>
      <xdr:colOff>1030940</xdr:colOff>
      <xdr:row>129</xdr:row>
      <xdr:rowOff>112058</xdr:rowOff>
    </xdr:to>
    <xdr:graphicFrame macro="">
      <xdr:nvGraphicFramePr>
        <xdr:cNvPr id="4" name="Gráfico 3">
          <a:extLst>
            <a:ext uri="{FF2B5EF4-FFF2-40B4-BE49-F238E27FC236}">
              <a16:creationId xmlns:a16="http://schemas.microsoft.com/office/drawing/2014/main" id="{00000000-0008-0000-0D00-000004000000}"/>
            </a:ext>
            <a:ext uri="{147F2762-F138-4A5C-976F-8EAC2B608ADB}">
              <a16:predDERef xmlns:a16="http://schemas.microsoft.com/office/drawing/2014/main" pre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212909</xdr:colOff>
      <xdr:row>106</xdr:row>
      <xdr:rowOff>96371</xdr:rowOff>
    </xdr:from>
    <xdr:to>
      <xdr:col>8</xdr:col>
      <xdr:colOff>212912</xdr:colOff>
      <xdr:row>122</xdr:row>
      <xdr:rowOff>89647</xdr:rowOff>
    </xdr:to>
    <xdr:graphicFrame macro="">
      <xdr:nvGraphicFramePr>
        <xdr:cNvPr id="2" name="Gráfico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123</xdr:row>
      <xdr:rowOff>44823</xdr:rowOff>
    </xdr:from>
    <xdr:to>
      <xdr:col>8</xdr:col>
      <xdr:colOff>212915</xdr:colOff>
      <xdr:row>139</xdr:row>
      <xdr:rowOff>38099</xdr:rowOff>
    </xdr:to>
    <xdr:graphicFrame macro="">
      <xdr:nvGraphicFramePr>
        <xdr:cNvPr id="3" name="Gráfico 2">
          <a:extLst>
            <a:ext uri="{FF2B5EF4-FFF2-40B4-BE49-F238E27FC236}">
              <a16:creationId xmlns:a16="http://schemas.microsoft.com/office/drawing/2014/main" id="{00000000-0008-0000-0E00-000003000000}"/>
            </a:ext>
            <a:ext uri="{147F2762-F138-4A5C-976F-8EAC2B608ADB}">
              <a16:predDERef xmlns:a16="http://schemas.microsoft.com/office/drawing/2014/main" pre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147</xdr:row>
      <xdr:rowOff>129987</xdr:rowOff>
    </xdr:from>
    <xdr:to>
      <xdr:col>6</xdr:col>
      <xdr:colOff>1030940</xdr:colOff>
      <xdr:row>167</xdr:row>
      <xdr:rowOff>112058</xdr:rowOff>
    </xdr:to>
    <xdr:graphicFrame macro="">
      <xdr:nvGraphicFramePr>
        <xdr:cNvPr id="4" name="Gráfico 3">
          <a:extLst>
            <a:ext uri="{FF2B5EF4-FFF2-40B4-BE49-F238E27FC236}">
              <a16:creationId xmlns:a16="http://schemas.microsoft.com/office/drawing/2014/main" id="{00000000-0008-0000-0E00-000004000000}"/>
            </a:ext>
            <a:ext uri="{147F2762-F138-4A5C-976F-8EAC2B608ADB}">
              <a16:predDERef xmlns:a16="http://schemas.microsoft.com/office/drawing/2014/main" pre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212909</xdr:colOff>
      <xdr:row>106</xdr:row>
      <xdr:rowOff>96371</xdr:rowOff>
    </xdr:from>
    <xdr:to>
      <xdr:col>8</xdr:col>
      <xdr:colOff>212912</xdr:colOff>
      <xdr:row>122</xdr:row>
      <xdr:rowOff>89647</xdr:rowOff>
    </xdr:to>
    <xdr:graphicFrame macro="">
      <xdr:nvGraphicFramePr>
        <xdr:cNvPr id="2" name="Gráfico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123</xdr:row>
      <xdr:rowOff>44823</xdr:rowOff>
    </xdr:from>
    <xdr:to>
      <xdr:col>8</xdr:col>
      <xdr:colOff>212915</xdr:colOff>
      <xdr:row>139</xdr:row>
      <xdr:rowOff>38099</xdr:rowOff>
    </xdr:to>
    <xdr:graphicFrame macro="">
      <xdr:nvGraphicFramePr>
        <xdr:cNvPr id="3" name="Gráfico 2">
          <a:extLst>
            <a:ext uri="{FF2B5EF4-FFF2-40B4-BE49-F238E27FC236}">
              <a16:creationId xmlns:a16="http://schemas.microsoft.com/office/drawing/2014/main" id="{00000000-0008-0000-0F00-000003000000}"/>
            </a:ext>
            <a:ext uri="{147F2762-F138-4A5C-976F-8EAC2B608ADB}">
              <a16:predDERef xmlns:a16="http://schemas.microsoft.com/office/drawing/2014/main" pre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147</xdr:row>
      <xdr:rowOff>129987</xdr:rowOff>
    </xdr:from>
    <xdr:to>
      <xdr:col>6</xdr:col>
      <xdr:colOff>1030940</xdr:colOff>
      <xdr:row>167</xdr:row>
      <xdr:rowOff>112058</xdr:rowOff>
    </xdr:to>
    <xdr:graphicFrame macro="">
      <xdr:nvGraphicFramePr>
        <xdr:cNvPr id="4" name="Gráfico 3">
          <a:extLst>
            <a:ext uri="{FF2B5EF4-FFF2-40B4-BE49-F238E27FC236}">
              <a16:creationId xmlns:a16="http://schemas.microsoft.com/office/drawing/2014/main" id="{00000000-0008-0000-0F00-000004000000}"/>
            </a:ext>
            <a:ext uri="{147F2762-F138-4A5C-976F-8EAC2B608ADB}">
              <a16:predDERef xmlns:a16="http://schemas.microsoft.com/office/drawing/2014/main" pre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212909</xdr:colOff>
      <xdr:row>106</xdr:row>
      <xdr:rowOff>96371</xdr:rowOff>
    </xdr:from>
    <xdr:to>
      <xdr:col>8</xdr:col>
      <xdr:colOff>212912</xdr:colOff>
      <xdr:row>122</xdr:row>
      <xdr:rowOff>89647</xdr:rowOff>
    </xdr:to>
    <xdr:graphicFrame macro="">
      <xdr:nvGraphicFramePr>
        <xdr:cNvPr id="2" name="Gráfico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123</xdr:row>
      <xdr:rowOff>44823</xdr:rowOff>
    </xdr:from>
    <xdr:to>
      <xdr:col>8</xdr:col>
      <xdr:colOff>212915</xdr:colOff>
      <xdr:row>139</xdr:row>
      <xdr:rowOff>38099</xdr:rowOff>
    </xdr:to>
    <xdr:graphicFrame macro="">
      <xdr:nvGraphicFramePr>
        <xdr:cNvPr id="3" name="Gráfico 2">
          <a:extLst>
            <a:ext uri="{FF2B5EF4-FFF2-40B4-BE49-F238E27FC236}">
              <a16:creationId xmlns:a16="http://schemas.microsoft.com/office/drawing/2014/main" id="{00000000-0008-0000-1000-000003000000}"/>
            </a:ext>
            <a:ext uri="{147F2762-F138-4A5C-976F-8EAC2B608ADB}">
              <a16:predDERef xmlns:a16="http://schemas.microsoft.com/office/drawing/2014/main" pre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147</xdr:row>
      <xdr:rowOff>129987</xdr:rowOff>
    </xdr:from>
    <xdr:to>
      <xdr:col>6</xdr:col>
      <xdr:colOff>1030940</xdr:colOff>
      <xdr:row>167</xdr:row>
      <xdr:rowOff>112058</xdr:rowOff>
    </xdr:to>
    <xdr:graphicFrame macro="">
      <xdr:nvGraphicFramePr>
        <xdr:cNvPr id="4" name="Gráfico 3">
          <a:extLst>
            <a:ext uri="{FF2B5EF4-FFF2-40B4-BE49-F238E27FC236}">
              <a16:creationId xmlns:a16="http://schemas.microsoft.com/office/drawing/2014/main" id="{00000000-0008-0000-1000-000004000000}"/>
            </a:ext>
            <a:ext uri="{147F2762-F138-4A5C-976F-8EAC2B608ADB}">
              <a16:predDERef xmlns:a16="http://schemas.microsoft.com/office/drawing/2014/main" pred="{00000000-0008-0000-1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4</xdr:col>
      <xdr:colOff>212909</xdr:colOff>
      <xdr:row>69</xdr:row>
      <xdr:rowOff>96371</xdr:rowOff>
    </xdr:from>
    <xdr:to>
      <xdr:col>8</xdr:col>
      <xdr:colOff>212912</xdr:colOff>
      <xdr:row>85</xdr:row>
      <xdr:rowOff>89647</xdr:rowOff>
    </xdr:to>
    <xdr:graphicFrame macro="">
      <xdr:nvGraphicFramePr>
        <xdr:cNvPr id="2" name="Gráfico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86</xdr:row>
      <xdr:rowOff>44823</xdr:rowOff>
    </xdr:from>
    <xdr:to>
      <xdr:col>8</xdr:col>
      <xdr:colOff>212915</xdr:colOff>
      <xdr:row>102</xdr:row>
      <xdr:rowOff>38099</xdr:rowOff>
    </xdr:to>
    <xdr:graphicFrame macro="">
      <xdr:nvGraphicFramePr>
        <xdr:cNvPr id="3" name="Gráfico 2">
          <a:extLst>
            <a:ext uri="{FF2B5EF4-FFF2-40B4-BE49-F238E27FC236}">
              <a16:creationId xmlns:a16="http://schemas.microsoft.com/office/drawing/2014/main" id="{00000000-0008-0000-1100-000003000000}"/>
            </a:ext>
            <a:ext uri="{147F2762-F138-4A5C-976F-8EAC2B608ADB}">
              <a16:predDERef xmlns:a16="http://schemas.microsoft.com/office/drawing/2014/main" pre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110</xdr:row>
      <xdr:rowOff>129987</xdr:rowOff>
    </xdr:from>
    <xdr:to>
      <xdr:col>6</xdr:col>
      <xdr:colOff>1030940</xdr:colOff>
      <xdr:row>130</xdr:row>
      <xdr:rowOff>112058</xdr:rowOff>
    </xdr:to>
    <xdr:graphicFrame macro="">
      <xdr:nvGraphicFramePr>
        <xdr:cNvPr id="4" name="Gráfico 3">
          <a:extLst>
            <a:ext uri="{FF2B5EF4-FFF2-40B4-BE49-F238E27FC236}">
              <a16:creationId xmlns:a16="http://schemas.microsoft.com/office/drawing/2014/main" id="{00000000-0008-0000-1100-000004000000}"/>
            </a:ext>
            <a:ext uri="{147F2762-F138-4A5C-976F-8EAC2B608ADB}">
              <a16:predDERef xmlns:a16="http://schemas.microsoft.com/office/drawing/2014/main" pred="{00000000-0008-0000-1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4</xdr:col>
      <xdr:colOff>527234</xdr:colOff>
      <xdr:row>106</xdr:row>
      <xdr:rowOff>77321</xdr:rowOff>
    </xdr:from>
    <xdr:to>
      <xdr:col>8</xdr:col>
      <xdr:colOff>527237</xdr:colOff>
      <xdr:row>122</xdr:row>
      <xdr:rowOff>70597</xdr:rowOff>
    </xdr:to>
    <xdr:graphicFrame macro="">
      <xdr:nvGraphicFramePr>
        <xdr:cNvPr id="2" name="Gráfico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508187</xdr:colOff>
      <xdr:row>123</xdr:row>
      <xdr:rowOff>54348</xdr:rowOff>
    </xdr:from>
    <xdr:to>
      <xdr:col>8</xdr:col>
      <xdr:colOff>508190</xdr:colOff>
      <xdr:row>139</xdr:row>
      <xdr:rowOff>47624</xdr:rowOff>
    </xdr:to>
    <xdr:graphicFrame macro="">
      <xdr:nvGraphicFramePr>
        <xdr:cNvPr id="3" name="Gráfico 2">
          <a:extLst>
            <a:ext uri="{FF2B5EF4-FFF2-40B4-BE49-F238E27FC236}">
              <a16:creationId xmlns:a16="http://schemas.microsoft.com/office/drawing/2014/main" id="{00000000-0008-0000-1200-000003000000}"/>
            </a:ext>
            <a:ext uri="{147F2762-F138-4A5C-976F-8EAC2B608ADB}">
              <a16:predDERef xmlns:a16="http://schemas.microsoft.com/office/drawing/2014/main" pre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147</xdr:row>
      <xdr:rowOff>129987</xdr:rowOff>
    </xdr:from>
    <xdr:to>
      <xdr:col>6</xdr:col>
      <xdr:colOff>1030940</xdr:colOff>
      <xdr:row>167</xdr:row>
      <xdr:rowOff>112058</xdr:rowOff>
    </xdr:to>
    <xdr:graphicFrame macro="">
      <xdr:nvGraphicFramePr>
        <xdr:cNvPr id="4" name="Gráfico 3">
          <a:extLst>
            <a:ext uri="{FF2B5EF4-FFF2-40B4-BE49-F238E27FC236}">
              <a16:creationId xmlns:a16="http://schemas.microsoft.com/office/drawing/2014/main" id="{00000000-0008-0000-1200-000004000000}"/>
            </a:ext>
            <a:ext uri="{147F2762-F138-4A5C-976F-8EAC2B608ADB}">
              <a16:predDERef xmlns:a16="http://schemas.microsoft.com/office/drawing/2014/main" pre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4</xdr:col>
      <xdr:colOff>212909</xdr:colOff>
      <xdr:row>106</xdr:row>
      <xdr:rowOff>96371</xdr:rowOff>
    </xdr:from>
    <xdr:to>
      <xdr:col>8</xdr:col>
      <xdr:colOff>212912</xdr:colOff>
      <xdr:row>122</xdr:row>
      <xdr:rowOff>89647</xdr:rowOff>
    </xdr:to>
    <xdr:graphicFrame macro="">
      <xdr:nvGraphicFramePr>
        <xdr:cNvPr id="2" name="Gráfico 1">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123</xdr:row>
      <xdr:rowOff>44823</xdr:rowOff>
    </xdr:from>
    <xdr:to>
      <xdr:col>8</xdr:col>
      <xdr:colOff>212915</xdr:colOff>
      <xdr:row>139</xdr:row>
      <xdr:rowOff>38099</xdr:rowOff>
    </xdr:to>
    <xdr:graphicFrame macro="">
      <xdr:nvGraphicFramePr>
        <xdr:cNvPr id="3" name="Gráfico 2">
          <a:extLst>
            <a:ext uri="{FF2B5EF4-FFF2-40B4-BE49-F238E27FC236}">
              <a16:creationId xmlns:a16="http://schemas.microsoft.com/office/drawing/2014/main" id="{00000000-0008-0000-1300-000003000000}"/>
            </a:ext>
            <a:ext uri="{147F2762-F138-4A5C-976F-8EAC2B608ADB}">
              <a16:predDERef xmlns:a16="http://schemas.microsoft.com/office/drawing/2014/main" pre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147</xdr:row>
      <xdr:rowOff>129987</xdr:rowOff>
    </xdr:from>
    <xdr:to>
      <xdr:col>6</xdr:col>
      <xdr:colOff>1030940</xdr:colOff>
      <xdr:row>167</xdr:row>
      <xdr:rowOff>112058</xdr:rowOff>
    </xdr:to>
    <xdr:graphicFrame macro="">
      <xdr:nvGraphicFramePr>
        <xdr:cNvPr id="4" name="Gráfico 3">
          <a:extLst>
            <a:ext uri="{FF2B5EF4-FFF2-40B4-BE49-F238E27FC236}">
              <a16:creationId xmlns:a16="http://schemas.microsoft.com/office/drawing/2014/main" id="{00000000-0008-0000-1300-000004000000}"/>
            </a:ext>
            <a:ext uri="{147F2762-F138-4A5C-976F-8EAC2B608ADB}">
              <a16:predDERef xmlns:a16="http://schemas.microsoft.com/office/drawing/2014/main" pred="{00000000-0008-0000-1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4</xdr:col>
      <xdr:colOff>212909</xdr:colOff>
      <xdr:row>106</xdr:row>
      <xdr:rowOff>96371</xdr:rowOff>
    </xdr:from>
    <xdr:to>
      <xdr:col>8</xdr:col>
      <xdr:colOff>212912</xdr:colOff>
      <xdr:row>122</xdr:row>
      <xdr:rowOff>89647</xdr:rowOff>
    </xdr:to>
    <xdr:graphicFrame macro="">
      <xdr:nvGraphicFramePr>
        <xdr:cNvPr id="2" name="Gráfico 1">
          <a:extLst>
            <a:ext uri="{FF2B5EF4-FFF2-40B4-BE49-F238E27FC236}">
              <a16:creationId xmlns:a16="http://schemas.microsoft.com/office/drawing/2014/main" i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123</xdr:row>
      <xdr:rowOff>44823</xdr:rowOff>
    </xdr:from>
    <xdr:to>
      <xdr:col>8</xdr:col>
      <xdr:colOff>212915</xdr:colOff>
      <xdr:row>139</xdr:row>
      <xdr:rowOff>38099</xdr:rowOff>
    </xdr:to>
    <xdr:graphicFrame macro="">
      <xdr:nvGraphicFramePr>
        <xdr:cNvPr id="3" name="Gráfico 2">
          <a:extLst>
            <a:ext uri="{FF2B5EF4-FFF2-40B4-BE49-F238E27FC236}">
              <a16:creationId xmlns:a16="http://schemas.microsoft.com/office/drawing/2014/main" id="{00000000-0008-0000-1400-000003000000}"/>
            </a:ext>
            <a:ext uri="{147F2762-F138-4A5C-976F-8EAC2B608ADB}">
              <a16:predDERef xmlns:a16="http://schemas.microsoft.com/office/drawing/2014/main" pre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147</xdr:row>
      <xdr:rowOff>129987</xdr:rowOff>
    </xdr:from>
    <xdr:to>
      <xdr:col>6</xdr:col>
      <xdr:colOff>1030940</xdr:colOff>
      <xdr:row>167</xdr:row>
      <xdr:rowOff>112058</xdr:rowOff>
    </xdr:to>
    <xdr:graphicFrame macro="">
      <xdr:nvGraphicFramePr>
        <xdr:cNvPr id="4" name="Gráfico 3">
          <a:extLst>
            <a:ext uri="{FF2B5EF4-FFF2-40B4-BE49-F238E27FC236}">
              <a16:creationId xmlns:a16="http://schemas.microsoft.com/office/drawing/2014/main" id="{00000000-0008-0000-1400-000004000000}"/>
            </a:ext>
            <a:ext uri="{147F2762-F138-4A5C-976F-8EAC2B608ADB}">
              <a16:predDERef xmlns:a16="http://schemas.microsoft.com/office/drawing/2014/main" pred="{00000000-0008-0000-1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4</xdr:col>
      <xdr:colOff>212909</xdr:colOff>
      <xdr:row>106</xdr:row>
      <xdr:rowOff>96371</xdr:rowOff>
    </xdr:from>
    <xdr:to>
      <xdr:col>8</xdr:col>
      <xdr:colOff>212912</xdr:colOff>
      <xdr:row>122</xdr:row>
      <xdr:rowOff>89647</xdr:rowOff>
    </xdr:to>
    <xdr:graphicFrame macro="">
      <xdr:nvGraphicFramePr>
        <xdr:cNvPr id="2" name="Gráfico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123</xdr:row>
      <xdr:rowOff>44823</xdr:rowOff>
    </xdr:from>
    <xdr:to>
      <xdr:col>8</xdr:col>
      <xdr:colOff>212915</xdr:colOff>
      <xdr:row>139</xdr:row>
      <xdr:rowOff>38099</xdr:rowOff>
    </xdr:to>
    <xdr:graphicFrame macro="">
      <xdr:nvGraphicFramePr>
        <xdr:cNvPr id="3" name="Gráfico 2">
          <a:extLst>
            <a:ext uri="{FF2B5EF4-FFF2-40B4-BE49-F238E27FC236}">
              <a16:creationId xmlns:a16="http://schemas.microsoft.com/office/drawing/2014/main" id="{00000000-0008-0000-1500-000003000000}"/>
            </a:ext>
            <a:ext uri="{147F2762-F138-4A5C-976F-8EAC2B608ADB}">
              <a16:predDERef xmlns:a16="http://schemas.microsoft.com/office/drawing/2014/main" pre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147</xdr:row>
      <xdr:rowOff>129987</xdr:rowOff>
    </xdr:from>
    <xdr:to>
      <xdr:col>6</xdr:col>
      <xdr:colOff>1030940</xdr:colOff>
      <xdr:row>167</xdr:row>
      <xdr:rowOff>112058</xdr:rowOff>
    </xdr:to>
    <xdr:graphicFrame macro="">
      <xdr:nvGraphicFramePr>
        <xdr:cNvPr id="4" name="Gráfico 3">
          <a:extLst>
            <a:ext uri="{FF2B5EF4-FFF2-40B4-BE49-F238E27FC236}">
              <a16:creationId xmlns:a16="http://schemas.microsoft.com/office/drawing/2014/main" id="{00000000-0008-0000-1500-000004000000}"/>
            </a:ext>
            <a:ext uri="{147F2762-F138-4A5C-976F-8EAC2B608ADB}">
              <a16:predDERef xmlns:a16="http://schemas.microsoft.com/office/drawing/2014/main" pred="{00000000-0008-0000-1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4</xdr:col>
      <xdr:colOff>212909</xdr:colOff>
      <xdr:row>106</xdr:row>
      <xdr:rowOff>96371</xdr:rowOff>
    </xdr:from>
    <xdr:to>
      <xdr:col>8</xdr:col>
      <xdr:colOff>212912</xdr:colOff>
      <xdr:row>122</xdr:row>
      <xdr:rowOff>89647</xdr:rowOff>
    </xdr:to>
    <xdr:graphicFrame macro="">
      <xdr:nvGraphicFramePr>
        <xdr:cNvPr id="2" name="Gráfico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123</xdr:row>
      <xdr:rowOff>44823</xdr:rowOff>
    </xdr:from>
    <xdr:to>
      <xdr:col>8</xdr:col>
      <xdr:colOff>212915</xdr:colOff>
      <xdr:row>139</xdr:row>
      <xdr:rowOff>38099</xdr:rowOff>
    </xdr:to>
    <xdr:graphicFrame macro="">
      <xdr:nvGraphicFramePr>
        <xdr:cNvPr id="3" name="Gráfico 2">
          <a:extLst>
            <a:ext uri="{FF2B5EF4-FFF2-40B4-BE49-F238E27FC236}">
              <a16:creationId xmlns:a16="http://schemas.microsoft.com/office/drawing/2014/main" id="{00000000-0008-0000-1600-000003000000}"/>
            </a:ext>
            <a:ext uri="{147F2762-F138-4A5C-976F-8EAC2B608ADB}">
              <a16:predDERef xmlns:a16="http://schemas.microsoft.com/office/drawing/2014/main" pre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147</xdr:row>
      <xdr:rowOff>129987</xdr:rowOff>
    </xdr:from>
    <xdr:to>
      <xdr:col>6</xdr:col>
      <xdr:colOff>1030940</xdr:colOff>
      <xdr:row>167</xdr:row>
      <xdr:rowOff>112058</xdr:rowOff>
    </xdr:to>
    <xdr:graphicFrame macro="">
      <xdr:nvGraphicFramePr>
        <xdr:cNvPr id="4" name="Gráfico 3">
          <a:extLst>
            <a:ext uri="{FF2B5EF4-FFF2-40B4-BE49-F238E27FC236}">
              <a16:creationId xmlns:a16="http://schemas.microsoft.com/office/drawing/2014/main" id="{00000000-0008-0000-1600-000004000000}"/>
            </a:ext>
            <a:ext uri="{147F2762-F138-4A5C-976F-8EAC2B608ADB}">
              <a16:predDERef xmlns:a16="http://schemas.microsoft.com/office/drawing/2014/main" pred="{00000000-0008-0000-1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4</xdr:col>
      <xdr:colOff>212909</xdr:colOff>
      <xdr:row>106</xdr:row>
      <xdr:rowOff>96371</xdr:rowOff>
    </xdr:from>
    <xdr:to>
      <xdr:col>8</xdr:col>
      <xdr:colOff>212912</xdr:colOff>
      <xdr:row>122</xdr:row>
      <xdr:rowOff>89647</xdr:rowOff>
    </xdr:to>
    <xdr:graphicFrame macro="">
      <xdr:nvGraphicFramePr>
        <xdr:cNvPr id="2" name="Gráfico 1">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123</xdr:row>
      <xdr:rowOff>44823</xdr:rowOff>
    </xdr:from>
    <xdr:to>
      <xdr:col>8</xdr:col>
      <xdr:colOff>212915</xdr:colOff>
      <xdr:row>139</xdr:row>
      <xdr:rowOff>38099</xdr:rowOff>
    </xdr:to>
    <xdr:graphicFrame macro="">
      <xdr:nvGraphicFramePr>
        <xdr:cNvPr id="3" name="Gráfico 2">
          <a:extLst>
            <a:ext uri="{FF2B5EF4-FFF2-40B4-BE49-F238E27FC236}">
              <a16:creationId xmlns:a16="http://schemas.microsoft.com/office/drawing/2014/main" id="{00000000-0008-0000-1700-000003000000}"/>
            </a:ext>
            <a:ext uri="{147F2762-F138-4A5C-976F-8EAC2B608ADB}">
              <a16:predDERef xmlns:a16="http://schemas.microsoft.com/office/drawing/2014/main" pre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147</xdr:row>
      <xdr:rowOff>129987</xdr:rowOff>
    </xdr:from>
    <xdr:to>
      <xdr:col>6</xdr:col>
      <xdr:colOff>1030940</xdr:colOff>
      <xdr:row>167</xdr:row>
      <xdr:rowOff>112058</xdr:rowOff>
    </xdr:to>
    <xdr:graphicFrame macro="">
      <xdr:nvGraphicFramePr>
        <xdr:cNvPr id="4" name="Gráfico 3">
          <a:extLst>
            <a:ext uri="{FF2B5EF4-FFF2-40B4-BE49-F238E27FC236}">
              <a16:creationId xmlns:a16="http://schemas.microsoft.com/office/drawing/2014/main" id="{00000000-0008-0000-1700-000004000000}"/>
            </a:ext>
            <a:ext uri="{147F2762-F138-4A5C-976F-8EAC2B608ADB}">
              <a16:predDERef xmlns:a16="http://schemas.microsoft.com/office/drawing/2014/main" pred="{00000000-0008-0000-1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4</xdr:col>
      <xdr:colOff>212909</xdr:colOff>
      <xdr:row>106</xdr:row>
      <xdr:rowOff>96371</xdr:rowOff>
    </xdr:from>
    <xdr:to>
      <xdr:col>8</xdr:col>
      <xdr:colOff>212912</xdr:colOff>
      <xdr:row>122</xdr:row>
      <xdr:rowOff>89647</xdr:rowOff>
    </xdr:to>
    <xdr:graphicFrame macro="">
      <xdr:nvGraphicFramePr>
        <xdr:cNvPr id="2" name="Gráfico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123</xdr:row>
      <xdr:rowOff>44823</xdr:rowOff>
    </xdr:from>
    <xdr:to>
      <xdr:col>8</xdr:col>
      <xdr:colOff>212915</xdr:colOff>
      <xdr:row>139</xdr:row>
      <xdr:rowOff>38099</xdr:rowOff>
    </xdr:to>
    <xdr:graphicFrame macro="">
      <xdr:nvGraphicFramePr>
        <xdr:cNvPr id="3" name="Gráfico 2">
          <a:extLst>
            <a:ext uri="{FF2B5EF4-FFF2-40B4-BE49-F238E27FC236}">
              <a16:creationId xmlns:a16="http://schemas.microsoft.com/office/drawing/2014/main" id="{00000000-0008-0000-1800-000003000000}"/>
            </a:ext>
            <a:ext uri="{147F2762-F138-4A5C-976F-8EAC2B608ADB}">
              <a16:predDERef xmlns:a16="http://schemas.microsoft.com/office/drawing/2014/main" pre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147</xdr:row>
      <xdr:rowOff>129987</xdr:rowOff>
    </xdr:from>
    <xdr:to>
      <xdr:col>6</xdr:col>
      <xdr:colOff>1030940</xdr:colOff>
      <xdr:row>167</xdr:row>
      <xdr:rowOff>112058</xdr:rowOff>
    </xdr:to>
    <xdr:graphicFrame macro="">
      <xdr:nvGraphicFramePr>
        <xdr:cNvPr id="4" name="Gráfico 3">
          <a:extLst>
            <a:ext uri="{FF2B5EF4-FFF2-40B4-BE49-F238E27FC236}">
              <a16:creationId xmlns:a16="http://schemas.microsoft.com/office/drawing/2014/main" id="{00000000-0008-0000-1800-000004000000}"/>
            </a:ext>
            <a:ext uri="{147F2762-F138-4A5C-976F-8EAC2B608ADB}">
              <a16:predDERef xmlns:a16="http://schemas.microsoft.com/office/drawing/2014/main" pre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4</xdr:col>
      <xdr:colOff>212909</xdr:colOff>
      <xdr:row>91</xdr:row>
      <xdr:rowOff>96371</xdr:rowOff>
    </xdr:from>
    <xdr:to>
      <xdr:col>8</xdr:col>
      <xdr:colOff>212912</xdr:colOff>
      <xdr:row>107</xdr:row>
      <xdr:rowOff>89647</xdr:rowOff>
    </xdr:to>
    <xdr:graphicFrame macro="">
      <xdr:nvGraphicFramePr>
        <xdr:cNvPr id="2" name="Gráfico 1">
          <a:extLst>
            <a:ext uri="{FF2B5EF4-FFF2-40B4-BE49-F238E27FC236}">
              <a16:creationId xmlns:a16="http://schemas.microsoft.com/office/drawing/2014/main" id="{00000000-0008-0000-1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108</xdr:row>
      <xdr:rowOff>44823</xdr:rowOff>
    </xdr:from>
    <xdr:to>
      <xdr:col>8</xdr:col>
      <xdr:colOff>212915</xdr:colOff>
      <xdr:row>124</xdr:row>
      <xdr:rowOff>38099</xdr:rowOff>
    </xdr:to>
    <xdr:graphicFrame macro="">
      <xdr:nvGraphicFramePr>
        <xdr:cNvPr id="3" name="Gráfico 2">
          <a:extLst>
            <a:ext uri="{FF2B5EF4-FFF2-40B4-BE49-F238E27FC236}">
              <a16:creationId xmlns:a16="http://schemas.microsoft.com/office/drawing/2014/main" id="{00000000-0008-0000-1900-000003000000}"/>
            </a:ext>
            <a:ext uri="{147F2762-F138-4A5C-976F-8EAC2B608ADB}">
              <a16:predDERef xmlns:a16="http://schemas.microsoft.com/office/drawing/2014/main" pred="{00000000-0008-0000-1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132</xdr:row>
      <xdr:rowOff>129987</xdr:rowOff>
    </xdr:from>
    <xdr:to>
      <xdr:col>6</xdr:col>
      <xdr:colOff>1030940</xdr:colOff>
      <xdr:row>152</xdr:row>
      <xdr:rowOff>112058</xdr:rowOff>
    </xdr:to>
    <xdr:graphicFrame macro="">
      <xdr:nvGraphicFramePr>
        <xdr:cNvPr id="4" name="Gráfico 3">
          <a:extLst>
            <a:ext uri="{FF2B5EF4-FFF2-40B4-BE49-F238E27FC236}">
              <a16:creationId xmlns:a16="http://schemas.microsoft.com/office/drawing/2014/main" id="{00000000-0008-0000-1900-000004000000}"/>
            </a:ext>
            <a:ext uri="{147F2762-F138-4A5C-976F-8EAC2B608ADB}">
              <a16:predDERef xmlns:a16="http://schemas.microsoft.com/office/drawing/2014/main" pred="{00000000-0008-0000-1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4</xdr:col>
      <xdr:colOff>212909</xdr:colOff>
      <xdr:row>108</xdr:row>
      <xdr:rowOff>96371</xdr:rowOff>
    </xdr:from>
    <xdr:to>
      <xdr:col>8</xdr:col>
      <xdr:colOff>212912</xdr:colOff>
      <xdr:row>124</xdr:row>
      <xdr:rowOff>89647</xdr:rowOff>
    </xdr:to>
    <xdr:graphicFrame macro="">
      <xdr:nvGraphicFramePr>
        <xdr:cNvPr id="2" name="Gráfico 1">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125</xdr:row>
      <xdr:rowOff>44823</xdr:rowOff>
    </xdr:from>
    <xdr:to>
      <xdr:col>8</xdr:col>
      <xdr:colOff>212915</xdr:colOff>
      <xdr:row>141</xdr:row>
      <xdr:rowOff>38099</xdr:rowOff>
    </xdr:to>
    <xdr:graphicFrame macro="">
      <xdr:nvGraphicFramePr>
        <xdr:cNvPr id="3" name="Gráfico 2">
          <a:extLst>
            <a:ext uri="{FF2B5EF4-FFF2-40B4-BE49-F238E27FC236}">
              <a16:creationId xmlns:a16="http://schemas.microsoft.com/office/drawing/2014/main" id="{00000000-0008-0000-1A00-000003000000}"/>
            </a:ext>
            <a:ext uri="{147F2762-F138-4A5C-976F-8EAC2B608ADB}">
              <a16:predDERef xmlns:a16="http://schemas.microsoft.com/office/drawing/2014/main" pre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149</xdr:row>
      <xdr:rowOff>129987</xdr:rowOff>
    </xdr:from>
    <xdr:to>
      <xdr:col>6</xdr:col>
      <xdr:colOff>1030940</xdr:colOff>
      <xdr:row>169</xdr:row>
      <xdr:rowOff>112058</xdr:rowOff>
    </xdr:to>
    <xdr:graphicFrame macro="">
      <xdr:nvGraphicFramePr>
        <xdr:cNvPr id="4" name="Gráfico 3">
          <a:extLst>
            <a:ext uri="{FF2B5EF4-FFF2-40B4-BE49-F238E27FC236}">
              <a16:creationId xmlns:a16="http://schemas.microsoft.com/office/drawing/2014/main" id="{00000000-0008-0000-1A00-000004000000}"/>
            </a:ext>
            <a:ext uri="{147F2762-F138-4A5C-976F-8EAC2B608ADB}">
              <a16:predDERef xmlns:a16="http://schemas.microsoft.com/office/drawing/2014/main" pred="{00000000-0008-0000-1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4</xdr:col>
      <xdr:colOff>212909</xdr:colOff>
      <xdr:row>106</xdr:row>
      <xdr:rowOff>96371</xdr:rowOff>
    </xdr:from>
    <xdr:to>
      <xdr:col>8</xdr:col>
      <xdr:colOff>212912</xdr:colOff>
      <xdr:row>122</xdr:row>
      <xdr:rowOff>89647</xdr:rowOff>
    </xdr:to>
    <xdr:graphicFrame macro="">
      <xdr:nvGraphicFramePr>
        <xdr:cNvPr id="2" name="Gráfico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123</xdr:row>
      <xdr:rowOff>44823</xdr:rowOff>
    </xdr:from>
    <xdr:to>
      <xdr:col>8</xdr:col>
      <xdr:colOff>212915</xdr:colOff>
      <xdr:row>139</xdr:row>
      <xdr:rowOff>38099</xdr:rowOff>
    </xdr:to>
    <xdr:graphicFrame macro="">
      <xdr:nvGraphicFramePr>
        <xdr:cNvPr id="3" name="Gráfico 2">
          <a:extLst>
            <a:ext uri="{FF2B5EF4-FFF2-40B4-BE49-F238E27FC236}">
              <a16:creationId xmlns:a16="http://schemas.microsoft.com/office/drawing/2014/main" id="{00000000-0008-0000-1B00-000003000000}"/>
            </a:ext>
            <a:ext uri="{147F2762-F138-4A5C-976F-8EAC2B608ADB}">
              <a16:predDERef xmlns:a16="http://schemas.microsoft.com/office/drawing/2014/main" pre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147</xdr:row>
      <xdr:rowOff>129987</xdr:rowOff>
    </xdr:from>
    <xdr:to>
      <xdr:col>6</xdr:col>
      <xdr:colOff>1030940</xdr:colOff>
      <xdr:row>167</xdr:row>
      <xdr:rowOff>112058</xdr:rowOff>
    </xdr:to>
    <xdr:graphicFrame macro="">
      <xdr:nvGraphicFramePr>
        <xdr:cNvPr id="4" name="Gráfico 3">
          <a:extLst>
            <a:ext uri="{FF2B5EF4-FFF2-40B4-BE49-F238E27FC236}">
              <a16:creationId xmlns:a16="http://schemas.microsoft.com/office/drawing/2014/main" id="{00000000-0008-0000-1B00-000004000000}"/>
            </a:ext>
            <a:ext uri="{147F2762-F138-4A5C-976F-8EAC2B608ADB}">
              <a16:predDERef xmlns:a16="http://schemas.microsoft.com/office/drawing/2014/main" pred="{00000000-0008-0000-1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4</xdr:col>
      <xdr:colOff>212909</xdr:colOff>
      <xdr:row>106</xdr:row>
      <xdr:rowOff>96371</xdr:rowOff>
    </xdr:from>
    <xdr:to>
      <xdr:col>8</xdr:col>
      <xdr:colOff>212912</xdr:colOff>
      <xdr:row>122</xdr:row>
      <xdr:rowOff>89647</xdr:rowOff>
    </xdr:to>
    <xdr:graphicFrame macro="">
      <xdr:nvGraphicFramePr>
        <xdr:cNvPr id="2" name="Gráfico 1">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212912</xdr:colOff>
      <xdr:row>123</xdr:row>
      <xdr:rowOff>44823</xdr:rowOff>
    </xdr:from>
    <xdr:to>
      <xdr:col>8</xdr:col>
      <xdr:colOff>212915</xdr:colOff>
      <xdr:row>139</xdr:row>
      <xdr:rowOff>38099</xdr:rowOff>
    </xdr:to>
    <xdr:graphicFrame macro="">
      <xdr:nvGraphicFramePr>
        <xdr:cNvPr id="3" name="Gráfico 2">
          <a:extLst>
            <a:ext uri="{FF2B5EF4-FFF2-40B4-BE49-F238E27FC236}">
              <a16:creationId xmlns:a16="http://schemas.microsoft.com/office/drawing/2014/main" id="{00000000-0008-0000-1C00-000003000000}"/>
            </a:ext>
            <a:ext uri="{147F2762-F138-4A5C-976F-8EAC2B608ADB}">
              <a16:predDERef xmlns:a16="http://schemas.microsoft.com/office/drawing/2014/main" pre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28013</xdr:colOff>
      <xdr:row>147</xdr:row>
      <xdr:rowOff>129987</xdr:rowOff>
    </xdr:from>
    <xdr:to>
      <xdr:col>6</xdr:col>
      <xdr:colOff>1030940</xdr:colOff>
      <xdr:row>167</xdr:row>
      <xdr:rowOff>112058</xdr:rowOff>
    </xdr:to>
    <xdr:graphicFrame macro="">
      <xdr:nvGraphicFramePr>
        <xdr:cNvPr id="4" name="Gráfico 3">
          <a:extLst>
            <a:ext uri="{FF2B5EF4-FFF2-40B4-BE49-F238E27FC236}">
              <a16:creationId xmlns:a16="http://schemas.microsoft.com/office/drawing/2014/main" id="{00000000-0008-0000-1C00-000004000000}"/>
            </a:ext>
            <a:ext uri="{147F2762-F138-4A5C-976F-8EAC2B608ADB}">
              <a16:predDERef xmlns:a16="http://schemas.microsoft.com/office/drawing/2014/main" pred="{00000000-0008-0000-1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61631</xdr:colOff>
      <xdr:row>83</xdr:row>
      <xdr:rowOff>1119</xdr:rowOff>
    </xdr:from>
    <xdr:to>
      <xdr:col>24</xdr:col>
      <xdr:colOff>728383</xdr:colOff>
      <xdr:row>111</xdr:row>
      <xdr:rowOff>168088</xdr:rowOff>
    </xdr:to>
    <xdr:graphicFrame macro="">
      <xdr:nvGraphicFramePr>
        <xdr:cNvPr id="9" name="Gráfico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140074</xdr:colOff>
      <xdr:row>71</xdr:row>
      <xdr:rowOff>0</xdr:rowOff>
    </xdr:from>
    <xdr:to>
      <xdr:col>31</xdr:col>
      <xdr:colOff>140074</xdr:colOff>
      <xdr:row>87</xdr:row>
      <xdr:rowOff>10085</xdr:rowOff>
    </xdr:to>
    <xdr:graphicFrame macro="">
      <xdr:nvGraphicFramePr>
        <xdr:cNvPr id="10" name="Gráfico 9">
          <a:extLst>
            <a:ext uri="{FF2B5EF4-FFF2-40B4-BE49-F238E27FC236}">
              <a16:creationId xmlns:a16="http://schemas.microsoft.com/office/drawing/2014/main" id="{00000000-0008-0000-0400-00000A000000}"/>
            </a:ext>
            <a:ext uri="{147F2762-F138-4A5C-976F-8EAC2B608ADB}">
              <a16:predDERef xmlns:a16="http://schemas.microsoft.com/office/drawing/2014/main" pre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39216</xdr:colOff>
      <xdr:row>42</xdr:row>
      <xdr:rowOff>1118</xdr:rowOff>
    </xdr:from>
    <xdr:to>
      <xdr:col>24</xdr:col>
      <xdr:colOff>717177</xdr:colOff>
      <xdr:row>70</xdr:row>
      <xdr:rowOff>134471</xdr:rowOff>
    </xdr:to>
    <xdr:graphicFrame macro="">
      <xdr:nvGraphicFramePr>
        <xdr:cNvPr id="2" name="Gráfico 13">
          <a:extLst>
            <a:ext uri="{FF2B5EF4-FFF2-40B4-BE49-F238E27FC236}">
              <a16:creationId xmlns:a16="http://schemas.microsoft.com/office/drawing/2014/main" id="{00000000-0008-0000-0400-000002000000}"/>
            </a:ext>
            <a:ext uri="{147F2762-F138-4A5C-976F-8EAC2B608ADB}">
              <a16:predDERef xmlns:a16="http://schemas.microsoft.com/office/drawing/2014/main" pre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286866</xdr:colOff>
      <xdr:row>31</xdr:row>
      <xdr:rowOff>10643</xdr:rowOff>
    </xdr:from>
    <xdr:to>
      <xdr:col>39</xdr:col>
      <xdr:colOff>193302</xdr:colOff>
      <xdr:row>59</xdr:row>
      <xdr:rowOff>143996</xdr:rowOff>
    </xdr:to>
    <xdr:graphicFrame macro="">
      <xdr:nvGraphicFramePr>
        <xdr:cNvPr id="3" name="Gráfico 13">
          <a:extLst>
            <a:ext uri="{FF2B5EF4-FFF2-40B4-BE49-F238E27FC236}">
              <a16:creationId xmlns:a16="http://schemas.microsoft.com/office/drawing/2014/main" id="{00000000-0008-0000-0400-000007000000}"/>
            </a:ext>
            <a:ext uri="{147F2762-F138-4A5C-976F-8EAC2B608ADB}">
              <a16:predDERef xmlns:a16="http://schemas.microsoft.com/office/drawing/2014/main" pre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16809</xdr:colOff>
      <xdr:row>178</xdr:row>
      <xdr:rowOff>12326</xdr:rowOff>
    </xdr:from>
    <xdr:to>
      <xdr:col>24</xdr:col>
      <xdr:colOff>717177</xdr:colOff>
      <xdr:row>206</xdr:row>
      <xdr:rowOff>145676</xdr:rowOff>
    </xdr:to>
    <xdr:graphicFrame macro="">
      <xdr:nvGraphicFramePr>
        <xdr:cNvPr id="16" name="Gráfico 15">
          <a:extLst>
            <a:ext uri="{FF2B5EF4-FFF2-40B4-BE49-F238E27FC236}">
              <a16:creationId xmlns:a16="http://schemas.microsoft.com/office/drawing/2014/main" id="{00000000-0008-0000-0400-000010000000}"/>
            </a:ext>
            <a:ext uri="{147F2762-F138-4A5C-976F-8EAC2B608ADB}">
              <a16:predDERef xmlns:a16="http://schemas.microsoft.com/office/drawing/2014/main" pre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ORREOS POR ENVIAR" id="{334142B9-FBBC-4783-BAAA-79AA811621A2}">
    <nsvFilter filterId="{F90FE13F-CBA1-4F57-A5F3-6375ACC6F58A}" ref="A1:W91" tableId="0">
      <columnFilter colId="16">
        <filter colId="16">
          <x:filters>
            <x:filter val="VERDADERO"/>
          </x:filters>
        </filter>
      </columnFilter>
      <columnFilter colId="17">
        <filter colId="17">
          <x:filters>
            <x:filter val="FALSO"/>
          </x:filters>
        </filter>
      </columnFilter>
    </nsvFilter>
  </namedSheetView>
</namedSheetView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F2" dT="2022-03-25T12:00:34.24" personId="{00000000-0000-0000-0000-000000000000}" id="{4CDE611C-9544-4E17-9536-62474AE9B476}">
    <text>BOMBA DE ENGRANAJE  S BEL-120
COD. 5044006</text>
  </threadedComment>
  <threadedComment ref="BB2" dT="2022-03-24T18:18:08.05" personId="{00000000-0000-0000-0000-000000000000}" id="{71434DCD-BC80-4223-B123-8D58AF7DB756}">
    <text>ROJO COPEC</text>
  </threadedComment>
  <threadedComment ref="BD2" dT="2022-03-24T12:52:39.29" personId="{00000000-0000-0000-0000-000000000000}" id="{1F6EF6AC-A2C6-40D9-80D8-65A291B07220}">
    <text>1        PL XAR 3.000x8x10.000
1 1/2  PL. XAR 2.000X10X6.000
1        PL. A36 2.440x10x6.000
2        PL. A36 2.440x8x6.000
1,1/2  PL. A36 2.440x6x6000
1        PL. 1.500x5x6000
2        PL. 1.000.2.5.6000</text>
  </threadedComment>
  <threadedComment ref="AF3" dT="2022-03-25T12:00:34.24" personId="{00000000-0000-0000-0000-000000000000}" id="{42063BCE-4CC6-4227-93CB-8D4E64BDC8E5}">
    <text>BOMBA DE ENGRANAJE  S BEL-120
COD. 5044006</text>
  </threadedComment>
  <threadedComment ref="BB3" dT="2022-03-24T18:18:08.05" personId="{00000000-0000-0000-0000-000000000000}" id="{AE84E5EC-B505-4824-AA39-D1BACE4BB2F4}">
    <text>ROJO COPEC</text>
  </threadedComment>
  <threadedComment ref="BD3" dT="2022-03-24T12:52:39.29" personId="{00000000-0000-0000-0000-000000000000}" id="{08D9790D-24C9-4BD6-B900-E8E81D5170FB}">
    <text>1       PL XAR 3.000x8x10.10.000
1 1/2 PL. XAR 2.000X10X6.000
1       PL  A36 2.440x10x6.000
2       PL . A36 2.440x8x6.000
11/2  PL. A36 2.440x6x6000
1       PL. 1.500x5x6000
2       PL. 1.000.2.5.6000</text>
  </threadedComment>
  <threadedComment ref="AD4" dT="2022-03-25T11:54:15.91" personId="{00000000-0000-0000-0000-000000000000}" id="{0BB80FA0-62E0-45A3-875D-B0B50A275E8B}">
    <text>BASE PTO KIT 1.1.32 REDUCE HOUSING
PTO 1010K03-1 BEZARES</text>
  </threadedComment>
  <threadedComment ref="AF4" dT="2022-03-25T11:57:59.34" personId="{00000000-0000-0000-0000-000000000000}" id="{84C58BEE-B649-4EE9-9669-B0C96514A50D}">
    <text xml:space="preserve">BOMBA DE ENGRANAJE BELD 80 BZ
CODIGO BELD80814
</text>
  </threadedComment>
  <threadedComment ref="BB4" dT="2022-03-25T11:40:44.95" personId="{00000000-0000-0000-0000-000000000000}" id="{2B3ABF15-924F-463F-A594-ACF715C072F2}">
    <text>AZUL PACIFICO</text>
  </threadedComment>
  <threadedComment ref="BD4" dT="2022-03-24T13:11:06.73" personId="{00000000-0000-0000-0000-000000000000}" id="{CDDD4DCC-41CD-4010-8EF3-40F75DD7E72D}">
    <text xml:space="preserve">1/2    PL.A36 10x2.440
2       PL.A36 8x2.440x6.000
3 1/2 PL. A36 6x2.440x6.000
1.1/2 PL. A36 1.500x5x6.000
1       PL . A36 1000x4x3.000 
1       PL.  A36 3x1.000x3.000
1       PL.  A36 1.000x2x3000
</text>
  </threadedComment>
  <threadedComment ref="AF5" dT="2022-03-25T11:57:59.34" personId="{00000000-0000-0000-0000-000000000000}" id="{1E0F5582-11C5-456E-A338-A5F204EC378F}">
    <text xml:space="preserve">BOMBA DE ENGRANAJE BELD 80 BZ
CODIGO BELD80814
</text>
  </threadedComment>
  <threadedComment ref="BB5" dT="2022-03-24T18:18:08.05" personId="{00000000-0000-0000-0000-000000000000}" id="{E039F8BA-9CE4-42F1-8A62-D4A5B0073EB8}">
    <text xml:space="preserve">AMARILLO CAT
</text>
  </threadedComment>
  <threadedComment ref="BD5" dT="2022-04-05T19:24:30.35" personId="{00000000-0000-0000-0000-000000000000}" id="{9767B618-7DDD-46D6-A1CA-8E9B3D661D1F}">
    <text xml:space="preserve">1/2   PL A-36 2440X10X6000
11/2 PL A-36 2440X8X6000
4      PL  A-36 1500X6X6000
1      PL  A -36  2440X6X6000
1      PL  A-36  1500X6X6000
1      PL  A-36  1500X4X6000
1/0   PL  A-36  1500X3X6000
1       PL  A-36  1000X2X6000
 </text>
  </threadedComment>
  <threadedComment ref="AF6" dT="2022-03-25T11:57:59.34" personId="{00000000-0000-0000-0000-000000000000}" id="{5526F8C1-60ED-42AE-8CFA-F708ED8B680B}">
    <text xml:space="preserve">BOMBA DE ENGRANAJE BELD 80 BZ
CODIGO BELD80814
</text>
  </threadedComment>
  <threadedComment ref="BB6" dT="2022-03-24T18:18:08.05" personId="{00000000-0000-0000-0000-000000000000}" id="{B53E6ABD-1F66-4B0F-807C-0FBCAE2DD299}">
    <text>AMARILLO CAT</text>
  </threadedComment>
  <threadedComment ref="BD6" dT="2022-04-05T19:24:30.35" personId="{00000000-0000-0000-0000-000000000000}" id="{02DA9F64-C1D9-4B56-B62E-A139C4878106}">
    <text xml:space="preserve">1/2   PL A-36 2440X10X6000
11/2 PL A-36 2440X8X6000
4      PL  A-36 1500X6X6000
1      PL  A -36  2440X6X6000
1      PL  A-36  1500X6X6000
1      PL  A-36  1500X4X6000
1/0   PL  A-36  1500X3X6000
1       PL  A-36  1000X2X6000
 </text>
  </threadedComment>
  <threadedComment ref="AF7" dT="2022-03-25T11:57:59.34" personId="{00000000-0000-0000-0000-000000000000}" id="{2D3F577D-49DA-4997-8BDA-17E73ABD776B}">
    <text xml:space="preserve">BOMBA DE ENGRANAJE BELD 80 BZ
CODIGO BELD80814
</text>
  </threadedComment>
  <threadedComment ref="BB7" dT="2022-04-06T14:21:38.21" personId="{00000000-0000-0000-0000-000000000000}" id="{9626F1FC-0DD1-4425-932D-6588284F0117}">
    <text>AMARILLO CAT</text>
  </threadedComment>
  <threadedComment ref="BD7" dT="2022-04-05T19:24:30.35" personId="{00000000-0000-0000-0000-000000000000}" id="{19CD767E-685B-4315-906B-060E961D21ED}">
    <text xml:space="preserve">1/2   PL A-36 2440X10X6000
11/2 PL A-36 2440X8X6000
4      PL  A-36 1500X6X6000
1      PL  A -36  2440X6X6000
1      PL  A-36  1500X6X6000
1      PL  A-36  1500X4X6000
1/0   PL  A-36  1500X3X6000
1       PL  A-36  1000X2X6000
 </text>
  </threadedComment>
  <threadedComment ref="AD8" dT="2022-04-18T16:05:26.15" personId="{00000000-0000-0000-0000-000000000000}" id="{1B6AD895-4615-4273-8E2C-47ADDEDDD42F}">
    <text>1010K03
EJE 018104</text>
  </threadedComment>
  <threadedComment ref="AF8" dT="2022-03-25T11:57:59.34" personId="{00000000-0000-0000-0000-000000000000}" id="{63354260-7C17-4536-9930-284036E48D69}">
    <text xml:space="preserve">BOMBA DE ENGRANAJE BELD 80 BZ
CODIGO BELD80814
</text>
  </threadedComment>
  <threadedComment ref="BB8" dT="2022-04-08T12:55:47.03" personId="{00000000-0000-0000-0000-000000000000}" id="{A9787125-395C-4AE1-9B8F-590B110E234A}">
    <text>NARANJO</text>
  </threadedComment>
  <threadedComment ref="BD8" dT="2022-04-08T13:01:47.25" personId="{00000000-0000-0000-0000-000000000000}" id="{426BD171-FF5C-428D-9AD7-9C9C8B9566D6}">
    <text>5 1/2     PL  INOX   1500X5X6000
1 1/2     PL  A-36    2440X6X6000
1           PL  A-36    1500X5X6000
1           PL  A-36    2440X8X6000
1           PL A-36     1500X3X6000 
1/2       PL  A-36     1000X2X6000</text>
  </threadedComment>
  <threadedComment ref="AD9" dT="2022-04-18T16:05:26.15" personId="{00000000-0000-0000-0000-000000000000}" id="{65E1D1B7-45CB-4D95-BD16-73BB37E5DFDA}">
    <text>1010K03
EJE 018104</text>
  </threadedComment>
  <threadedComment ref="AF9" dT="2022-03-25T11:57:59.34" personId="{00000000-0000-0000-0000-000000000000}" id="{29EA661A-3273-4F3F-9E0C-41BE79B2A47C}">
    <text xml:space="preserve">BOMBA DE ENGRANAJE BELD 80 BZ
CODIGO BELD80814
</text>
  </threadedComment>
  <threadedComment ref="BB9" dT="2022-04-08T12:55:47.03" personId="{00000000-0000-0000-0000-000000000000}" id="{1E58DAE7-EE38-4EC7-A823-C2A6A197E2B2}">
    <text>NARANJO</text>
  </threadedComment>
  <threadedComment ref="BD9" dT="2022-04-08T13:01:47.25" personId="{00000000-0000-0000-0000-000000000000}" id="{0C6397DA-1D18-40E3-8453-536E17D99AAD}">
    <text xml:space="preserve">5 1/2     PL  INOX   1500X5X6000
1 1/2     PL  A-36    2440X6X8
1           PL  A-36    1500X5X6000
1           PL  A-36    2440X8X6000
1           PL A-36     1500X3X6000 
1/2       PL  A-36     1000X2X6000
</text>
  </threadedComment>
  <threadedComment ref="BB10" dT="2022-04-13T14:41:05.96" personId="{00000000-0000-0000-0000-000000000000}" id="{703E0C2D-BBCA-49CE-89CC-9BBD9FA5B146}">
    <text xml:space="preserve">AZUL PACIFICO
</text>
  </threadedComment>
  <threadedComment ref="BD10" dT="2022-03-29T16:08:13.40" personId="{00000000-0000-0000-0000-000000000000}" id="{4055167A-5AFA-4EF1-BB53-941E48A4B59F}">
    <text xml:space="preserve">1/2      PL. A-36 2000x10x6000
1/2     PL A-36 2440x8x6000
3         PL A-36 2440x6x6000
1         PL A-36 1500x5x6000
1/2      PL A-36 1000x4x3000
1/2      PL A-36 1500x3x6000
1 /2     PL A-36 1000x2x3000
1         PL  T-1  2500X6X6000
 </text>
  </threadedComment>
  <threadedComment ref="BB11" dT="2022-04-13T14:41:05.96" personId="{00000000-0000-0000-0000-000000000000}" id="{077DF0DF-0DC4-4CFC-8053-E9B9CE07152F}">
    <text xml:space="preserve">AZUL PACIFICO
</text>
  </threadedComment>
  <threadedComment ref="BD11" dT="2022-03-29T16:08:13.40" personId="{00000000-0000-0000-0000-000000000000}" id="{7254E768-2089-4414-AE8D-1A7EC366D3F9}">
    <text xml:space="preserve">1/2      PL. A-36 2000x10x6000
1/2     PL A-36 2440x8x6000
3         PL A-36 2440x6x6000
1         PL A-36 1500x5x6000
1/2      PL A-36 1000x4x3000
1/2      PL A-36 1500x3x6000
1 /2     PL A-36 1000x2x3000
1         PL  T-1  2500X6X6000
 </text>
  </threadedComment>
  <threadedComment ref="AD12" dT="2022-03-25T11:54:15.91" personId="{00000000-0000-0000-0000-000000000000}" id="{E750881F-C969-49B0-8BB2-C342318280E5}">
    <text>BASE PTO KIT 1.1.32 REDUCE HOUSING
PTO 1010K03-1 BEZARES</text>
  </threadedComment>
  <threadedComment ref="AF12" dT="2022-03-25T11:57:59.34" personId="{00000000-0000-0000-0000-000000000000}" id="{1EE1597B-B9E8-45D2-BDF1-9FB568BD139C}">
    <text xml:space="preserve">BOMBA DE ENGRANAJE BELD 80 BZ
CODIGO BELD80814
</text>
  </threadedComment>
  <threadedComment ref="BB12" dT="2022-04-22T12:44:46.93" personId="{00000000-0000-0000-0000-000000000000}" id="{DF646855-584E-4C2F-8E02-382D0963A375}">
    <text>NARANJO</text>
  </threadedComment>
  <threadedComment ref="BD12" dT="2022-04-05T21:19:39.54" personId="{00000000-0000-0000-0000-000000000000}" id="{62B3DDC8-FAE6-47F0-96DA-E932F4FDD794}">
    <text xml:space="preserve">1/2     PL A-36  2440X10X6000
2         PL A-36  2440X8X6000
3         PL A-36  2440X6X6000
11/2    PL A-36  1500X5X6000
1/2      PL A-36  1500X4X6000   
1         PL A-36  1500X3X6000
1/2      PL A-36  1000X2X6000
</text>
  </threadedComment>
  <threadedComment ref="AD13" dT="2022-04-18T16:05:26.15" personId="{00000000-0000-0000-0000-000000000000}" id="{FA543734-156B-47F2-83CD-AC1E8F173E77}">
    <text>1010K03
EJE 018104</text>
  </threadedComment>
  <threadedComment ref="AF13" dT="2022-03-25T11:57:59.34" personId="{00000000-0000-0000-0000-000000000000}" id="{0ECF729C-236C-45C0-B3A7-76A62D1F8035}">
    <text xml:space="preserve">BOMBA DE ENGRANAJE BELD 80 BZ
CODIGO BELD80814
</text>
  </threadedComment>
  <threadedComment ref="BB13" dT="2022-04-20T16:32:36.34" personId="{00000000-0000-0000-0000-000000000000}" id="{5596AF85-3171-4AB3-BA95-6091A63583EA}">
    <text>NARANJO</text>
  </threadedComment>
  <threadedComment ref="BD13" dT="2022-04-05T21:19:39.54" personId="{00000000-0000-0000-0000-000000000000}" id="{DAA6EC31-F11B-4301-8FEF-2BF58DE9FDC4}">
    <text xml:space="preserve">1/2     PL A-36  2440X10X6000
2         PL A-36  2440X8X6000
3         PL A-36  2440X6X6000
11/2    PL A-36  1500X5X6000
1/2      PL A-36  1500X4X6000   
1         PL A-36  1500X3X6000
1/2      PL A-36  1000X2X6000
</text>
  </threadedComment>
  <threadedComment ref="AF14" dT="2022-03-25T11:57:59.34" personId="{00000000-0000-0000-0000-000000000000}" id="{6FB9148E-32F5-4450-8CC2-FB4A21836993}">
    <text xml:space="preserve">BOMBA DE ENGRANAJE BELD 80 BZ
CODIGO BELD80814
</text>
  </threadedComment>
  <threadedComment ref="BB14" dT="2022-04-21T15:15:53.48" personId="{00000000-0000-0000-0000-000000000000}" id="{EDD3ECDA-69FF-4D4A-A3B6-CEA315463A37}">
    <text xml:space="preserve">VERDE SEGUN FOTO </text>
  </threadedComment>
  <threadedComment ref="BD14" dT="2022-04-05T21:19:39.54" personId="{00000000-0000-0000-0000-000000000000}" id="{948BBFDF-D60B-4CCA-8067-E3ECCD0B011F}">
    <text xml:space="preserve">1/2     PL A-36  2440X10X6000
2         PL A-36  2440X8X6000
3         PL A-36  2440X6X6000
11/2    PL A-36  1500X5X6000
1/2      PL A-36  1500X4X6000   
1         PL A-36  1500X3X6000
1/2      PL A-36  1000X2X6000
</text>
  </threadedComment>
  <threadedComment ref="BB15" dT="2022-04-18T15:15:52.94" personId="{00000000-0000-0000-0000-000000000000}" id="{B0F326DE-CB70-4754-ACD9-D9CD1CB08B4F}">
    <text xml:space="preserve">AZUL PACIFICO
</text>
  </threadedComment>
  <threadedComment ref="BD15" dT="2022-04-05T21:19:39.54" personId="{00000000-0000-0000-0000-000000000000}" id="{766636BC-0637-46E1-A6A7-C1B461155295}">
    <text xml:space="preserve">1/2     PL A-36  2440X10X6000
2         PL A-36  2440X8X6000
3         PL A-36  2440X6X6000
11/2    PL A-36  1500X5X6000
1/2      PL A-36  1500X4X6000   
1         PL A-36  1500X3X6000
1/2      PL A-36  1000X2X6000
</text>
  </threadedComment>
  <threadedComment ref="AD16" dT="2022-04-08T13:39:04.08" personId="{00000000-0000-0000-0000-000000000000}" id="{B6F127A0-FF57-455A-B9F7-16A02F9F4EAE}">
    <text>t/f 1010k03 multiplicado
t/f 1015k03 - eje 1012704</text>
  </threadedComment>
  <threadedComment ref="BB16" dT="2022-04-08T14:08:02.90" personId="{00000000-0000-0000-0000-000000000000}" id="{F8C77776-B156-4D97-ABCF-84FFE594700B}">
    <text>4 GL  NARANJO
1 GL  WASH PRIMER</text>
  </threadedComment>
  <threadedComment ref="BD16" dT="2022-03-29T16:25:27.08" personId="{00000000-0000-0000-0000-000000000000}" id="{8D18E512-D13D-4C8C-919A-522C40E781EB}">
    <text>7  PL INOX 1500X5X6000
3  PL INOX  1500X4X6000
1  PL A-36 2440x6x6000
1   PL A-36 1000x4x6000
1   PL A-36 1000x3x6000
1   PL A-36 1000x2x3000</text>
  </threadedComment>
  <threadedComment ref="AD18" dT="2022-04-18T16:05:26.15" personId="{00000000-0000-0000-0000-000000000000}" id="{B59BFB8A-68BB-4B3B-BC10-E477652301BD}">
    <text>1010K03
EJE 018104</text>
  </threadedComment>
  <threadedComment ref="BB18" dT="2022-04-14T14:59:21.66" personId="{00000000-0000-0000-0000-000000000000}" id="{7B385D6C-0524-42C3-9363-18B696663955}">
    <text>NARANJO</text>
  </threadedComment>
  <threadedComment ref="BD18" dT="2022-04-05T21:19:39.54" personId="{00000000-0000-0000-0000-000000000000}" id="{D26C9C26-9416-42CF-B283-D94BF7F596A7}">
    <text>1/2     PL A-36  2440X10X6000
2         PL A-36  2440X8X6000
3         PL A-36  2440X6X6000
11/2    PL A-36  1500X5X6000
1/2      PL A-36  1500X4X6000   
1         PL A-36  1500X3X6000
1/2      PL A-36  1000X2X6000</text>
  </threadedComment>
  <threadedComment ref="BD19" dT="2022-04-05T21:19:39.54" personId="{00000000-0000-0000-0000-000000000000}" id="{0DF1BC42-B4E6-4A8A-B99C-F901EC3F7BF2}">
    <text xml:space="preserve">1/2     PL A-36  2440X10X6000
2         PL A-36  2440X8X6000
3         PL A-36  2440X6X6000
11/2    PL A-36  1500X5X6000
1/2      PL A-36  1500X4X6000   
1         PL A-36  1500X3X6000
1/2      PL A-36  1000X2X6000
</text>
  </threadedComment>
  <threadedComment ref="BB20" dT="2022-05-05T20:55:13.68" personId="{00000000-0000-0000-0000-000000000000}" id="{AA299626-A949-4059-B52D-E3DA42CC84F2}">
    <text xml:space="preserve">ROJO CON AMARILLO
</text>
  </threadedComment>
</ThreadedComments>
</file>

<file path=xl/threadedComments/threadedComment2.xml><?xml version="1.0" encoding="utf-8"?>
<ThreadedComments xmlns="http://schemas.microsoft.com/office/spreadsheetml/2018/threadedcomments" xmlns:x="http://schemas.openxmlformats.org/spreadsheetml/2006/main">
  <threadedComment ref="BB2" dT="2022-05-12T15:47:12.54" personId="{00000000-0000-0000-0000-000000000000}" id="{02DC10CF-A47C-413F-80D7-983BA5242885}">
    <text>GRIS RAL 7015</text>
  </threadedComment>
  <threadedComment ref="BD2" dT="2022-03-24T12:52:39.29" personId="{00000000-0000-0000-0000-000000000000}" id="{2A606A85-7507-4995-A77C-D42C5FDCB718}">
    <text>1       PL XAR 3.000x8x.10.000
1 1/2 PL. XAR 2.000X10X6.000
1       PL. A36 2.440x10x6.000
2       PL. A36 2.440x8x6.000
11/2  PL. A36 2.440x6x6000
1       PL. 1.500x5x6000
2       PL. 1.000.2.5.6000</text>
  </threadedComment>
  <threadedComment ref="BB3" dT="2022-05-12T15:47:12.54" personId="{00000000-0000-0000-0000-000000000000}" id="{1A2A7ABF-FBE3-4333-888B-10FD3844C6B7}">
    <text>GRIS RAL 7015</text>
  </threadedComment>
  <threadedComment ref="BD3" dT="2022-03-24T12:52:39.29" personId="{00000000-0000-0000-0000-000000000000}" id="{2D64BC5A-8C79-4D4F-9CFE-A04272098D78}">
    <text>1       PL XAR 3.000x8x10.10.000
1 1/2 PL. XAR 2.000X10X6.000
1       PL. A36 2.440x10x6.000
2       PL. A36 2.440x8x6.000
11/2  PL. A36 2.440x6x6000
1       PL. 1.500x5x6000
2       PL. 1.000.2.5.6000</text>
  </threadedComment>
  <threadedComment ref="BB4" dT="2022-05-04T16:24:06.04" personId="{00000000-0000-0000-0000-000000000000}" id="{23020530-5240-4060-AA64-7203357DA017}">
    <text>amarillo cabina</text>
  </threadedComment>
  <threadedComment ref="BD4" dT="2022-04-05T21:19:39.54" personId="{00000000-0000-0000-0000-000000000000}" id="{DA4D58C3-1458-40A4-9F73-E4D70C631D95}">
    <text xml:space="preserve">1/2     PL A-36  2440X10X6000
2         PL A-36  2440X8X6000
3         PL A-36  2440X6X6000
11/2    PL A-36  1500X5X6000
1/2      PL A-36  1500X4X6000   
1         PL A-36  1500X3X6000
1/2      PL A-36  1000X2X6000
</text>
  </threadedComment>
  <threadedComment ref="AF5" dT="2022-03-25T11:57:59.34" personId="{00000000-0000-0000-0000-000000000000}" id="{01FE21CF-5BEA-48A8-A0D3-FC459FBA23F9}">
    <text xml:space="preserve">BOMBA DE ENGRANAJE BELD 80 BZ
CODIGO BELD80814
</text>
  </threadedComment>
  <threadedComment ref="BB5" dT="2022-05-04T16:24:06.04" personId="{00000000-0000-0000-0000-000000000000}" id="{F84EB683-ED9E-4462-8E5D-12F78C6DEFC1}">
    <text>RAL 9616 BLANCO</text>
  </threadedComment>
  <threadedComment ref="BD5" dT="2022-04-05T21:19:39.54" personId="{00000000-0000-0000-0000-000000000000}" id="{3EB5D9A0-3CEC-48D6-8970-C28E2D1128CE}">
    <text xml:space="preserve">1/2     PL A-36  2440X10X6000
2         PL A-36  2440X8X6000
3         PL A-36  2440X6X6000
11/2    PL A-36  1500X5X6000
1/2      PL A-36  1500X4X6000   
1         PL A-36  1500X3X6000
1/2      PL A-36  1000X2X6000
</text>
  </threadedComment>
  <threadedComment ref="BB6" dT="2022-05-12T15:47:12.54" personId="{00000000-0000-0000-0000-000000000000}" id="{1474CAA4-4D5B-4744-BEE2-D76F989642DB}">
    <text>GRIS RAL  7015</text>
  </threadedComment>
  <threadedComment ref="BD6" dT="2022-03-24T12:52:39.29" personId="{00000000-0000-0000-0000-000000000000}" id="{2384CB74-8B24-4609-8DD7-CD26BB8D354B}">
    <text>1       PL XAR 3.000x8x.10.000
1 1/2 PL. XAR 2.000X10X6.000
1       PL. A36 2.440x10x6.000
2       PL. A36 2.440x8x6.000
11/2  PL. A36 2.440x6x6000
1       PL. 1.500x5x6000
2       PL. 1.000.2.5.6000</text>
  </threadedComment>
  <threadedComment ref="AF7" dT="2022-03-25T11:57:59.34" personId="{00000000-0000-0000-0000-000000000000}" id="{86B89F01-2F80-4FBA-8156-A3B13C89DA04}">
    <text xml:space="preserve">BOMBA DE ENGRANAJE BELD 80 BZ
CODIGO BELD80814
</text>
  </threadedComment>
  <threadedComment ref="BB7" dT="2022-05-12T15:49:05.57" personId="{00000000-0000-0000-0000-000000000000}" id="{E746701C-6F81-4521-802D-FDBFFB339C62}">
    <text>CABINA NARANJO</text>
  </threadedComment>
  <threadedComment ref="BD7" dT="2022-03-24T12:52:39.29" personId="{00000000-0000-0000-0000-000000000000}" id="{D011252D-D551-4C90-B69B-8B39A5648D3F}">
    <text>1       PL XAR 3.000x8x.10.000
1 1/2 PL. XAR 2.000X10X6.000
1       PL. A36 2.440x10x6.000
2       PL. A36 2.440x8x6.000
11/2  PL. A36 2.440x6x6000
1       PL. 1.500x5x6000
2       PL. 1.000.2.5.6000</text>
  </threadedComment>
  <threadedComment ref="AD8" dT="2022-04-18T16:05:26.15" personId="{00000000-0000-0000-0000-000000000000}" id="{F1A5C8D3-51B7-4086-9054-2A18AFFC996C}">
    <text>1010K03
EJE 018104</text>
  </threadedComment>
  <threadedComment ref="AF8" dT="2022-03-25T11:57:59.34" personId="{00000000-0000-0000-0000-000000000000}" id="{9CD16960-2BA1-4682-A010-40B4114133FB}">
    <text xml:space="preserve">BOMBA DE ENGRANAJE BELD 80 BZ
CODIGO BELD80814
</text>
  </threadedComment>
  <threadedComment ref="BB8" dT="2022-05-04T16:38:54.59" personId="{00000000-0000-0000-0000-000000000000}" id="{EF1AD6EE-0D17-4883-BCF9-A0BB4A3A5286}">
    <text>NARANJO</text>
  </threadedComment>
  <threadedComment ref="BD8" dT="2022-04-05T21:19:39.54" personId="{00000000-0000-0000-0000-000000000000}" id="{8CD04E1D-D2EC-41F4-81CE-BE6B473270A3}">
    <text xml:space="preserve">1/2     PL A-36  2440X10X6000
2         PL A-36  2440X8X6000
3         PL A-36  2440X6X6000
11/2    PL A-36  1500X5X6000
1/2      PL A-36  1500X4X6000   
1         PL A-36  1500X3X6000
1/2      PL A-36  1000X2X6000
</text>
  </threadedComment>
  <threadedComment ref="AD9" dT="2022-04-18T16:05:26.15" personId="{00000000-0000-0000-0000-000000000000}" id="{35EC14D1-57FC-4D7A-BF74-B251C4F36F2D}">
    <text>1010K03
EJE 018104</text>
  </threadedComment>
  <threadedComment ref="AF9" dT="2022-03-25T11:57:59.34" personId="{00000000-0000-0000-0000-000000000000}" id="{93982A3C-BEA6-4D13-B424-6D928852E1AD}">
    <text xml:space="preserve">BOMBA DE ENGRANAJE BELD 80 BZ
CODIGO BELD80814
</text>
  </threadedComment>
  <threadedComment ref="BB9" dT="2022-05-12T12:28:51.54" personId="{00000000-0000-0000-0000-000000000000}" id="{4746E38A-A35E-43CE-9CA7-7AA931889333}">
    <text xml:space="preserve">NARANJO
</text>
  </threadedComment>
  <threadedComment ref="BD9" dT="2022-04-05T21:19:39.54" personId="{00000000-0000-0000-0000-000000000000}" id="{5B5DA21A-CE81-4B9F-BDCB-743DA920FB89}">
    <text xml:space="preserve">1/2     PL A-36  2440X10X6000
2         PL A-36  2440X8X6000
3         PL A-36  2440X6X6000
11/2    PL A-36  1500X5X6000
1/2      PL A-36  1500X4X6000   
1         PL A-36  1500X3X6000
1/2      PL A-36  1000X2X6000
</text>
  </threadedComment>
  <threadedComment ref="BB10" dT="2022-05-18T16:16:53.64" personId="{00000000-0000-0000-0000-000000000000}" id="{2AA77B37-9A62-4B68-85C5-25D7F1D3854A}">
    <text>NARANJO</text>
  </threadedComment>
  <threadedComment ref="BD10" dT="2022-03-29T16:25:27.08" personId="{00000000-0000-0000-0000-000000000000}" id="{79120B17-B88D-4D96-AFF6-D6F468D1DBB8}">
    <text>7  PL INOX 1500X5X6000
3  PL INOX  1500X4X6000
1  PL A-36 2440x6x6000
1   PL A-36 1000x4x6000
1   PL A-36 1000x3x6000
1   PL A-36 1000x2x3000</text>
  </threadedComment>
  <threadedComment ref="AD11" dT="2022-04-18T16:05:26.15" personId="{00000000-0000-0000-0000-000000000000}" id="{3D77F8C4-8366-4B29-B2AA-B74B0968F955}">
    <text>1010K03
EJE 018104</text>
  </threadedComment>
  <threadedComment ref="BB11" dT="2022-05-18T16:17:06.15" personId="{00000000-0000-0000-0000-000000000000}" id="{DA0DAA2A-1E84-4FF0-AC2D-98B804EC4379}">
    <text>NARANJO</text>
  </threadedComment>
  <threadedComment ref="BD11" dT="2022-03-29T16:25:27.08" personId="{00000000-0000-0000-0000-000000000000}" id="{977F358D-C236-46CA-9945-4ED6106BDF63}">
    <text>7  PL INOX 1500X5X6000
3  PL INOX  1500X4X6000
1  PL A-36 2440x6x6000
1   PL A-36 1000x4x6000
1   PL A-36 1000x3x6000
1   PL A-36 1000x2x3000</text>
  </threadedComment>
  <threadedComment ref="AD12" dT="2022-04-18T16:05:26.15" personId="{00000000-0000-0000-0000-000000000000}" id="{548FC5C0-C3A3-4DE7-9788-0C0D72A0B649}">
    <text>1010K03
EJE 018104</text>
  </threadedComment>
  <threadedComment ref="BB12" dT="2022-05-05T20:57:45.89" personId="{00000000-0000-0000-0000-000000000000}" id="{2FDE4E5E-DCE9-4EC5-9F8D-42F66CAE7AA4}">
    <text>NARANJO CABINA</text>
  </threadedComment>
  <threadedComment ref="BD12" dT="2022-04-11T14:27:07.31" personId="{00000000-0000-0000-0000-000000000000}" id="{20A37A4D-286A-4AEA-9FB0-C66DD425D76C}">
    <text xml:space="preserve">7    PL INOX 1500X4X6000
3    PL INOX  1500X5X3000
1    PL A-36    2440X6X6000
1    PL A-36    1000X4X6000
 1   PL A-36    1000X3X6000
 1   PL A-36    1000X2X3000  </text>
  </threadedComment>
  <threadedComment ref="AD13" dT="2022-04-18T16:05:26.15" personId="{00000000-0000-0000-0000-000000000000}" id="{FB339B87-14D2-4B51-A664-C4089214767A}">
    <text>1010K03
EJE 018104</text>
  </threadedComment>
  <threadedComment ref="AN13" dT="2022-03-23T20:38:13.24" personId="{00000000-0000-0000-0000-000000000000}" id="{8DAD6208-ABF8-4585-8C53-92FA7A96F2B8}">
    <text>BOMBA BLACKMER 4"</text>
  </threadedComment>
  <threadedComment ref="AP13" dT="2022-03-23T21:04:41.56" personId="{00000000-0000-0000-0000-000000000000}" id="{1252C8C0-6D84-4819-B132-8A180B38B650}">
    <text xml:space="preserve">CUENTA LITRO M-10 C1 LIQUID CONTROLS
CUENTA LITRO M-25 C1 LIQUID CONTROLS
</text>
  </threadedComment>
  <threadedComment ref="AR13" dT="2022-03-23T21:03:18.34" personId="{00000000-0000-0000-0000-000000000000}" id="{5B98B435-5B63-4EF6-BE5E-482B0BAEFC15}">
    <text>VALVULA FONDO NEUMATICA
VALVULA ALIVIO
VALVULA MEMBRANA
VALVULA RECUPERADORA DE GASES
ESCOTILLA 16"
VALVULA INTERLOCK
VALVULA LIBERADORA DE GASES (PIPA)
VALVULA CARGA Y DESCARGA
SENSOR OPTICO</text>
  </threadedComment>
  <threadedComment ref="AT13" dT="2022-03-23T20:27:32.60" personId="{00000000-0000-0000-0000-000000000000}" id="{64900414-6F63-44F4-AB3D-B483C110E4CC}">
    <text xml:space="preserve">CARRETE  RETRACTIL 1" HANAN REELS PARA 15 MTS. DE MANGUERA
CARRETE ELECTRICO 11/2" 24 V. HANNAN REELS PARA 15 MTS. DE MANGUERA
CARRETE ELECTRICO 24 V. HANNAN REELS PARA 10 MTS. DE MANGUERA
</text>
  </threadedComment>
  <threadedComment ref="AV13" dT="2022-03-23T20:30:12.44" personId="{00000000-0000-0000-0000-000000000000}" id="{3BB579B6-DDF1-47A0-AB18-23EDD68ABC71}">
    <text>15 MTS. MANGUERA 1" TERMOHID
15 MTS. MANGUERA 11/2" TERMOHID
10 MTS. MANGUERA 21/2" TERMOHID</text>
  </threadedComment>
  <threadedComment ref="AX13" dT="2022-03-23T20:33:41.25" personId="{00000000-0000-0000-0000-000000000000}" id="{2DE22BB5-C847-41B3-B629-6A1209D64D48}">
    <text xml:space="preserve">PISTOLA 1" OPW CORTE AUTOMATICO
PISTOLA 11/2 WIGGINS ZZ9A1
PISTOLA WIGGINS VR 300
</text>
  </threadedComment>
  <threadedComment ref="AZ13" dT="2022-03-23T20:36:46.09" personId="{00000000-0000-0000-0000-000000000000}" id="{C12EE9FE-3C1E-46B1-BFCD-20C991087528}">
    <text xml:space="preserve">MICRO FILTRO 300 G.PM HIDROSUMI
</text>
  </threadedComment>
  <threadedComment ref="BB13" dT="2022-05-12T12:31:17.36" personId="{00000000-0000-0000-0000-000000000000}" id="{59955AD3-8035-49B3-9F31-F48CE4357EBE}">
    <text>NARANJO</text>
  </threadedComment>
  <threadedComment ref="BD13" dT="2022-03-29T16:25:27.08" personId="{00000000-0000-0000-0000-000000000000}" id="{1BBE5A74-BEC8-487E-9D59-80AF92FFBC81}">
    <text>7  PL INOX 1500X5X6000
3  PL INOX  1500X4X6000
1  PL A-36 2440x6x6000
1   PL A-36 1000x4x6000
1   PL A-36 1000x3x6000
1   PL A-36 1000x2x3000</text>
  </threadedComment>
  <threadedComment ref="BB14" dT="2022-05-12T12:31:17.36" personId="{00000000-0000-0000-0000-000000000000}" id="{41E27A9C-2BC6-444C-B7E6-AB9E7FA5D846}">
    <text>NARANJO</text>
  </threadedComment>
  <threadedComment ref="BD14" dT="2022-03-29T16:25:27.08" personId="{00000000-0000-0000-0000-000000000000}" id="{502376FA-843E-4AB5-A4B4-1D68BE431E74}">
    <text>7  PL INOX 1500X5X6000
3  PL INOX  1500X4X6000
1  PL A-36 2440x6x6000
1   PL A-36 1000x4x6000
1   PL A-36 1000x3x6000
1   PL A-36 1000x2x3000</text>
  </threadedComment>
  <threadedComment ref="AR15" dT="2022-03-23T21:03:18.34" personId="{00000000-0000-0000-0000-000000000000}" id="{3F5EE303-548E-4B76-B0CA-D8710F18F659}">
    <text>VALVULA FONDO NEUMATICA
VALVULA ALIVIO
VALVULA MEMBRANA
VALVULA RECUPERADORA DE GASES
ESCOTILLA 16"
VALVULA INTERLOCK
VALVULA LIBERADORA DE GASES (PIPA)
VALVULA CARGA Y DESCARGA
SENSOR OPTICO</text>
  </threadedComment>
  <threadedComment ref="AT15" dT="2022-05-18T12:15:26.98" personId="{00000000-0000-0000-0000-000000000000}" id="{ED0C91E8-2C1F-495B-BFD5-F05F5FC9B566}">
    <text>CARRETE IPT 11/2 RETRACTIL
CARRETE  1" IPT RETRACTIL</text>
  </threadedComment>
  <threadedComment ref="BB15" dT="2022-05-18T18:48:22.18" personId="{00000000-0000-0000-0000-000000000000}" id="{227D9CEC-AFB0-4CAD-AD86-C1780261C1A2}">
    <text>BLANCO</text>
  </threadedComment>
  <threadedComment ref="BD15" dT="2022-05-04T19:55:46.67" personId="{00000000-0000-0000-0000-000000000000}" id="{CC3BB901-D8B2-44B1-82ED-47092851214F}">
    <text>6  PL  A-36  1500x4x6000
3  PL  A-36  1000x2x6000
1  PL DIAM  1000x2.5x3000</text>
  </threadedComment>
  <threadedComment ref="AR16" dT="2022-03-23T21:03:18.34" personId="{00000000-0000-0000-0000-000000000000}" id="{44D8DF93-42D9-4BFC-B2C3-EBCBFA0101F3}">
    <text>VALVULA FONDO NEUMATICA
VALVULA ALIVIO
VALVULA MEMBRANA
VALVULA RECUPERADORA DE GASES
ESCOTILLA 16"
VALVULA INTERLOCK
VALVULA LIBERADORA DE GASES (PIPA)
VALVULA CARGA Y DESCARGA
SENSOR OPTICO</text>
  </threadedComment>
  <threadedComment ref="AZ16" dT="2022-05-04T16:20:07.21" personId="{00000000-0000-0000-0000-000000000000}" id="{AD44C08F-8772-44C1-A0D5-1E44A1CB4AD8}">
    <text>PARKER FBO 14-DPL 11/2</text>
  </threadedComment>
  <threadedComment ref="BD16" dT="2022-05-04T16:21:22.09" personId="{00000000-0000-0000-0000-000000000000}" id="{05C23651-D02E-468E-9585-B3CC0CC05C4A}">
    <text>SE USA TARRO EN PLANTA</text>
  </threadedComment>
  <threadedComment ref="AD17" dT="2022-04-18T16:05:26.15" personId="{00000000-0000-0000-0000-000000000000}" id="{699BC863-7F2B-40DF-95DE-A79A69291EDF}">
    <text>1010K03
EJE 018104</text>
  </threadedComment>
  <threadedComment ref="BB17" dT="2022-05-23T14:30:57.55" personId="{00000000-0000-0000-0000-000000000000}" id="{7C9CF7B9-13B9-4591-9C9C-DAEFDD1BA0E0}">
    <text>BLANCO</text>
  </threadedComment>
  <threadedComment ref="BB18" dT="2022-05-18T16:12:11.71" personId="{00000000-0000-0000-0000-000000000000}" id="{521BF6BA-5993-43C8-9BF1-960927947A01}">
    <text xml:space="preserve">VERDE RAL 6037
</text>
  </threadedComment>
  <threadedComment ref="BD18" dT="2022-05-04T19:17:42.43" personId="{00000000-0000-0000-0000-000000000000}" id="{2CE98BD7-EE73-4DD6-9912-8E8287676692}">
    <text>5   PL  A-36 2440x6x6000
2   PL  A-36  1500x5x6000
1   PL  A-36   1500x4x6000
1   PL  A-36   1000x3x6000
1   PL  A-36   1000x2x3000</text>
  </threadedComment>
  <threadedComment ref="BB19" dT="2022-05-12T12:28:51.54" personId="{00000000-0000-0000-0000-000000000000}" id="{461FDD81-54D5-40DA-A261-8D3C67F8B4A2}">
    <text xml:space="preserve">NARANJO
</text>
  </threadedComment>
  <threadedComment ref="BD19" dT="2022-04-05T21:19:39.54" personId="{00000000-0000-0000-0000-000000000000}" id="{41A56EC0-772E-4813-9337-CAF66D07B385}">
    <text xml:space="preserve">1/2     PL A-36  2440X10X6000
2         PL A-36  2440X8X6000
3         PL A-36  2440X6X6000
11/2    PL A-36  1500X5X6000
1/2      PL A-36  1500X4X6000   
1         PL A-36  1500X3X6000
1/2      PL A-36  1000X2X6000
</text>
  </threadedComment>
  <threadedComment ref="BB20" dT="2022-05-26T13:48:44.24" personId="{00000000-0000-0000-0000-000000000000}" id="{3520809D-FA4A-49A2-AFC3-6B1154899779}">
    <text>AMARILLO CAT</text>
  </threadedComment>
  <threadedComment ref="BB21" dT="2022-05-26T13:48:44.24" personId="{00000000-0000-0000-0000-000000000000}" id="{5E4E0A5C-732B-4B6F-8858-B269E1CF776C}">
    <text>AMARILLO CAT</text>
  </threadedComment>
</ThreadedComments>
</file>

<file path=xl/threadedComments/threadedComment3.xml><?xml version="1.0" encoding="utf-8"?>
<ThreadedComments xmlns="http://schemas.microsoft.com/office/spreadsheetml/2018/threadedcomments" xmlns:x="http://schemas.openxmlformats.org/spreadsheetml/2006/main">
  <threadedComment ref="AF2" dT="2022-03-25T11:57:59.34" personId="{00000000-0000-0000-0000-000000000000}" id="{5A2983B3-3B10-49F4-99AE-0905354CB2FE}">
    <text xml:space="preserve">BOMBA DE ENGRANAJE BELD 80 BZ
CODIGO BELD80814
</text>
  </threadedComment>
  <threadedComment ref="BB2" dT="2022-05-12T15:49:05.57" personId="{00000000-0000-0000-0000-000000000000}" id="{D0A70279-1295-4F1A-8BD2-8245A38BE75F}">
    <text>CABINA NARANJO</text>
  </threadedComment>
  <threadedComment ref="BD2" dT="2022-03-24T12:52:39.29" personId="{00000000-0000-0000-0000-000000000000}" id="{71570DAA-41BD-4872-B578-625074667236}">
    <text>1       PL XAR 3.000x8x.10.000
1 1/2 PL. XAR 2.000X10X6.000
1       PL. A36 2.440x10x6.000
2       PL. A36 2.440x8x6.000
11/2  PL. A36 2.440x6x6000
1       PL. 1.500x5x6000
2       PL. 1.000.2.5.6000</text>
  </threadedComment>
  <threadedComment ref="AF3" dT="2022-03-25T11:57:59.34" personId="{00000000-0000-0000-0000-000000000000}" id="{9D8FA3D6-3444-4127-A23B-EF7F0B774B59}">
    <text xml:space="preserve">BOMBA DE ENGRANAJE BELD 80 BZ
CODIGO BELD80814
</text>
  </threadedComment>
  <threadedComment ref="BB3" dT="2022-06-01T21:36:37.22" personId="{00000000-0000-0000-0000-000000000000}" id="{B0EDB555-3169-444C-9DFE-E0B093A0B621}">
    <text>BLANCO</text>
  </threadedComment>
  <threadedComment ref="BD3" dT="2022-05-04T19:30:56.85" personId="{00000000-0000-0000-0000-000000000000}" id="{422695DE-13B5-421A-9501-9E6530AE0009}">
    <text xml:space="preserve">1   PL A-36  2440x10x2000
1   PL A-36  2440x8x6000
3   PL A-36  2440x6x6000
1   PL A-36  1500x5x6000
1   PL  A36  1000x3x6000
1   PL  A-36 1000x2x6000 </text>
  </threadedComment>
  <threadedComment ref="BB4" dT="2022-06-03T15:59:08.90" personId="{00000000-0000-0000-0000-000000000000}" id="{1383A349-1371-4ED4-8ADB-BF35859DF24C}">
    <text>NARANJO</text>
  </threadedComment>
  <threadedComment ref="BD4" dT="2022-04-05T21:19:39.54" personId="{00000000-0000-0000-0000-000000000000}" id="{09E7996D-D08C-4CF6-A7AE-0902953341D1}">
    <text xml:space="preserve">1/2     PL A-36  2440X10X6000
2         PL A-36  2440X8X6000
3         PL A-36  2440X6X6000
11/2    PL A-36  1500X5X6000
1/2      PL A-36  1500X4X6000   
1         PL A-36  1500X3X6000
1/2      PL A-36  1000X2X6000
</text>
  </threadedComment>
  <threadedComment ref="BB5" dT="2022-06-24T16:45:11.66" personId="{00000000-0000-0000-0000-000000000000}" id="{73A1CA71-FCDB-40E8-8F78-C2785A13744E}">
    <text>AMARILLO IDEM CABINA</text>
  </threadedComment>
  <threadedComment ref="BB6" dT="2022-06-03T15:59:28.65" personId="{00000000-0000-0000-0000-000000000000}" id="{6D3CC857-B441-401A-A5BE-BFCFD65951DC}">
    <text>AMARILLO CAT</text>
  </threadedComment>
  <threadedComment ref="BD6" dT="2022-05-31T16:14:05.00" personId="{00000000-0000-0000-0000-000000000000}" id="{90B564A5-CAA4-4BD4-9018-2B2129F007A5}">
    <text xml:space="preserve">1/4  PL  2440X10X6000
11/2 PL   2440X8X6000
31/2 PL   2440X6X6000 
11/2 PL   1500X5X6000
1/4   PL   1500X4X6000 
1      PL    1500X3X6000
1/2   PL    1000X2X6000
</text>
  </threadedComment>
  <threadedComment ref="BB7" dT="2022-06-24T13:38:44.30" personId="{00000000-0000-0000-0000-000000000000}" id="{6E0415AC-1BE3-46B4-BB1B-BC107B3C0382}">
    <text>AZUL -BLANCO</text>
  </threadedComment>
  <threadedComment ref="BB8" dT="2022-06-08T21:43:25.88" personId="{00000000-0000-0000-0000-000000000000}" id="{00003115-2BE5-4100-93CB-9B555B50E3DE}">
    <text>BLANCO</text>
  </threadedComment>
  <threadedComment ref="AR9" dT="2022-03-23T21:03:18.34" personId="{00000000-0000-0000-0000-000000000000}" id="{748FF313-8921-47F5-BBAA-38D43AA89EF7}">
    <text>VALVULA FONDO NEUMATICA
VALVULA ALIVIO
VALVULA MEMBRANA
VALVULA RECUPERADORA DE GASES
ESCOTILLA 16"
VALVULA INTERLOCK
VALVULA LIBERADORA DE GASES (PIPA)
VALVULA CARGA Y DESCARGA
SENSOR OPTICO</text>
  </threadedComment>
  <threadedComment ref="BB9" dT="2022-06-02T11:46:13.99" personId="{00000000-0000-0000-0000-000000000000}" id="{94934880-4211-40BB-8DFE-37F003C8C76E}">
    <text>BLANCO</text>
  </threadedComment>
  <threadedComment ref="BC9" dT="2022-05-25T21:29:01.24" personId="{00000000-0000-0000-0000-000000000000}" id="{A7F20E4B-B84A-4AF6-9A18-EF04783AA49D}">
    <text>BLANCO</text>
  </threadedComment>
  <threadedComment ref="BD9" dT="2022-05-04T19:55:46.67" personId="{00000000-0000-0000-0000-000000000000}" id="{4F92ED40-C597-4048-BF3F-87A99E2F3E53}">
    <text>6  PL  A-36  1500x5x6000
3  PL  A-36  1000x2x6000
1  PL DIAM  1000x2.5x3000</text>
  </threadedComment>
  <threadedComment ref="BB10" dT="2022-06-16T19:35:07.40" personId="{00000000-0000-0000-0000-000000000000}" id="{605BAD24-026E-4723-AD9C-A2DE8F467009}">
    <text>AZUL PACIFICO</text>
  </threadedComment>
  <threadedComment ref="BB11" dT="2022-05-20T14:34:51.65" personId="{00000000-0000-0000-0000-000000000000}" id="{A904EED5-F65E-42AB-A405-71201039DB81}">
    <text>ROJO BERMELLON</text>
  </threadedComment>
  <threadedComment ref="BD11" dT="2022-05-04T20:07:35.62" personId="{00000000-0000-0000-0000-000000000000}" id="{9127FD7F-A724-45EA-92AB-CACE94793F22}">
    <text>2  PL  A-36  2440X8X6000
5  PL  A-36  2400x6x6000
2  PL  A-36  1500x5x6000
1  PL  A-36  1500x4x6000
1  PL  A-36  1000x3x3000
1  PL  A-36  1000x2x6000</text>
  </threadedComment>
  <threadedComment ref="BB12" dT="2022-06-15T20:33:44.42" personId="{00000000-0000-0000-0000-000000000000}" id="{B955D2DE-90BF-4605-99D7-B146F7D01E06}">
    <text>BLANCO</text>
  </threadedComment>
  <threadedComment ref="BD12" dT="2022-05-04T19:55:46.67" personId="{00000000-0000-0000-0000-000000000000}" id="{A3CD875F-8C08-43FF-9A4D-7E05B95AA11F}">
    <text>6  PL  A-36  1500x5x6000
3  PL  A-36  1000x2x6000
1  PL DIAM  1000x2.5x3000</text>
  </threadedComment>
  <threadedComment ref="BB13" dT="2022-06-08T14:19:22.40" personId="{00000000-0000-0000-0000-000000000000}" id="{96568FB1-7968-40EC-8299-E3C57FA0A200}">
    <text>AMARILLO IDEM CABINA</text>
  </threadedComment>
  <threadedComment ref="BD13" dT="2022-05-04T19:17:42.43" personId="{00000000-0000-0000-0000-000000000000}" id="{483FA93B-EFE2-4362-BD3F-3F7E00939E1D}">
    <text>5   PL  A-36 2440x6x6000
2   PL  A-36  1500x5x6000
1   PL  A-36   1500x4x6000
1   PL  A-36   1000x3x6000
1   PL  A-36   1000x2x3000</text>
  </threadedComment>
  <threadedComment ref="BB14" dT="2022-06-16T14:53:49.12" personId="{00000000-0000-0000-0000-000000000000}" id="{5CC2AC27-6CB4-4AF4-9792-EEA6A8B2E4C2}">
    <text>4 NARANJO-3 BLANCO</text>
  </threadedComment>
  <threadedComment ref="AN15" dT="2022-03-23T20:38:13.24" personId="{00000000-0000-0000-0000-000000000000}" id="{9EFAC611-FD70-439B-B144-051AE9D39E9F}">
    <text>BOMBA BLACKMER 4"</text>
  </threadedComment>
  <threadedComment ref="AP15" dT="2022-03-23T21:04:41.56" personId="{00000000-0000-0000-0000-000000000000}" id="{A7169D58-0F46-4231-BB48-4CFE853434FB}">
    <text xml:space="preserve">CUENTA LITRO M-10 C1 LIQUID CONTROLS
CUENTA LITRO M-25 C1 LIQUID CONTROLS
</text>
  </threadedComment>
  <threadedComment ref="AR15" dT="2022-03-23T21:03:18.34" personId="{00000000-0000-0000-0000-000000000000}" id="{CDF93AAA-75BF-467D-87D5-AD477C90CC36}">
    <text>VALVULA FONDO NEUMATICA
VALVULA ALIVIO
VALVULA MEMBRANA
VALVULA RECUPERADORA DE GASES
ESCOTILLA 16"
VALVULA INTERLOCK
VALVULA LIBERADORA DE GASES (PIPA)
VALVULA CARGA Y DESCARGA
SENSOR OPTICO</text>
  </threadedComment>
  <threadedComment ref="AT15" dT="2022-03-23T20:27:32.60" personId="{00000000-0000-0000-0000-000000000000}" id="{88EB7F41-0D2B-4271-8366-9D18F3DA4D95}">
    <text xml:space="preserve">CARRETE  RETRACTIL 1" HANAN REELS PARA 15 MTS. DE MANGUERA
CARRETE ELECTRICO 11/2" 24 V. HANNAN REELS PARA 15 MTS. DE MANGUERA
CARRETE ELECTRICO 24 V. HANNAN REELS PARA 10 MTS. DE MANGUERA
</text>
  </threadedComment>
  <threadedComment ref="AV15" dT="2022-03-23T20:30:12.44" personId="{00000000-0000-0000-0000-000000000000}" id="{C554721D-9D63-4C7E-904F-DB89240FCD8E}">
    <text>15 MTS. MANGUERA 1" TERMOHID
15 MTS. MANGUERA 11/2" TERMOHID
10 MTS. MANGUERA 21/2" TERMOHID</text>
  </threadedComment>
  <threadedComment ref="AX15" dT="2022-03-23T20:33:41.25" personId="{00000000-0000-0000-0000-000000000000}" id="{DF9A03D3-1B3B-4385-9D8F-AD6FE31EAE71}">
    <text xml:space="preserve">PISTOLA 1" OPW CORTE AUTOMATICO
PISTOLA 11/2 WIGGINS ZZ9A1
PISTOLA WIGGINS VR 300
</text>
  </threadedComment>
  <threadedComment ref="AZ15" dT="2022-03-23T20:36:46.09" personId="{00000000-0000-0000-0000-000000000000}" id="{240C3F65-9E26-4B9E-846D-8B3E6FE26CA7}">
    <text xml:space="preserve">MICRO FILTRO 300 G.PM HIDROSUMI
</text>
  </threadedComment>
  <threadedComment ref="BB15" dT="2022-05-23T11:59:53.07" personId="{00000000-0000-0000-0000-000000000000}" id="{EA070F7E-F1C0-4F55-ADB4-9DEC31FB059C}">
    <text>INTERIOR BLANCO,  2TARROS Y EXTERIOR NARANJO 4 TARROS</text>
  </threadedComment>
  <threadedComment ref="BD15" dT="2022-04-01T13:38:08.73" personId="{00000000-0000-0000-0000-000000000000}" id="{3E208ACD-8D5B-4613-80C8-BAC1024337D3}">
    <text>11 PL  A-36 1500X5X6000
4   PL  A-36 1000X2X6000
1   PL. A-36  1500X3X6000
1/2PL. A-36  2440X6X6000
2   PL. DIAM. 1000X205X6000</text>
  </threadedComment>
  <threadedComment ref="BB16" dT="2022-05-23T11:59:53.07" personId="{00000000-0000-0000-0000-000000000000}" id="{32AD6CED-8A4F-4102-A8CA-4515BD36E5C9}">
    <text>INTERIOR BLANCO,  2TARROS Y EXTERIOR NARANJO 4 TARROS</text>
  </threadedComment>
  <threadedComment ref="BB17" dT="2022-06-15T20:25:29.10" personId="{00000000-0000-0000-0000-000000000000}" id="{7330F8A6-65D8-4A3F-B300-97AEBE6D679C}">
    <text>ROJO BERMELLON</text>
  </threadedComment>
  <threadedComment ref="BB18" dT="2022-06-15T20:26:50.40" personId="{00000000-0000-0000-0000-000000000000}" id="{18DA807A-E767-4714-AE99-D610B7131D96}">
    <text xml:space="preserve">NARANJO
</text>
  </threadedComment>
  <threadedComment ref="BB19" dT="2022-06-09T17:14:21.29" personId="{00000000-0000-0000-0000-000000000000}" id="{A0E2112C-491A-46DE-91C6-08C21032904F}">
    <text>NARANJO</text>
  </threadedComment>
  <threadedComment ref="BB20" dT="2022-06-08T21:38:27.75" personId="{00000000-0000-0000-0000-000000000000}" id="{8BB55339-63C7-4CEC-830B-3CA32BDFC110}">
    <text>NARANJO</text>
  </threadedComment>
  <threadedComment ref="BB21" dT="2022-06-22T16:00:46.29" personId="{00000000-0000-0000-0000-000000000000}" id="{463DA21D-927E-4D1F-A945-D19A35037825}">
    <text>NARANJO</text>
  </threadedComment>
  <threadedComment ref="AF23" dT="2022-03-25T11:57:59.34" personId="{00000000-0000-0000-0000-000000000000}" id="{CA45B1C1-BB8A-4A47-AE4D-9D70F41719A6}">
    <text xml:space="preserve">BOMBA DE ENGRANAJE BELD 80 BZ
CODIGO BELD80814
</text>
  </threadedComment>
  <threadedComment ref="BB23" dT="2022-06-15T20:21:28.05" personId="{00000000-0000-0000-0000-000000000000}" id="{C0FA69D1-90B7-48B0-AAB6-0BD8F235034E}">
    <text>BLANCO</text>
  </threadedComment>
  <threadedComment ref="BD23" dT="2022-04-07T17:17:11.08" personId="{00000000-0000-0000-0000-000000000000}" id="{D4168D6D-777D-4C3C-96AB-0E314F8C1944}">
    <text xml:space="preserve">1/2   PL T1     3000X6X10000
1/2   PL T-1    2500X8X10000
1/2    PL A-36 2440X6X6000
11/2  PL A-36 1500X5X6000
1/2    PL A-36 1500X3X6000  
1       PL  A-36 1000X2X3000 </text>
  </threadedComment>
  <threadedComment ref="AF24" dT="2022-03-25T11:57:59.34" personId="{00000000-0000-0000-0000-000000000000}" id="{BC8374F0-A2B3-4D87-9A07-B58B41F02AA1}">
    <text xml:space="preserve">BOMBA DE ENGRANAJE BELD 80 BZ
CODIGO BELD80814
</text>
  </threadedComment>
  <threadedComment ref="BB24" dT="2022-06-15T20:21:28.05" personId="{00000000-0000-0000-0000-000000000000}" id="{DE56D4AA-8818-4C0B-8C22-15EF7F1B843B}">
    <text>BLANCO</text>
  </threadedComment>
  <threadedComment ref="BD24" dT="2022-04-07T17:17:11.08" personId="{00000000-0000-0000-0000-000000000000}" id="{C559706D-8A79-47B7-9F55-5F0853926E1B}">
    <text xml:space="preserve">1/2   PL T1     3000X6X10000
1/2   PL T-1    2500X8X10000
1/2    PL A-36 2440X6X6000
11/2  PL A-36 1500X5X6000
1/2    PL A-36 1500X3X6000  
1       PL  A-36 1000X2X3000 </text>
  </threadedComment>
  <threadedComment ref="AF25" dT="2022-03-25T11:57:59.34" personId="{00000000-0000-0000-0000-000000000000}" id="{0890545A-8793-47AE-A233-C047D52BE6C9}">
    <text xml:space="preserve">BOMBA DE ENGRANAJE BELD 80 BZ
CODIGO BELD80814
</text>
  </threadedComment>
  <threadedComment ref="BB25" dT="2022-06-15T20:21:28.05" personId="{00000000-0000-0000-0000-000000000000}" id="{45F7904C-F364-46E4-A1D5-6059B8FA3934}">
    <text>BLANCO</text>
  </threadedComment>
  <threadedComment ref="BD25" dT="2022-04-07T17:17:11.08" personId="{00000000-0000-0000-0000-000000000000}" id="{0A5C8066-B9E3-40E1-8E97-71407EE762D0}">
    <text xml:space="preserve">1/2   PL T1     3000X6X10000
1/2   PL T-1    2500X8X10000
1/2    PL A-36 2440X6X6000
11/2  PL A-36 1500X5X6000
1/2    PL A-36 1500X3X6000  
1       PL  A-36 1000X2X3000 </text>
  </threadedComment>
  <threadedComment ref="AF26" dT="2022-03-25T11:57:59.34" personId="{00000000-0000-0000-0000-000000000000}" id="{F52C4F1E-825B-421C-BE39-203C93490B29}">
    <text xml:space="preserve">BOMBA DE ENGRANAJE BELD 80 BZ
CODIGO BELD80814
</text>
  </threadedComment>
  <threadedComment ref="BB26" dT="2022-06-15T20:21:28.05" personId="{00000000-0000-0000-0000-000000000000}" id="{7CBA48DF-257A-45A5-AF06-EBA9ADA4E4B0}">
    <text>BLANCO</text>
  </threadedComment>
  <threadedComment ref="BD26" dT="2022-04-07T17:17:11.08" personId="{00000000-0000-0000-0000-000000000000}" id="{6B791179-7329-4DE9-A131-46BC32E80D86}">
    <text xml:space="preserve">1/2   PL T1     3000X6X10000
1/2   PL T-1    2500X8X10000
1/2    PL A-36 2440X6X6000
11/2  PL A-36 1500X5X6000
1/2    PL A-36 1500X3X6000  
1       PL  A-36 1000X2X3000 </text>
  </threadedComment>
  <threadedComment ref="BD27" dT="2022-05-31T16:14:05.00" personId="{00000000-0000-0000-0000-000000000000}" id="{056AB04B-CE4B-4848-801C-01BCBD6869E0}">
    <text xml:space="preserve">1/4  PL  2440X10X6000
11/2 PL   2440X8X6000
31/2 PL   2440X6X6000 
11/2 PL   1500X5X6000
1/4   PL   1500X4X6000 
1      PL    1500X3X6000
1/2   PL    1000X2X6000
</text>
  </threadedComment>
  <threadedComment ref="BB29" dT="2022-06-24T13:33:31.47" personId="{00000000-0000-0000-0000-000000000000}" id="{56E0E3FC-92CE-4DD0-B76A-00892E529692}">
    <text>BLANCO AZUL COPEC + GRAFICA</text>
  </threadedComment>
  <threadedComment ref="BD29" dT="2022-05-04T19:55:46.67" personId="{00000000-0000-0000-0000-000000000000}" id="{7F65DD50-6344-4561-AD22-557B6561D337}">
    <text>6  PL  A-36  1500x5x6000
3  PL  A-36  1000x2x6000
1  PL DIAM  1000x2.5x3000</text>
  </threadedComment>
  <threadedComment ref="AN31" dT="2022-03-23T20:38:13.24" personId="{00000000-0000-0000-0000-000000000000}" id="{82C5309F-DFE8-4D1F-8B9D-E3BA146B29A0}">
    <text>BOMBA BLACKMER 4"</text>
  </threadedComment>
  <threadedComment ref="AP31" dT="2022-03-23T21:04:41.56" personId="{00000000-0000-0000-0000-000000000000}" id="{3890E33E-71D4-4CB1-BCF0-062EAE0235D0}">
    <text xml:space="preserve">CUENTA LITRO M-10 C1 LIQUID CONTROLS
CUENTA LITRO M-25 C1 LIQUID CONTROLS
</text>
  </threadedComment>
  <threadedComment ref="AR31" dT="2022-03-23T21:03:18.34" personId="{00000000-0000-0000-0000-000000000000}" id="{EE2F0846-ACAB-48F5-905E-66BB685D812A}">
    <text>VALVULA FONDO NEUMATICA
VALVULA ALIVIO
VALVULA MEMBRANA
VALVULA RECUPERADORA DE GASES
ESCOTILLA 16"
VALVULA INTERLOCK
VALVULA LIBERADORA DE GASES (PIPA)
VALVULA CARGA Y DESCARGA
SENSOR OPTICO</text>
  </threadedComment>
  <threadedComment ref="AT31" dT="2022-03-23T20:27:32.60" personId="{00000000-0000-0000-0000-000000000000}" id="{3F80F36D-627F-41E5-A58F-F272987FAD82}">
    <text xml:space="preserve">CARRETE  RETRACTIL 1" HANAN REELS PARA 15 MTS. DE MANGUERA
CARRETE ELECTRICO 11/2" 24 V. HANNAN REELS PARA 15 MTS. DE MANGUERA
CARRETE ELECTRICO 24 V. HANNAN REELS PARA 10 MTS. DE MANGUERA
</text>
  </threadedComment>
  <threadedComment ref="AV31" dT="2022-03-23T20:30:12.44" personId="{00000000-0000-0000-0000-000000000000}" id="{2E108B26-5FB3-4757-BB2F-AC08B8576735}">
    <text>15 MTS. MANGUERA 1" TERMOHID
15 MTS. MANGUERA 11/2" TERMOHID
10 MTS. MANGUERA 21/2" TERMOHID</text>
  </threadedComment>
  <threadedComment ref="AX31" dT="2022-03-23T20:33:41.25" personId="{00000000-0000-0000-0000-000000000000}" id="{0FE55145-AC84-4EF3-AE04-E55181D10CA5}">
    <text xml:space="preserve">PISTOLA 1" OPW CORTE AUTOMATICO
PISTOLA 11/2 WIGGINS ZZ9A1
PISTOLA WIGGINS VR 300
</text>
  </threadedComment>
  <threadedComment ref="AZ31" dT="2022-03-23T20:36:46.09" personId="{00000000-0000-0000-0000-000000000000}" id="{7FBD999E-E09E-495C-8923-679BCCFB9A4D}">
    <text xml:space="preserve">MICRO FILTRO 300 G.PM HIDROSUMI
</text>
  </threadedComment>
  <threadedComment ref="BB31" dT="2022-05-12T12:31:17.36" personId="{00000000-0000-0000-0000-000000000000}" id="{036C10DB-762A-4971-814B-646043A4B194}">
    <text>NARANJO</text>
  </threadedComment>
  <threadedComment ref="BD31" dT="2022-03-29T16:25:27.08" personId="{00000000-0000-0000-0000-000000000000}" id="{83EF7032-C27B-47E5-8203-05DD38A0D79E}">
    <text>7  PL INOX 1500X5X6000
3  PL INOX  1500X4X6000
1  PL A-36 2440x6x6000
1   PL A-36 1000x4x6000
1   PL A-36 1000x3x6000
1   PL A-36 1000x2x3000</text>
  </threadedComment>
  <threadedComment ref="BB33" dT="2022-06-24T13:32:06.47" personId="{00000000-0000-0000-0000-000000000000}" id="{0B5A90E7-E10A-4A06-A362-4000F2ADD03B}">
    <text>NARANJO</text>
  </threadedComment>
  <threadedComment ref="BB34" dT="2022-06-08T13:52:26.86" personId="{00000000-0000-0000-0000-000000000000}" id="{EC6F280C-ED3D-4372-8D09-1C7112399A3A}">
    <text>BLANCO</text>
  </threadedComment>
</ThreadedComments>
</file>

<file path=xl/threadedComments/threadedComment4.xml><?xml version="1.0" encoding="utf-8"?>
<ThreadedComments xmlns="http://schemas.microsoft.com/office/spreadsheetml/2018/threadedcomments" xmlns:x="http://schemas.openxmlformats.org/spreadsheetml/2006/main">
  <threadedComment ref="BG2" dT="2022-07-06T12:10:13.49" personId="{00000000-0000-0000-0000-000000000000}" id="{DE1DBCDE-5794-45C4-B4A2-C6FCF3E8C85A}">
    <text>NARANJO</text>
  </threadedComment>
  <threadedComment ref="BG3" dT="2022-08-02T13:29:51.72" personId="{00000000-0000-0000-0000-000000000000}" id="{36C12EC0-28BF-44C5-BE50-0F0B10E24E71}">
    <text>NARANJO</text>
  </threadedComment>
  <threadedComment ref="AK4" dT="2022-03-25T11:57:59.34" personId="{00000000-0000-0000-0000-000000000000}" id="{19A816DB-58EC-4993-ADE8-7FC06F02AD8B}">
    <text xml:space="preserve">BOMBA DE ENGRANAJE BELD 80 BZ
CODIGO BELD80814
</text>
  </threadedComment>
  <threadedComment ref="BG4" dT="2022-06-15T20:21:28.05" personId="{00000000-0000-0000-0000-000000000000}" id="{AD0758F0-5C4C-4782-A0CD-F6BA9045199B}">
    <text>AMARILLO CAT</text>
  </threadedComment>
  <threadedComment ref="BI4" dT="2022-04-07T17:17:11.08" personId="{00000000-0000-0000-0000-000000000000}" id="{BD196734-A552-4F61-BE9F-92FDE4BE78EB}">
    <text xml:space="preserve">1/2   PL T1     3000X6X10000
1/2   PL T-1    2500X8X10000
1/2    PL A-36 2440X6X6000
11/2  PL A-36 1500X5X6000
1/2    PL A-36 1500X3X6000  
1       PL  A-36 1000X2X3000 </text>
  </threadedComment>
  <threadedComment ref="AK5" dT="2022-03-25T11:57:59.34" personId="{00000000-0000-0000-0000-000000000000}" id="{182D5D17-ABC0-4881-B394-A973EF370760}">
    <text xml:space="preserve">BOMBA DE ENGRANAJE BELD 80 BZ
CODIGO BELD80814
</text>
  </threadedComment>
  <threadedComment ref="BG5" dT="2022-06-15T20:21:28.05" personId="{00000000-0000-0000-0000-000000000000}" id="{C434EA2D-E425-4637-B80D-E7BE90BB2BCA}">
    <text>AMARILLO CAT</text>
  </threadedComment>
  <threadedComment ref="BI5" dT="2022-04-07T17:17:11.08" personId="{00000000-0000-0000-0000-000000000000}" id="{917B9D60-C195-421D-A396-8DF1F17E0A23}">
    <text xml:space="preserve">1/2   PL T1     3000X6X10000
1/2   PL T-1    2500X8X10000
1/2    PL A-36 2440X6X6000
11/2  PL A-36 1500X5X6000
1/2    PL A-36 1500X3X6000  
1       PL  A-36 1000X2X3000 </text>
  </threadedComment>
  <threadedComment ref="BG6" dT="2022-07-04T13:39:16.71" personId="{00000000-0000-0000-0000-000000000000}" id="{517C1ED6-F676-46F3-92A9-D303765AA14A}">
    <text xml:space="preserve">NARANJO
</text>
  </threadedComment>
  <threadedComment ref="BI6" dT="2022-05-31T16:14:05.00" personId="{00000000-0000-0000-0000-000000000000}" id="{B361BA9A-C0FC-45E4-BF20-0B6268DD240F}">
    <text xml:space="preserve">1/4  PL  2440X10X6000
11/2 PL   2440X8X6000
31/2 PL   2440X6X6000 
11/2 PL   1500X5X6000
1/4   PL   1500X4X6000 
1      PL    1500X3X6000
1/2   PL    1000X2X6000
</text>
  </threadedComment>
  <threadedComment ref="BG7" dT="2022-07-08T15:52:19.85" personId="{00000000-0000-0000-0000-000000000000}" id="{8BFC702B-408F-4C9E-AB12-2454D5FC2B5C}">
    <text>AMARILLO CABINA</text>
  </threadedComment>
  <threadedComment ref="BG8" dT="2022-06-24T13:33:31.47" personId="{00000000-0000-0000-0000-000000000000}" id="{C181F008-5D39-4AA0-B211-F63BCE9C466A}">
    <text>BLANCO AZUL COPEC + GRAFICA</text>
  </threadedComment>
  <threadedComment ref="BI8" dT="2022-05-04T19:55:46.67" personId="{00000000-0000-0000-0000-000000000000}" id="{101463F7-F73D-4475-979B-34EF02F84774}">
    <text>6  PL  A-36  1500x5x6000
3  PL  A-36  1000x2x6000
1  PL DIAM  1000x2.5x3000</text>
  </threadedComment>
  <threadedComment ref="BG9" dT="2022-07-06T12:11:14.88" personId="{00000000-0000-0000-0000-000000000000}" id="{F8C13677-072B-4305-8C56-FA0CC46008E0}">
    <text>BLANCO</text>
  </threadedComment>
  <threadedComment ref="AS10" dT="2022-03-23T20:38:13.24" personId="{00000000-0000-0000-0000-000000000000}" id="{2C857855-B3DE-4679-94EF-B1AC73E23673}">
    <text>BOMBA BLACKMER 4"</text>
  </threadedComment>
  <threadedComment ref="AU10" dT="2022-03-23T21:04:41.56" personId="{00000000-0000-0000-0000-000000000000}" id="{1FBDA163-35A2-4541-B9CA-5C2A889415AC}">
    <text xml:space="preserve">CUENTA LITRO M-10 C1 LIQUID CONTROLS
CUENTA LITRO M-25 C1 LIQUID CONTROLS
</text>
  </threadedComment>
  <threadedComment ref="AW10" dT="2022-03-23T21:03:18.34" personId="{00000000-0000-0000-0000-000000000000}" id="{28BF5DC0-3930-4BB0-9B5B-2612F6592B5B}">
    <text>VALVULA FONDO NEUMATICA
VALVULA ALIVIO
VALVULA MEMBRANA
VALVULA RECUPERADORA DE GASES
ESCOTILLA 16"
VALVULA INTERLOCK
VALVULA LIBERADORA DE GASES (PIPA)
VALVULA CARGA Y DESCARGA
SENSOR OPTICO</text>
  </threadedComment>
  <threadedComment ref="AY10" dT="2022-03-23T20:27:32.60" personId="{00000000-0000-0000-0000-000000000000}" id="{4CA33A0A-14A5-411A-B77D-471F369F03B6}">
    <text xml:space="preserve">CARRETE  RETRACTIL 1" HANAN REELS PARA 15 MTS. DE MANGUERA
CARRETE ELECTRICO 11/2" 24 V. HANNAN REELS PARA 15 MTS. DE MANGUERA
CARRETE ELECTRICO 24 V. HANNAN REELS PARA 10 MTS. DE MANGUERA
</text>
  </threadedComment>
  <threadedComment ref="BA10" dT="2022-03-23T20:30:12.44" personId="{00000000-0000-0000-0000-000000000000}" id="{7B290354-4B06-40C7-911A-5C2EC12DB576}">
    <text>15 MTS. MANGUERA 1" TERMOHID
15 MTS. MANGUERA 11/2" TERMOHID
10 MTS. MANGUERA 21/2" TERMOHID</text>
  </threadedComment>
  <threadedComment ref="BC10" dT="2022-03-23T20:33:41.25" personId="{00000000-0000-0000-0000-000000000000}" id="{E44CCD52-2284-4691-BC93-770021D94655}">
    <text xml:space="preserve">PISTOLA 1" OPW CORTE AUTOMATICO
PISTOLA 11/2 WIGGINS ZZ9A1
PISTOLA WIGGINS VR 300
</text>
  </threadedComment>
  <threadedComment ref="BE10" dT="2022-03-23T20:36:46.09" personId="{00000000-0000-0000-0000-000000000000}" id="{37ED5030-F720-4B76-A6B6-2409DDDBDE62}">
    <text xml:space="preserve">MICRO FILTRO 300 G.PM HIDROSUMI
</text>
  </threadedComment>
  <threadedComment ref="BG10" dT="2022-05-12T12:31:17.36" personId="{00000000-0000-0000-0000-000000000000}" id="{F3210335-587B-4C5A-AF1D-AE205469667C}">
    <text>NARANJO</text>
  </threadedComment>
  <threadedComment ref="BI10" dT="2022-03-29T16:25:27.08" personId="{00000000-0000-0000-0000-000000000000}" id="{E3B33492-8AA9-4BB5-AFBD-1EB427384826}">
    <text>7  PL INOX 1500X5X6000
3  PL INOX  1500X4X6000
1  PL A-36 2440x6x6000
1   PL A-36 1000x4x6000
1   PL A-36 1000x3x6000
1   PL A-36 1000x2x3000</text>
  </threadedComment>
  <threadedComment ref="BG11" dT="2022-08-08T17:30:13.73" personId="{00000000-0000-0000-0000-000000000000}" id="{A4AD705F-67D2-46CD-826A-4F2D78413C03}">
    <text>AMARILLO 1023-+ PILARES Y PISO NEGRO</text>
  </threadedComment>
  <threadedComment ref="BG12" dT="2022-06-24T13:32:06.47" personId="{00000000-0000-0000-0000-000000000000}" id="{9C4AFB05-6BD1-462E-A81F-A2189C6D4562}">
    <text>NARANJO</text>
  </threadedComment>
  <threadedComment ref="BG13" dT="2022-06-08T13:52:26.86" personId="{00000000-0000-0000-0000-000000000000}" id="{96CE7177-3C14-4217-8871-062FBEFC4790}">
    <text>BLANCO</text>
  </threadedComment>
  <threadedComment ref="BG14" dT="2022-07-05T14:02:39.06" personId="{00000000-0000-0000-0000-000000000000}" id="{7D5DB17B-747E-4B2A-968F-818EFC13C9AC}">
    <text>NARANJO</text>
  </threadedComment>
  <threadedComment ref="BG15" dT="2022-07-25T15:01:14.10" personId="{00000000-0000-0000-0000-000000000000}" id="{FC54EF8E-5E63-4318-91C4-30C9D5A9409B}">
    <text>AMARILLO CAT</text>
  </threadedComment>
  <threadedComment ref="BG16" dT="2022-07-25T15:03:27.51" personId="{00000000-0000-0000-0000-000000000000}" id="{84AC1EC9-08E0-4A93-8B0F-BDF3595F38AD}">
    <text>PASILLO Y LIMONES BLANCO</text>
  </threadedComment>
  <threadedComment ref="BG17" dT="2022-07-25T15:03:47.82" personId="{00000000-0000-0000-0000-000000000000}" id="{528A5AE0-FE30-4819-9037-01D76139FA03}">
    <text>PASILLO Y LIMONES BLANCO</text>
  </threadedComment>
</ThreadedComments>
</file>

<file path=xl/threadedComments/threadedComment5.xml><?xml version="1.0" encoding="utf-8"?>
<ThreadedComments xmlns="http://schemas.microsoft.com/office/spreadsheetml/2018/threadedcomments" xmlns:x="http://schemas.openxmlformats.org/spreadsheetml/2006/main">
  <threadedComment ref="BG2" dT="2022-08-08T13:46:20.91" personId="{00000000-0000-0000-0000-000000000000}" id="{12B94570-FDED-4C78-B5F3-3426FCD321C3}">
    <text>ROJO MERCEDES</text>
  </threadedComment>
  <threadedComment ref="BG3" dT="2022-08-08T13:52:16.64" personId="{00000000-0000-0000-0000-000000000000}" id="{679B2848-4E87-4094-94D0-D787E8F7DF9A}">
    <text>GRIS-VERDE</text>
  </threadedComment>
  <threadedComment ref="BG6" dT="2022-08-08T14:38:22.46" personId="{00000000-0000-0000-0000-000000000000}" id="{60AA093D-DBB9-4EFC-A93D-6AD67B196C3E}">
    <text>AZUL PACIFICO-BLANCO IDEM ANTERIOR</text>
  </threadedComment>
  <threadedComment ref="BG7" dT="2022-08-08T17:33:38.63" personId="{00000000-0000-0000-0000-000000000000}" id="{D0EE1BF3-DCED-44E1-A3A9-365AC266F5EB}">
    <text xml:space="preserve">AMARILLO IDEM CABINA
</text>
  </threadedComment>
  <threadedComment ref="BG8" dT="2022-08-08T17:33:38.63" personId="{00000000-0000-0000-0000-000000000000}" id="{5B58724C-5430-4F9C-A39D-3BB975CD91AF}">
    <text xml:space="preserve">AMARILLO IDEM CABINA
</text>
  </threadedComment>
  <threadedComment ref="BG9" dT="2022-08-26T14:56:52.05" personId="{00000000-0000-0000-0000-000000000000}" id="{3E293FDE-6DD7-4BBB-BD06-92E09AE4B476}">
    <text>AMARILLO 1023</text>
  </threadedComment>
  <threadedComment ref="BG10" dT="2022-08-16T13:46:10.96" personId="{00000000-0000-0000-0000-000000000000}" id="{BEFF65D5-AA09-478E-AB42-7EA35E45E116}">
    <text>NARANJO</text>
  </threadedComment>
  <threadedComment ref="BG11" dT="2022-08-26T16:20:14.52" personId="{00000000-0000-0000-0000-000000000000}" id="{CB617CAD-096F-4168-9D3D-D2DADBA95EE2}">
    <text>BLANCO -CAJONES AZULES</text>
  </threadedComment>
  <threadedComment ref="BG12" dT="2022-08-08T14:12:05.73" personId="{00000000-0000-0000-0000-000000000000}" id="{7895B76A-EAE0-4962-8251-594D9954B91A}">
    <text>AZUL-VERDE-BLANCO PANTON  ENEX,- FRONTAL BLANCO</text>
  </threadedComment>
  <threadedComment ref="BG12" dT="2022-08-26T16:19:38.55" personId="{00000000-0000-0000-0000-000000000000}" id="{0A87D3AE-438B-4F09-8B44-E001811F7B18}" parentId="{7895B76A-EAE0-4962-8251-594D9954B91A}">
    <text>BLANCO- CAJONES AZUL</text>
  </threadedComment>
  <threadedComment ref="BG13" dT="2022-08-26T14:59:34.52" personId="{00000000-0000-0000-0000-000000000000}" id="{3B91DAD4-39A0-4DCE-A579-077DB85904F4}">
    <text>GRIS IDEM ANTERIOR</text>
  </threadedComment>
  <threadedComment ref="BG19" dT="2022-09-01T13:10:37.86" personId="{00000000-0000-0000-0000-000000000000}" id="{EC2428B6-F4A3-4B59-8D11-8E1E2C93A1E6}">
    <text>AMARILLO 1023</text>
  </threadedComment>
</ThreadedComments>
</file>

<file path=xl/threadedComments/threadedComment6.xml><?xml version="1.0" encoding="utf-8"?>
<ThreadedComments xmlns="http://schemas.microsoft.com/office/spreadsheetml/2018/threadedcomments" xmlns:x="http://schemas.openxmlformats.org/spreadsheetml/2006/main">
  <threadedComment ref="BG2" dT="2022-08-08T13:55:22.26" personId="{00000000-0000-0000-0000-000000000000}" id="{A151B68E-0B33-4117-A808-D5411E0B9D0C}">
    <text>AZUL PACIFICO-BLANCO</text>
  </threadedComment>
  <threadedComment ref="BG3" dT="2022-10-14T19:13:47.61" personId="{00000000-0000-0000-0000-000000000000}" id="{DE4E0DBB-D017-4405-8443-0400BEB662D6}">
    <text>BLANCO</text>
  </threadedComment>
  <threadedComment ref="BG4" dT="2022-11-07T15:12:50.17" personId="{00000000-0000-0000-0000-000000000000}" id="{88A01620-DDBA-4265-BC7A-D01B8CAA0CEE}">
    <text>BLANCO ARTICO</text>
  </threadedComment>
  <threadedComment ref="BG5" dT="2022-11-07T16:06:56.19" personId="{00000000-0000-0000-0000-000000000000}" id="{AA372425-13C4-4704-B6B2-9D3EE4FF3DDE}">
    <text>BLANCO</text>
  </threadedComment>
  <threadedComment ref="BG6" dT="2022-11-03T16:30:38.25" personId="{00000000-0000-0000-0000-000000000000}" id="{C1CAD4CE-C42F-4D0D-995C-6D833284FED1}">
    <text>ROJO CABINA SE PREPARA ACA</text>
  </threadedComment>
  <threadedComment ref="BG7" dT="2022-11-18T12:14:13.34" personId="{00000000-0000-0000-0000-000000000000}" id="{600AC744-D4DE-4913-95E8-F09C3753AABB}">
    <text>BLANCO</text>
  </threadedComment>
  <threadedComment ref="BG8" dT="2022-11-09T13:40:22.76" personId="{00000000-0000-0000-0000-000000000000}" id="{9543C58D-5CCC-4D21-95AF-6EC83079E1EB}">
    <text>BLANCO</text>
  </threadedComment>
  <threadedComment ref="BG9" dT="2022-11-07T20:53:11.82" personId="{00000000-0000-0000-0000-000000000000}" id="{A6F44FF6-166F-4E4D-8F6D-7EB06BFDE694}">
    <text>ROJO BERMELLON</text>
  </threadedComment>
  <threadedComment ref="BG11" dT="2022-11-10T14:20:59.56" personId="{00000000-0000-0000-0000-000000000000}" id="{A7977243-EA96-4823-85A3-DA4AB2357DDC}">
    <text>AMARILLO CAT</text>
  </threadedComment>
  <threadedComment ref="BG12" dT="2022-11-03T16:35:02.98" personId="{00000000-0000-0000-0000-000000000000}" id="{F7074895-0E07-4C71-AE69-D5050C20732F}">
    <text>AMARILLO CAT</text>
  </threadedComment>
  <threadedComment ref="BG13" dT="2022-11-10T14:25:59.33" personId="{00000000-0000-0000-0000-000000000000}" id="{20B20420-C1A0-403A-98A2-6F31D319FBAF}">
    <text>NARANJO</text>
  </threadedComment>
  <threadedComment ref="BG14" dT="2022-11-07T16:03:36.07" personId="{00000000-0000-0000-0000-000000000000}" id="{75BE76EA-1008-4350-B2E8-46D1FE693012}">
    <text>NARANJO</text>
  </threadedComment>
  <threadedComment ref="BG15" dT="2022-11-09T13:39:05.95" personId="{00000000-0000-0000-0000-000000000000}" id="{B3BDE0F3-81DF-4227-B904-D3FF3C7A1020}">
    <text>BLANCO</text>
  </threadedComment>
  <threadedComment ref="BG16" dT="2022-10-20T20:00:27.33" personId="{00000000-0000-0000-0000-000000000000}" id="{589F76CE-3A53-4138-9CDF-15BEAE235331}">
    <text>ROJO IDEM CABINA</text>
  </threadedComment>
  <threadedComment ref="BG17" dT="2022-11-16T20:34:19.86" personId="{00000000-0000-0000-0000-000000000000}" id="{77E5DD05-8AD7-4B44-8B0D-31A3148DEEEC}">
    <text>ROJO IDEM CABINA</text>
  </threadedComment>
  <threadedComment ref="BG18" dT="2022-11-16T20:34:19.86" personId="{00000000-0000-0000-0000-000000000000}" id="{115F65B0-8EF5-432E-BFC2-C78E4FD85DBA}">
    <text>ROJO IDEM CABINA</text>
  </threadedComment>
  <threadedComment ref="BG19" dT="2022-11-03T16:36:46.52" personId="{00000000-0000-0000-0000-000000000000}" id="{C55DE0F7-C53A-44CC-975D-2E0BD8267399}">
    <text>AZUL PACIFICO</text>
  </threadedComment>
  <threadedComment ref="BG20" dT="2022-11-03T16:36:46.52" personId="{00000000-0000-0000-0000-000000000000}" id="{D506F9ED-B28F-42A2-8401-E0A09A4772B2}">
    <text>AZUL PACIFICO</text>
  </threadedComment>
  <threadedComment ref="BG21" dT="2022-12-01T20:28:50.25" personId="{00000000-0000-0000-0000-000000000000}" id="{BF0DB76B-3964-4209-9B63-AD210A421545}">
    <text>ROJO CABINA</text>
  </threadedComment>
  <threadedComment ref="BG23" dT="2022-12-01T15:30:45.54" personId="{00000000-0000-0000-0000-000000000000}" id="{9087B884-DA57-4F24-A385-2DB15A35330B}">
    <text>NARANJO</text>
  </threadedComment>
  <threadedComment ref="BG24" dT="2022-11-21T20:27:25.95" personId="{00000000-0000-0000-0000-000000000000}" id="{DF77DB4C-C7FC-45BD-A28A-571E6657067F}">
    <text>AZUL PACIFICO</text>
  </threadedComment>
</ThreadedComments>
</file>

<file path=xl/threadedComments/threadedComment7.xml><?xml version="1.0" encoding="utf-8"?>
<ThreadedComments xmlns="http://schemas.microsoft.com/office/spreadsheetml/2018/threadedcomments" xmlns:x="http://schemas.openxmlformats.org/spreadsheetml/2006/main">
  <threadedComment ref="BG3" dT="2022-08-08T17:33:38.63" personId="{00000000-0000-0000-0000-000000000000}" id="{8393535F-A78F-4A0B-A61D-1DE28A352BAE}">
    <text xml:space="preserve">AMARILLO IDEM CABINA
</text>
  </threadedComment>
  <threadedComment ref="BG4" dT="2022-08-08T17:33:38.63" personId="{00000000-0000-0000-0000-000000000000}" id="{D3881C79-D45C-4D81-A10D-954232E64F38}">
    <text xml:space="preserve">AMARILLO IDEM CABINA
</text>
  </threadedComment>
  <threadedComment ref="BG5" dT="2022-08-08T17:33:38.63" personId="{00000000-0000-0000-0000-000000000000}" id="{744FA802-952E-45D5-BEA9-2C367A734FEF}">
    <text xml:space="preserve">AMARILLO IDEM CABINA
</text>
  </threadedComment>
  <threadedComment ref="BG6" dT="2022-08-26T14:58:05.49" personId="{00000000-0000-0000-0000-000000000000}" id="{EBFC60A6-1C4B-47EC-865E-74F9E5FE0A03}">
    <text xml:space="preserve">NARANJO
</text>
  </threadedComment>
  <threadedComment ref="BG7" dT="2022-08-26T14:58:15.77" personId="{00000000-0000-0000-0000-000000000000}" id="{5EBC988D-5BD3-4469-BC20-ACBB35208A21}">
    <text>NARANJO</text>
  </threadedComment>
  <threadedComment ref="BG8" dT="2022-08-08T17:33:38.63" personId="{00000000-0000-0000-0000-000000000000}" id="{2CAD5B03-1A7A-4015-A07F-375F4CBFB780}">
    <text xml:space="preserve">AMARILLO IDEM CABINA
</text>
  </threadedComment>
  <threadedComment ref="BG9" dT="2022-09-20T12:13:12.80" personId="{00000000-0000-0000-0000-000000000000}" id="{2DBAD2D3-96A9-43C9-A590-FC730F1963C5}">
    <text>NARANJO</text>
  </threadedComment>
  <threadedComment ref="BG10" dT="2022-09-22T13:22:30.87" personId="{00000000-0000-0000-0000-000000000000}" id="{F5E01801-3E3A-4325-9956-27ED2E60DCCA}">
    <text>AZUL PACIFICO</text>
  </threadedComment>
  <threadedComment ref="BG11" dT="2022-09-13T14:42:40.41" personId="{00000000-0000-0000-0000-000000000000}" id="{DF82A24A-28D2-4763-BCCF-4CB1155DDDDA}">
    <text>BLANCO</text>
  </threadedComment>
  <threadedComment ref="BG12" dT="2022-09-13T14:43:34.18" personId="{00000000-0000-0000-0000-000000000000}" id="{239E7675-E567-4F99-8556-26E08594FD71}">
    <text>ROJO-AMARILLO-NEGRO</text>
  </threadedComment>
  <threadedComment ref="BG14" dT="2022-08-12T13:45:29.84" personId="{00000000-0000-0000-0000-000000000000}" id="{D76C143F-5852-4A68-AFAD-7923B2EBD799}">
    <text>NARANJO</text>
  </threadedComment>
  <threadedComment ref="BG15" dT="2022-09-26T16:23:08.65" personId="{00000000-0000-0000-0000-000000000000}" id="{7134ADA4-986B-4FB0-86E4-9BE1FD54E6E7}">
    <text xml:space="preserve">GRIS </text>
  </threadedComment>
  <threadedComment ref="BG16" dT="2022-09-26T16:23:21.54" personId="{00000000-0000-0000-0000-000000000000}" id="{1D4F2015-1D9C-4125-8EDD-EC82BFBDA2A0}">
    <text>GRIS</text>
  </threadedComment>
  <threadedComment ref="BG17" dT="2022-09-22T13:27:57.85" personId="{00000000-0000-0000-0000-000000000000}" id="{027B52BB-0B34-48B8-84C7-F1D2D3AC0D65}">
    <text>AMARILLO CABINA</text>
  </threadedComment>
  <threadedComment ref="BG19" dT="2022-09-26T20:29:47.47" personId="{00000000-0000-0000-0000-000000000000}" id="{D3754714-C1A0-40C5-9125-0BB09E3C61F2}">
    <text>NARANJO</text>
  </threadedComment>
  <threadedComment ref="BG20" dT="2022-10-06T16:27:04.02" personId="{00000000-0000-0000-0000-000000000000}" id="{F6875D7B-388F-4EF3-8187-20367EEB24B3}">
    <text>AZUL PACIFICO</text>
  </threadedComment>
</ThreadedComments>
</file>

<file path=xl/threadedComments/threadedComment8.xml><?xml version="1.0" encoding="utf-8"?>
<ThreadedComments xmlns="http://schemas.microsoft.com/office/spreadsheetml/2018/threadedcomments" xmlns:x="http://schemas.openxmlformats.org/spreadsheetml/2006/main">
  <threadedComment ref="BG2" dT="2022-10-14T19:13:27.22" personId="{00000000-0000-0000-0000-000000000000}" id="{16323848-0B3B-41D1-BC14-3DE9B9B530C7}">
    <text>NARANJOP</text>
  </threadedComment>
  <threadedComment ref="BG3" dT="2022-10-14T19:13:02.51" personId="{00000000-0000-0000-0000-000000000000}" id="{A48C9B19-DE52-4B04-8B18-1A1B6D567DEA}">
    <text>BLANCO</text>
  </threadedComment>
  <threadedComment ref="BG4" dT="2022-09-13T14:42:01.07" personId="{00000000-0000-0000-0000-000000000000}" id="{DA83DD48-1320-4F8E-B6CA-51D674DC58DB}">
    <text xml:space="preserve">AMARILLO 1023
</text>
  </threadedComment>
  <threadedComment ref="BG5" dT="2022-09-22T13:22:57.18" personId="{00000000-0000-0000-0000-000000000000}" id="{99DABCE6-9D21-4454-87DF-168C82FB71D4}">
    <text>AZUL PACIFICO</text>
  </threadedComment>
  <threadedComment ref="BG6" dT="2022-09-26T13:59:02.38" personId="{00000000-0000-0000-0000-000000000000}" id="{A0F79379-6AB5-4AD4-ABD6-2610C87D3175}">
    <text>BLANCO</text>
  </threadedComment>
  <threadedComment ref="BG7" dT="2022-09-26T13:59:43.57" personId="{00000000-0000-0000-0000-000000000000}" id="{8A055674-3C6C-4A83-8ABC-F70FB9026D78}">
    <text>BLANCO</text>
  </threadedComment>
  <threadedComment ref="BG8" dT="2022-10-19T19:13:23.88" personId="{00000000-0000-0000-0000-000000000000}" id="{AEB54AD6-E263-4C69-ABF0-918E081F6966}">
    <text>AMARILLO CABINA</text>
  </threadedComment>
  <threadedComment ref="BG9" dT="2022-10-18T19:05:02.21" personId="{00000000-0000-0000-0000-000000000000}" id="{42BC562D-BC2D-411F-8014-ABD9C1450447}">
    <text>AMARILLO PILARES ROJO</text>
  </threadedComment>
  <threadedComment ref="BG11" dT="2022-09-22T13:28:25.19" personId="{00000000-0000-0000-0000-000000000000}" id="{EE68B96E-990A-4B10-AEA1-8FE9C625671F}">
    <text>AMARILLO CABINA</text>
  </threadedComment>
  <threadedComment ref="BG12" dT="2022-09-22T13:28:38.18" personId="{00000000-0000-0000-0000-000000000000}" id="{CAB4A580-8755-4F26-B136-C792207BFC43}">
    <text>AMARILLO CABINA</text>
  </threadedComment>
  <threadedComment ref="BG13" dT="2022-10-14T19:15:21.14" personId="{00000000-0000-0000-0000-000000000000}" id="{78831FB4-F9AE-4BD6-ABA7-6D75C029F688}">
    <text>ROJO IDEM CABINA</text>
  </threadedComment>
</ThreadedComments>
</file>

<file path=xl/threadedComments/threadedComment9.xml><?xml version="1.0" encoding="utf-8"?>
<ThreadedComments xmlns="http://schemas.microsoft.com/office/spreadsheetml/2018/threadedcomments" xmlns:x="http://schemas.openxmlformats.org/spreadsheetml/2006/main">
  <threadedComment ref="J7" dT="2026-04-08T16:32:00.32" personId="{00000000-0000-0000-0000-000000000000}" id="{17495EB0-AEE8-47F9-928E-BDD67DD83F2A}">
    <text xml:space="preserve">25-feb-26
</text>
  </threadedComment>
  <threadedComment ref="L31" dT="2026-05-12T13:41:24.76" personId="{00000000-0000-0000-0000-000000000000}" id="{16755096-306F-4625-9A16-40EF9746490B}">
    <text>NO INCLUYE MONTAJE</text>
  </threadedComment>
  <threadedComment ref="J42" dT="2026-05-18T13:16:49.36" personId="{00000000-0000-0000-0000-000000000000}" id="{4838807A-932D-4CD5-8E04-2876FAACF399}">
    <text>DEVOLUCION DE CAMION A SALFA LLEGADA 20-ABR-26
ENTREGA 18-may-26</text>
  </threadedComment>
  <threadedComment ref="J43" dT="2026-05-15T18:27:48.26" personId="{00000000-0000-0000-0000-000000000000}" id="{BC098FCC-8E1A-4D12-A984-93D1779FD395}">
    <text>DEVOLUCION DE CAMION A SALFA LLEGADA 11-may-26
ENTREGA 15-may-26</text>
  </threadedComment>
  <threadedComment ref="L53" dT="2026-05-05T12:47:19.73" personId="{00000000-0000-0000-0000-000000000000}" id="{33435FEA-BAD6-4897-A7CA-417D2D369F9D}">
    <text>LUBRICADOR $ 48.100.000 + 
EST. ADBLUE $ 6.190.000</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BC4C514-F36D-4013-A71A-F8BE7CB5AD51}">
  <we:reference id="WA200005502" version="1.0.0.11" store="en-US" storeType="omex"/>
  <we:alternateReferences>
    <we:reference id="WA200005502" version="1.0.0.11" store="en-US" storeType="omex"/>
  </we:alternateReferences>
  <we:properties>
    <we:property name="docId" value="&quot;HI0co9hI7Y7eoRnyq0GB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2.xml"/><Relationship Id="rId1" Type="http://schemas.openxmlformats.org/officeDocument/2006/relationships/printerSettings" Target="../printerSettings/printerSettings22.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3.xml"/><Relationship Id="rId1" Type="http://schemas.openxmlformats.org/officeDocument/2006/relationships/printerSettings" Target="../printerSettings/printerSettings23.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6.bin"/><Relationship Id="rId5" Type="http://schemas.microsoft.com/office/2019/04/relationships/namedSheetView" Target="../namedSheetViews/namedSheetView1.xml"/><Relationship Id="rId4" Type="http://schemas.microsoft.com/office/2017/10/relationships/threadedComment" Target="../threadedComments/threadedComment9.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M19"/>
  <sheetViews>
    <sheetView showGridLines="0" zoomScaleNormal="100" workbookViewId="0">
      <selection activeCell="E13" sqref="E13"/>
    </sheetView>
  </sheetViews>
  <sheetFormatPr baseColWidth="10" defaultColWidth="9.1640625" defaultRowHeight="14" x14ac:dyDescent="0.2"/>
  <cols>
    <col min="1" max="1" width="4.6640625" style="6" customWidth="1"/>
    <col min="2" max="2" width="2.6640625" style="6" customWidth="1"/>
    <col min="3" max="5" width="40.6640625" style="4" customWidth="1"/>
    <col min="6" max="6" width="2.6640625" style="4" customWidth="1"/>
    <col min="7" max="16384" width="9.1640625" style="4"/>
  </cols>
  <sheetData>
    <row r="1" spans="1:13" s="5" customFormat="1" ht="33" x14ac:dyDescent="0.3">
      <c r="D1" s="9"/>
    </row>
    <row r="2" spans="1:13" ht="50" customHeight="1" x14ac:dyDescent="0.3">
      <c r="A2" s="5"/>
      <c r="B2" s="15"/>
      <c r="C2" s="346" t="s">
        <v>0</v>
      </c>
      <c r="D2" s="346"/>
      <c r="E2" s="346"/>
      <c r="F2" s="15"/>
      <c r="G2" s="5"/>
      <c r="H2" s="5"/>
      <c r="I2" s="5"/>
      <c r="J2" s="5"/>
      <c r="K2" s="5"/>
      <c r="L2" s="5"/>
      <c r="M2" s="5"/>
    </row>
    <row r="3" spans="1:13" ht="14.5" customHeight="1" x14ac:dyDescent="0.3">
      <c r="A3" s="5"/>
      <c r="B3" s="10"/>
      <c r="C3" s="11"/>
      <c r="D3" s="12"/>
      <c r="E3" s="10"/>
      <c r="F3" s="10"/>
      <c r="G3" s="5"/>
      <c r="H3" s="5"/>
      <c r="I3" s="5"/>
      <c r="J3" s="5"/>
      <c r="K3" s="5"/>
      <c r="L3" s="5"/>
      <c r="M3" s="5"/>
    </row>
    <row r="4" spans="1:13" s="6" customFormat="1" ht="91.5" customHeight="1" x14ac:dyDescent="0.3">
      <c r="A4" s="5"/>
      <c r="B4" s="10"/>
      <c r="C4" s="347" t="s">
        <v>1</v>
      </c>
      <c r="D4" s="347"/>
      <c r="E4" s="347"/>
      <c r="F4" s="10"/>
      <c r="G4" s="5"/>
      <c r="H4" s="5"/>
      <c r="I4" s="5"/>
      <c r="J4" s="5"/>
      <c r="K4" s="5"/>
      <c r="L4" s="5"/>
      <c r="M4" s="5"/>
    </row>
    <row r="5" spans="1:13" s="6" customFormat="1" ht="67.25" customHeight="1" x14ac:dyDescent="0.3">
      <c r="A5" s="5"/>
      <c r="B5" s="10"/>
      <c r="C5" s="347" t="s">
        <v>2</v>
      </c>
      <c r="D5" s="347"/>
      <c r="E5" s="347"/>
      <c r="F5" s="10"/>
      <c r="G5" s="5"/>
      <c r="H5" s="5"/>
      <c r="I5" s="5"/>
      <c r="J5" s="5"/>
      <c r="K5" s="5"/>
      <c r="L5" s="5"/>
      <c r="M5" s="5"/>
    </row>
    <row r="6" spans="1:13" ht="15" x14ac:dyDescent="0.2">
      <c r="A6" s="4"/>
      <c r="B6" s="13"/>
      <c r="C6" s="13"/>
      <c r="D6" s="14"/>
      <c r="E6" s="13"/>
      <c r="F6" s="13"/>
    </row>
    <row r="7" spans="1:13" ht="50" customHeight="1" x14ac:dyDescent="0.2">
      <c r="A7" s="4"/>
      <c r="B7" s="4"/>
    </row>
    <row r="8" spans="1:13" ht="14.5" customHeight="1" x14ac:dyDescent="0.2">
      <c r="A8" s="4"/>
      <c r="B8" s="4"/>
    </row>
    <row r="9" spans="1:13" ht="90" customHeight="1" x14ac:dyDescent="0.2">
      <c r="C9" s="6"/>
      <c r="D9" s="6"/>
      <c r="E9" s="6"/>
      <c r="F9" s="6"/>
      <c r="G9" s="6"/>
      <c r="H9" s="6"/>
    </row>
    <row r="10" spans="1:13" ht="14.5" customHeight="1" x14ac:dyDescent="0.2">
      <c r="A10" s="4"/>
      <c r="B10" s="4"/>
    </row>
    <row r="11" spans="1:13" x14ac:dyDescent="0.2">
      <c r="A11" s="4"/>
      <c r="B11" s="4"/>
      <c r="D11" s="6"/>
    </row>
    <row r="12" spans="1:13" x14ac:dyDescent="0.2">
      <c r="A12" s="4"/>
      <c r="B12" s="4"/>
      <c r="D12" s="6"/>
    </row>
    <row r="13" spans="1:13" x14ac:dyDescent="0.2">
      <c r="A13" s="4"/>
      <c r="B13" s="4"/>
      <c r="D13" s="6"/>
    </row>
    <row r="14" spans="1:13" x14ac:dyDescent="0.2">
      <c r="A14" s="4"/>
      <c r="B14" s="4"/>
      <c r="D14" s="6"/>
    </row>
    <row r="15" spans="1:13" x14ac:dyDescent="0.2">
      <c r="A15" s="4"/>
      <c r="B15" s="4"/>
      <c r="D15" s="6"/>
    </row>
    <row r="16" spans="1:13" x14ac:dyDescent="0.2">
      <c r="A16" s="4"/>
      <c r="B16" s="4"/>
      <c r="D16" s="6"/>
    </row>
    <row r="17" spans="1:4" x14ac:dyDescent="0.2">
      <c r="A17" s="4"/>
      <c r="B17" s="4"/>
      <c r="D17" s="6"/>
    </row>
    <row r="18" spans="1:4" x14ac:dyDescent="0.2">
      <c r="A18" s="4"/>
      <c r="B18" s="4"/>
      <c r="D18" s="6"/>
    </row>
    <row r="19" spans="1:4" x14ac:dyDescent="0.2">
      <c r="A19" s="4"/>
      <c r="B19" s="4"/>
      <c r="D19" s="6"/>
    </row>
  </sheetData>
  <mergeCells count="3">
    <mergeCell ref="C2:E2"/>
    <mergeCell ref="C4:E4"/>
    <mergeCell ref="C5:E5"/>
  </mergeCells>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3">
    <tabColor rgb="FFFF0000"/>
    <pageSetUpPr fitToPage="1"/>
  </sheetPr>
  <dimension ref="A1:U49"/>
  <sheetViews>
    <sheetView zoomScale="85" zoomScaleNormal="85" workbookViewId="0">
      <pane xSplit="10" ySplit="1" topLeftCell="K14" activePane="bottomRight" state="frozen"/>
      <selection pane="topRight"/>
      <selection pane="bottomLeft"/>
      <selection pane="bottomRight"/>
    </sheetView>
  </sheetViews>
  <sheetFormatPr baseColWidth="10" defaultColWidth="11.5" defaultRowHeight="15" x14ac:dyDescent="0.2"/>
  <cols>
    <col min="1" max="1" width="6.6640625" style="1" bestFit="1" customWidth="1"/>
    <col min="2" max="2" width="19.5" style="1" bestFit="1" customWidth="1"/>
    <col min="3" max="3" width="20.6640625" style="1" bestFit="1" customWidth="1"/>
    <col min="4" max="4" width="19.6640625" style="1" bestFit="1" customWidth="1"/>
    <col min="5" max="5" width="26.5" style="1" bestFit="1" customWidth="1"/>
    <col min="6" max="6" width="15.5" style="1" customWidth="1"/>
    <col min="7" max="7" width="22.5" style="1" bestFit="1" customWidth="1"/>
    <col min="8" max="8" width="18" style="1" bestFit="1" customWidth="1"/>
    <col min="9" max="9" width="18.83203125" style="3" customWidth="1"/>
    <col min="10" max="10" width="7.6640625" style="1" bestFit="1" customWidth="1"/>
    <col min="11" max="11" width="13.5" style="1" bestFit="1" customWidth="1"/>
    <col min="12" max="12" width="3.33203125" style="1" bestFit="1" customWidth="1"/>
    <col min="13" max="13" width="11.33203125" style="21" bestFit="1" customWidth="1"/>
    <col min="14" max="14" width="2" style="8" bestFit="1" customWidth="1"/>
    <col min="15" max="15" width="15.1640625" style="1" bestFit="1" customWidth="1"/>
    <col min="16" max="16" width="20.1640625" style="1" bestFit="1" customWidth="1"/>
    <col min="17" max="17" width="13.33203125" style="1" bestFit="1" customWidth="1"/>
    <col min="18" max="18" width="13.5" style="1" bestFit="1" customWidth="1"/>
    <col min="19" max="19" width="12.83203125" style="1" bestFit="1" customWidth="1"/>
    <col min="20" max="20" width="15.5" style="1" bestFit="1" customWidth="1"/>
    <col min="21" max="21" width="18.83203125" style="1" bestFit="1" customWidth="1"/>
    <col min="22" max="16384" width="11.5" style="1"/>
  </cols>
  <sheetData>
    <row r="1" spans="1:21" x14ac:dyDescent="0.2">
      <c r="A1" s="16" t="s">
        <v>3</v>
      </c>
      <c r="B1" s="16" t="s">
        <v>4</v>
      </c>
      <c r="C1" s="16" t="s">
        <v>5</v>
      </c>
      <c r="D1" s="16" t="s">
        <v>6</v>
      </c>
      <c r="E1" s="16" t="s">
        <v>7</v>
      </c>
      <c r="F1" s="16" t="s">
        <v>8</v>
      </c>
      <c r="G1" s="16" t="s">
        <v>9</v>
      </c>
      <c r="H1" s="16" t="s">
        <v>10</v>
      </c>
      <c r="I1" s="17" t="s">
        <v>11</v>
      </c>
      <c r="J1" s="16" t="s">
        <v>12</v>
      </c>
      <c r="K1" s="16" t="s">
        <v>13</v>
      </c>
      <c r="L1" s="16"/>
      <c r="M1" s="16" t="s">
        <v>14</v>
      </c>
      <c r="O1" s="44" t="s">
        <v>15</v>
      </c>
      <c r="P1" s="44" t="s">
        <v>16</v>
      </c>
      <c r="Q1" s="44" t="s">
        <v>17</v>
      </c>
      <c r="R1" s="44" t="s">
        <v>18</v>
      </c>
      <c r="S1" s="44" t="s">
        <v>19</v>
      </c>
      <c r="T1" s="44" t="s">
        <v>20</v>
      </c>
      <c r="U1" s="44" t="s">
        <v>21</v>
      </c>
    </row>
    <row r="2" spans="1:21" ht="15" customHeight="1" x14ac:dyDescent="0.2">
      <c r="A2" s="26">
        <v>1277</v>
      </c>
      <c r="B2" s="26" t="s">
        <v>22</v>
      </c>
      <c r="C2" s="26" t="s">
        <v>23</v>
      </c>
      <c r="D2" s="26" t="s">
        <v>24</v>
      </c>
      <c r="E2" s="26" t="s">
        <v>25</v>
      </c>
      <c r="F2" s="26" t="s">
        <v>23</v>
      </c>
      <c r="G2" s="26" t="s">
        <v>26</v>
      </c>
      <c r="H2" s="26">
        <v>176283</v>
      </c>
      <c r="I2" s="42">
        <v>17000000</v>
      </c>
      <c r="J2" s="27">
        <v>1</v>
      </c>
      <c r="K2" s="28">
        <v>1</v>
      </c>
      <c r="L2" s="27" t="s">
        <v>27</v>
      </c>
      <c r="M2" s="18">
        <v>44596</v>
      </c>
      <c r="N2" s="26">
        <v>1</v>
      </c>
      <c r="O2" s="45" t="s">
        <v>28</v>
      </c>
      <c r="P2" s="45" t="s">
        <v>28</v>
      </c>
      <c r="Q2" s="45" t="s">
        <v>27</v>
      </c>
      <c r="R2" s="45" t="s">
        <v>27</v>
      </c>
      <c r="S2" s="45" t="s">
        <v>27</v>
      </c>
      <c r="T2" s="45" t="s">
        <v>27</v>
      </c>
      <c r="U2" s="45" t="s">
        <v>27</v>
      </c>
    </row>
    <row r="3" spans="1:21" ht="15" customHeight="1" x14ac:dyDescent="0.2">
      <c r="A3" s="26">
        <v>1334</v>
      </c>
      <c r="B3" s="26" t="s">
        <v>29</v>
      </c>
      <c r="C3" s="26" t="s">
        <v>30</v>
      </c>
      <c r="D3" s="26" t="s">
        <v>31</v>
      </c>
      <c r="E3" s="26" t="s">
        <v>32</v>
      </c>
      <c r="F3" s="26" t="s">
        <v>33</v>
      </c>
      <c r="G3" s="26">
        <v>1726</v>
      </c>
      <c r="H3" s="26">
        <v>241545</v>
      </c>
      <c r="I3" s="42">
        <v>20746000</v>
      </c>
      <c r="J3" s="27">
        <v>1</v>
      </c>
      <c r="K3" s="28">
        <v>2</v>
      </c>
      <c r="L3" s="27" t="s">
        <v>27</v>
      </c>
      <c r="M3" s="18">
        <v>44600</v>
      </c>
      <c r="N3" s="26">
        <v>1</v>
      </c>
      <c r="O3" s="45" t="s">
        <v>28</v>
      </c>
      <c r="P3" s="45" t="s">
        <v>28</v>
      </c>
      <c r="Q3" s="45" t="s">
        <v>27</v>
      </c>
      <c r="R3" s="45" t="s">
        <v>27</v>
      </c>
      <c r="S3" s="45" t="s">
        <v>27</v>
      </c>
      <c r="T3" s="45" t="s">
        <v>27</v>
      </c>
      <c r="U3" s="45" t="s">
        <v>27</v>
      </c>
    </row>
    <row r="4" spans="1:21" ht="15" customHeight="1" x14ac:dyDescent="0.2">
      <c r="A4" s="26">
        <v>1267</v>
      </c>
      <c r="B4" s="26" t="s">
        <v>22</v>
      </c>
      <c r="C4" s="26" t="s">
        <v>23</v>
      </c>
      <c r="D4" s="26" t="s">
        <v>34</v>
      </c>
      <c r="E4" s="26" t="s">
        <v>35</v>
      </c>
      <c r="F4" s="26" t="s">
        <v>23</v>
      </c>
      <c r="G4" s="26" t="s">
        <v>36</v>
      </c>
      <c r="H4" s="26">
        <v>906687</v>
      </c>
      <c r="I4" s="42">
        <v>6900000</v>
      </c>
      <c r="J4" s="27">
        <v>1</v>
      </c>
      <c r="K4" s="28">
        <v>2</v>
      </c>
      <c r="L4" s="27" t="s">
        <v>27</v>
      </c>
      <c r="M4" s="18">
        <v>44602</v>
      </c>
      <c r="N4" s="26">
        <v>1</v>
      </c>
      <c r="O4" s="45" t="s">
        <v>27</v>
      </c>
      <c r="P4" s="45" t="s">
        <v>27</v>
      </c>
      <c r="Q4" s="45" t="s">
        <v>27</v>
      </c>
      <c r="R4" s="45" t="s">
        <v>27</v>
      </c>
      <c r="S4" s="45" t="s">
        <v>27</v>
      </c>
      <c r="T4" s="45" t="s">
        <v>27</v>
      </c>
      <c r="U4" s="45" t="s">
        <v>27</v>
      </c>
    </row>
    <row r="5" spans="1:21" ht="15" customHeight="1" x14ac:dyDescent="0.2">
      <c r="A5" s="26">
        <v>1290</v>
      </c>
      <c r="B5" s="26" t="s">
        <v>22</v>
      </c>
      <c r="C5" s="26" t="s">
        <v>37</v>
      </c>
      <c r="D5" s="26" t="s">
        <v>38</v>
      </c>
      <c r="E5" s="26" t="s">
        <v>39</v>
      </c>
      <c r="F5" s="26" t="s">
        <v>40</v>
      </c>
      <c r="G5" s="26" t="s">
        <v>41</v>
      </c>
      <c r="H5" s="26">
        <v>1172</v>
      </c>
      <c r="I5" s="42">
        <v>19500000</v>
      </c>
      <c r="J5" s="27">
        <v>1</v>
      </c>
      <c r="K5" s="28">
        <v>3</v>
      </c>
      <c r="L5" s="27" t="s">
        <v>27</v>
      </c>
      <c r="M5" s="18">
        <v>44606</v>
      </c>
      <c r="N5" s="26">
        <v>1</v>
      </c>
      <c r="O5" s="45" t="s">
        <v>28</v>
      </c>
      <c r="P5" s="45" t="s">
        <v>27</v>
      </c>
      <c r="Q5" s="45" t="s">
        <v>27</v>
      </c>
      <c r="R5" s="45" t="s">
        <v>27</v>
      </c>
      <c r="S5" s="45" t="s">
        <v>27</v>
      </c>
      <c r="T5" s="45" t="s">
        <v>27</v>
      </c>
      <c r="U5" s="45" t="s">
        <v>27</v>
      </c>
    </row>
    <row r="6" spans="1:21" ht="15" customHeight="1" x14ac:dyDescent="0.2">
      <c r="A6" s="26">
        <v>1151</v>
      </c>
      <c r="B6" s="26" t="s">
        <v>22</v>
      </c>
      <c r="C6" s="26" t="s">
        <v>42</v>
      </c>
      <c r="D6" s="26" t="s">
        <v>38</v>
      </c>
      <c r="E6" s="26" t="s">
        <v>43</v>
      </c>
      <c r="F6" s="26" t="s">
        <v>44</v>
      </c>
      <c r="G6" s="26">
        <v>31330</v>
      </c>
      <c r="H6" s="26">
        <v>33260</v>
      </c>
      <c r="I6" s="42">
        <v>9800000</v>
      </c>
      <c r="J6" s="27">
        <v>1</v>
      </c>
      <c r="K6" s="28">
        <v>3</v>
      </c>
      <c r="L6" s="27" t="s">
        <v>27</v>
      </c>
      <c r="M6" s="18">
        <v>44608</v>
      </c>
      <c r="N6" s="26">
        <v>1</v>
      </c>
      <c r="O6" s="45" t="s">
        <v>28</v>
      </c>
      <c r="P6" s="45" t="s">
        <v>28</v>
      </c>
      <c r="Q6" s="45" t="s">
        <v>27</v>
      </c>
      <c r="R6" s="45" t="s">
        <v>27</v>
      </c>
      <c r="S6" s="45" t="s">
        <v>27</v>
      </c>
      <c r="T6" s="45" t="s">
        <v>27</v>
      </c>
      <c r="U6" s="45" t="s">
        <v>27</v>
      </c>
    </row>
    <row r="7" spans="1:21" ht="15" customHeight="1" x14ac:dyDescent="0.2">
      <c r="A7" s="26">
        <v>1222</v>
      </c>
      <c r="B7" s="26" t="s">
        <v>29</v>
      </c>
      <c r="C7" s="26" t="s">
        <v>45</v>
      </c>
      <c r="D7" s="26" t="s">
        <v>46</v>
      </c>
      <c r="E7" s="26" t="s">
        <v>47</v>
      </c>
      <c r="F7" s="26" t="s">
        <v>33</v>
      </c>
      <c r="G7" s="26">
        <v>1726</v>
      </c>
      <c r="H7" s="26">
        <v>228012</v>
      </c>
      <c r="I7" s="42">
        <v>40300000</v>
      </c>
      <c r="J7" s="27">
        <v>1</v>
      </c>
      <c r="K7" s="28">
        <v>3</v>
      </c>
      <c r="L7" s="27" t="s">
        <v>27</v>
      </c>
      <c r="M7" s="18">
        <v>44608</v>
      </c>
      <c r="N7" s="26">
        <v>1</v>
      </c>
      <c r="O7" s="45" t="s">
        <v>28</v>
      </c>
      <c r="P7" s="45" t="s">
        <v>28</v>
      </c>
      <c r="Q7" s="45" t="s">
        <v>27</v>
      </c>
      <c r="R7" s="45" t="s">
        <v>27</v>
      </c>
      <c r="S7" s="45" t="s">
        <v>27</v>
      </c>
      <c r="T7" s="45" t="s">
        <v>27</v>
      </c>
      <c r="U7" s="45" t="s">
        <v>27</v>
      </c>
    </row>
    <row r="8" spans="1:21" ht="15" customHeight="1" x14ac:dyDescent="0.2">
      <c r="A8" s="26">
        <v>1264</v>
      </c>
      <c r="B8" s="26" t="s">
        <v>22</v>
      </c>
      <c r="C8" s="26" t="s">
        <v>48</v>
      </c>
      <c r="D8" s="26" t="s">
        <v>31</v>
      </c>
      <c r="E8" s="26" t="s">
        <v>49</v>
      </c>
      <c r="F8" s="26" t="s">
        <v>50</v>
      </c>
      <c r="G8" s="26">
        <v>7600</v>
      </c>
      <c r="H8" s="26" t="s">
        <v>51</v>
      </c>
      <c r="I8" s="42">
        <v>22400000</v>
      </c>
      <c r="J8" s="27">
        <v>1</v>
      </c>
      <c r="K8" s="28">
        <v>3</v>
      </c>
      <c r="L8" s="27" t="s">
        <v>27</v>
      </c>
      <c r="M8" s="18">
        <v>44609</v>
      </c>
      <c r="N8" s="26">
        <v>1</v>
      </c>
      <c r="O8" s="45" t="s">
        <v>28</v>
      </c>
      <c r="P8" s="45" t="s">
        <v>28</v>
      </c>
      <c r="Q8" s="45" t="s">
        <v>27</v>
      </c>
      <c r="R8" s="45" t="s">
        <v>27</v>
      </c>
      <c r="S8" s="45" t="s">
        <v>27</v>
      </c>
      <c r="T8" s="45" t="s">
        <v>27</v>
      </c>
      <c r="U8" s="45" t="s">
        <v>27</v>
      </c>
    </row>
    <row r="9" spans="1:21" ht="15" customHeight="1" x14ac:dyDescent="0.2">
      <c r="A9" s="26">
        <v>1221</v>
      </c>
      <c r="B9" s="26" t="s">
        <v>29</v>
      </c>
      <c r="C9" s="26" t="s">
        <v>52</v>
      </c>
      <c r="D9" s="26" t="s">
        <v>38</v>
      </c>
      <c r="E9" s="26" t="s">
        <v>53</v>
      </c>
      <c r="F9" s="26" t="s">
        <v>44</v>
      </c>
      <c r="G9" s="26">
        <v>32360</v>
      </c>
      <c r="H9" s="26">
        <v>43849</v>
      </c>
      <c r="I9" s="42">
        <v>10400000</v>
      </c>
      <c r="J9" s="27">
        <v>1</v>
      </c>
      <c r="K9" s="28">
        <v>3</v>
      </c>
      <c r="L9" s="27" t="s">
        <v>27</v>
      </c>
      <c r="M9" s="18">
        <v>44610</v>
      </c>
      <c r="N9" s="26">
        <v>1</v>
      </c>
      <c r="O9" s="45" t="s">
        <v>28</v>
      </c>
      <c r="P9" s="45" t="s">
        <v>27</v>
      </c>
      <c r="Q9" s="45" t="s">
        <v>27</v>
      </c>
      <c r="R9" s="45" t="s">
        <v>27</v>
      </c>
      <c r="S9" s="45" t="s">
        <v>27</v>
      </c>
      <c r="T9" s="45" t="s">
        <v>27</v>
      </c>
      <c r="U9" s="45" t="s">
        <v>27</v>
      </c>
    </row>
    <row r="10" spans="1:21" ht="15" customHeight="1" x14ac:dyDescent="0.2">
      <c r="A10" s="26">
        <v>1394</v>
      </c>
      <c r="B10" s="26" t="s">
        <v>29</v>
      </c>
      <c r="C10" s="26" t="s">
        <v>54</v>
      </c>
      <c r="D10" s="26" t="s">
        <v>38</v>
      </c>
      <c r="E10" s="26" t="s">
        <v>55</v>
      </c>
      <c r="F10" s="26" t="s">
        <v>44</v>
      </c>
      <c r="G10" s="26">
        <v>31330</v>
      </c>
      <c r="H10" s="26">
        <v>43229</v>
      </c>
      <c r="I10" s="42">
        <v>14000000</v>
      </c>
      <c r="J10" s="27">
        <v>1</v>
      </c>
      <c r="K10" s="28">
        <v>3</v>
      </c>
      <c r="L10" s="27" t="s">
        <v>27</v>
      </c>
      <c r="M10" s="18">
        <v>44610</v>
      </c>
      <c r="N10" s="26">
        <v>1</v>
      </c>
      <c r="O10" s="45" t="s">
        <v>27</v>
      </c>
      <c r="P10" s="45" t="s">
        <v>27</v>
      </c>
      <c r="Q10" s="45" t="s">
        <v>27</v>
      </c>
      <c r="R10" s="45" t="s">
        <v>27</v>
      </c>
      <c r="S10" s="45" t="s">
        <v>27</v>
      </c>
      <c r="T10" s="45" t="s">
        <v>27</v>
      </c>
      <c r="U10" s="45" t="s">
        <v>27</v>
      </c>
    </row>
    <row r="11" spans="1:21" ht="15" customHeight="1" x14ac:dyDescent="0.2">
      <c r="A11" s="26">
        <v>1395</v>
      </c>
      <c r="B11" s="26" t="s">
        <v>29</v>
      </c>
      <c r="C11" s="26" t="s">
        <v>54</v>
      </c>
      <c r="D11" s="26" t="s">
        <v>38</v>
      </c>
      <c r="E11" s="26" t="s">
        <v>56</v>
      </c>
      <c r="F11" s="26" t="s">
        <v>44</v>
      </c>
      <c r="G11" s="26">
        <v>17280</v>
      </c>
      <c r="H11" s="26">
        <v>29662</v>
      </c>
      <c r="I11" s="42">
        <v>8000000</v>
      </c>
      <c r="J11" s="27">
        <v>1</v>
      </c>
      <c r="K11" s="28">
        <v>4</v>
      </c>
      <c r="L11" s="27" t="s">
        <v>27</v>
      </c>
      <c r="M11" s="18">
        <v>44614</v>
      </c>
      <c r="N11" s="26">
        <v>1</v>
      </c>
      <c r="O11" s="45" t="s">
        <v>27</v>
      </c>
      <c r="P11" s="45" t="s">
        <v>27</v>
      </c>
      <c r="Q11" s="45" t="s">
        <v>27</v>
      </c>
      <c r="R11" s="45" t="s">
        <v>27</v>
      </c>
      <c r="S11" s="45" t="s">
        <v>27</v>
      </c>
      <c r="T11" s="45" t="s">
        <v>27</v>
      </c>
      <c r="U11" s="45" t="s">
        <v>27</v>
      </c>
    </row>
    <row r="12" spans="1:21" ht="15" customHeight="1" x14ac:dyDescent="0.2">
      <c r="A12" s="26">
        <v>1361</v>
      </c>
      <c r="B12" s="26" t="s">
        <v>29</v>
      </c>
      <c r="C12" s="26" t="s">
        <v>57</v>
      </c>
      <c r="D12" s="26" t="s">
        <v>38</v>
      </c>
      <c r="E12" s="26" t="s">
        <v>58</v>
      </c>
      <c r="F12" s="26" t="s">
        <v>23</v>
      </c>
      <c r="G12" s="26" t="s">
        <v>26</v>
      </c>
      <c r="H12" s="26">
        <v>178712</v>
      </c>
      <c r="I12" s="42">
        <v>12500000</v>
      </c>
      <c r="J12" s="27">
        <v>1</v>
      </c>
      <c r="K12" s="28">
        <v>4</v>
      </c>
      <c r="L12" s="27" t="s">
        <v>27</v>
      </c>
      <c r="M12" s="18">
        <v>44614</v>
      </c>
      <c r="N12" s="26">
        <v>1</v>
      </c>
      <c r="O12" s="45" t="s">
        <v>27</v>
      </c>
      <c r="P12" s="45" t="s">
        <v>27</v>
      </c>
      <c r="Q12" s="45" t="s">
        <v>27</v>
      </c>
      <c r="R12" s="45" t="s">
        <v>27</v>
      </c>
      <c r="S12" s="45" t="s">
        <v>27</v>
      </c>
      <c r="T12" s="45" t="s">
        <v>27</v>
      </c>
      <c r="U12" s="45" t="s">
        <v>27</v>
      </c>
    </row>
    <row r="13" spans="1:21" ht="15" customHeight="1" x14ac:dyDescent="0.2">
      <c r="A13" s="26">
        <v>1166</v>
      </c>
      <c r="B13" s="26" t="s">
        <v>22</v>
      </c>
      <c r="C13" s="26" t="s">
        <v>37</v>
      </c>
      <c r="D13" s="26" t="s">
        <v>38</v>
      </c>
      <c r="E13" s="26" t="s">
        <v>59</v>
      </c>
      <c r="F13" s="26" t="s">
        <v>60</v>
      </c>
      <c r="G13" s="26" t="s">
        <v>61</v>
      </c>
      <c r="H13" s="26">
        <v>1033</v>
      </c>
      <c r="I13" s="42">
        <v>19500000</v>
      </c>
      <c r="J13" s="27">
        <v>1</v>
      </c>
      <c r="K13" s="28">
        <v>4</v>
      </c>
      <c r="L13" s="27" t="s">
        <v>27</v>
      </c>
      <c r="M13" s="18">
        <v>44617</v>
      </c>
      <c r="N13" s="26">
        <v>1</v>
      </c>
      <c r="O13" s="45" t="s">
        <v>28</v>
      </c>
      <c r="P13" s="45" t="s">
        <v>27</v>
      </c>
      <c r="Q13" s="45" t="s">
        <v>27</v>
      </c>
      <c r="R13" s="45" t="s">
        <v>27</v>
      </c>
      <c r="S13" s="45" t="s">
        <v>27</v>
      </c>
      <c r="T13" s="45" t="s">
        <v>27</v>
      </c>
      <c r="U13" s="45" t="s">
        <v>27</v>
      </c>
    </row>
    <row r="14" spans="1:21" ht="15" customHeight="1" x14ac:dyDescent="0.2">
      <c r="A14" s="26">
        <v>1368</v>
      </c>
      <c r="B14" s="26" t="s">
        <v>29</v>
      </c>
      <c r="C14" s="26" t="s">
        <v>62</v>
      </c>
      <c r="D14" s="26" t="s">
        <v>38</v>
      </c>
      <c r="E14" s="26" t="s">
        <v>55</v>
      </c>
      <c r="F14" s="26" t="s">
        <v>44</v>
      </c>
      <c r="G14" s="26">
        <v>31330</v>
      </c>
      <c r="H14" s="26">
        <v>43029</v>
      </c>
      <c r="I14" s="42">
        <v>10500000</v>
      </c>
      <c r="J14" s="27">
        <v>1</v>
      </c>
      <c r="K14" s="28">
        <v>5</v>
      </c>
      <c r="L14" s="27" t="s">
        <v>27</v>
      </c>
      <c r="M14" s="18">
        <v>44620</v>
      </c>
      <c r="N14" s="26">
        <v>1</v>
      </c>
      <c r="O14" s="45" t="s">
        <v>27</v>
      </c>
      <c r="P14" s="45" t="s">
        <v>27</v>
      </c>
      <c r="Q14" s="45" t="s">
        <v>27</v>
      </c>
      <c r="R14" s="45" t="s">
        <v>27</v>
      </c>
      <c r="S14" s="45" t="s">
        <v>27</v>
      </c>
      <c r="T14" s="45" t="s">
        <v>27</v>
      </c>
      <c r="U14" s="45" t="s">
        <v>27</v>
      </c>
    </row>
    <row r="15" spans="1:21" ht="15" customHeight="1" x14ac:dyDescent="0.2">
      <c r="A15" s="26">
        <v>1165</v>
      </c>
      <c r="B15" s="26" t="s">
        <v>22</v>
      </c>
      <c r="C15" s="26" t="s">
        <v>37</v>
      </c>
      <c r="D15" s="26" t="s">
        <v>38</v>
      </c>
      <c r="E15" s="26" t="s">
        <v>59</v>
      </c>
      <c r="F15" s="26" t="s">
        <v>60</v>
      </c>
      <c r="G15" s="26" t="s">
        <v>61</v>
      </c>
      <c r="H15" s="26">
        <v>1034</v>
      </c>
      <c r="I15" s="42">
        <v>19500000</v>
      </c>
      <c r="J15" s="27">
        <v>1</v>
      </c>
      <c r="K15" s="28">
        <v>5</v>
      </c>
      <c r="L15" s="27" t="s">
        <v>27</v>
      </c>
      <c r="M15" s="18">
        <v>44622</v>
      </c>
      <c r="N15" s="26">
        <v>1</v>
      </c>
      <c r="O15" s="45" t="s">
        <v>28</v>
      </c>
      <c r="P15" s="45" t="s">
        <v>27</v>
      </c>
      <c r="Q15" s="45" t="s">
        <v>27</v>
      </c>
      <c r="R15" s="45" t="s">
        <v>27</v>
      </c>
      <c r="S15" s="45" t="s">
        <v>27</v>
      </c>
      <c r="T15" s="45" t="s">
        <v>27</v>
      </c>
      <c r="U15" s="45" t="s">
        <v>27</v>
      </c>
    </row>
    <row r="16" spans="1:21" ht="15" customHeight="1" x14ac:dyDescent="0.2">
      <c r="A16" s="26">
        <v>1167</v>
      </c>
      <c r="B16" s="26" t="s">
        <v>22</v>
      </c>
      <c r="C16" s="26" t="s">
        <v>37</v>
      </c>
      <c r="D16" s="26" t="s">
        <v>38</v>
      </c>
      <c r="E16" s="26" t="s">
        <v>59</v>
      </c>
      <c r="F16" s="26" t="s">
        <v>60</v>
      </c>
      <c r="G16" s="26" t="s">
        <v>61</v>
      </c>
      <c r="H16" s="26">
        <v>1031</v>
      </c>
      <c r="I16" s="42">
        <v>19500000</v>
      </c>
      <c r="J16" s="27">
        <v>1</v>
      </c>
      <c r="K16" s="28">
        <v>6</v>
      </c>
      <c r="L16" s="27" t="s">
        <v>27</v>
      </c>
      <c r="M16" s="18">
        <v>44628</v>
      </c>
      <c r="N16" s="26">
        <v>1</v>
      </c>
      <c r="O16" s="45" t="s">
        <v>28</v>
      </c>
      <c r="P16" s="45" t="s">
        <v>27</v>
      </c>
      <c r="Q16" s="45" t="s">
        <v>27</v>
      </c>
      <c r="R16" s="45" t="s">
        <v>27</v>
      </c>
      <c r="S16" s="45" t="s">
        <v>27</v>
      </c>
      <c r="T16" s="45" t="s">
        <v>27</v>
      </c>
      <c r="U16" s="45" t="s">
        <v>63</v>
      </c>
    </row>
    <row r="17" spans="1:21" ht="15" customHeight="1" x14ac:dyDescent="0.2">
      <c r="A17" s="26">
        <v>1391</v>
      </c>
      <c r="B17" s="26" t="s">
        <v>29</v>
      </c>
      <c r="C17" s="26" t="s">
        <v>64</v>
      </c>
      <c r="D17" s="26" t="s">
        <v>38</v>
      </c>
      <c r="E17" s="26" t="s">
        <v>56</v>
      </c>
      <c r="F17" s="26" t="s">
        <v>44</v>
      </c>
      <c r="G17" s="26">
        <v>17230</v>
      </c>
      <c r="H17" s="26">
        <v>45907</v>
      </c>
      <c r="I17" s="42">
        <v>8500000</v>
      </c>
      <c r="J17" s="27">
        <v>1</v>
      </c>
      <c r="K17" s="28">
        <v>5</v>
      </c>
      <c r="L17" s="27" t="s">
        <v>27</v>
      </c>
      <c r="M17" s="18">
        <v>44622</v>
      </c>
      <c r="N17" s="26">
        <v>1</v>
      </c>
      <c r="O17" s="45" t="s">
        <v>27</v>
      </c>
      <c r="P17" s="45" t="s">
        <v>27</v>
      </c>
      <c r="Q17" s="45" t="s">
        <v>27</v>
      </c>
      <c r="R17" s="45" t="s">
        <v>27</v>
      </c>
      <c r="S17" s="45" t="s">
        <v>27</v>
      </c>
      <c r="T17" s="45" t="s">
        <v>27</v>
      </c>
      <c r="U17" s="45" t="s">
        <v>27</v>
      </c>
    </row>
    <row r="18" spans="1:21" s="8" customFormat="1" x14ac:dyDescent="0.2">
      <c r="A18" s="26">
        <v>1392</v>
      </c>
      <c r="B18" s="26" t="s">
        <v>29</v>
      </c>
      <c r="C18" s="26" t="s">
        <v>64</v>
      </c>
      <c r="D18" s="26" t="s">
        <v>38</v>
      </c>
      <c r="E18" s="26" t="s">
        <v>56</v>
      </c>
      <c r="F18" s="26" t="s">
        <v>44</v>
      </c>
      <c r="G18" s="26">
        <v>17230</v>
      </c>
      <c r="H18" s="26">
        <v>46735</v>
      </c>
      <c r="I18" s="42">
        <v>8500000</v>
      </c>
      <c r="J18" s="27">
        <v>1</v>
      </c>
      <c r="K18" s="28">
        <v>5</v>
      </c>
      <c r="L18" s="27" t="s">
        <v>27</v>
      </c>
      <c r="M18" s="18">
        <v>44621</v>
      </c>
      <c r="N18" s="26">
        <v>1</v>
      </c>
      <c r="O18" s="45" t="s">
        <v>27</v>
      </c>
      <c r="P18" s="45" t="s">
        <v>27</v>
      </c>
      <c r="Q18" s="45" t="s">
        <v>27</v>
      </c>
      <c r="R18" s="45" t="s">
        <v>27</v>
      </c>
      <c r="S18" s="45" t="s">
        <v>27</v>
      </c>
      <c r="T18" s="45" t="s">
        <v>27</v>
      </c>
      <c r="U18" s="45" t="s">
        <v>27</v>
      </c>
    </row>
    <row r="19" spans="1:21" ht="15" customHeight="1" x14ac:dyDescent="0.2">
      <c r="A19" s="26">
        <v>1323</v>
      </c>
      <c r="B19" s="26" t="s">
        <v>22</v>
      </c>
      <c r="C19" s="26" t="s">
        <v>23</v>
      </c>
      <c r="D19" s="26" t="s">
        <v>24</v>
      </c>
      <c r="E19" s="26" t="s">
        <v>25</v>
      </c>
      <c r="F19" s="26" t="s">
        <v>23</v>
      </c>
      <c r="G19" s="26" t="s">
        <v>26</v>
      </c>
      <c r="H19" s="26">
        <v>178012</v>
      </c>
      <c r="I19" s="42">
        <v>21000000</v>
      </c>
      <c r="J19" s="27">
        <v>1</v>
      </c>
      <c r="K19" s="28">
        <v>5</v>
      </c>
      <c r="L19" s="27" t="s">
        <v>27</v>
      </c>
      <c r="M19" s="18">
        <v>44620</v>
      </c>
      <c r="N19" s="26">
        <v>1</v>
      </c>
      <c r="O19" s="45" t="s">
        <v>27</v>
      </c>
      <c r="P19" s="45" t="s">
        <v>27</v>
      </c>
      <c r="Q19" s="45" t="s">
        <v>27</v>
      </c>
      <c r="R19" s="45" t="s">
        <v>27</v>
      </c>
      <c r="S19" s="45" t="s">
        <v>27</v>
      </c>
      <c r="T19" s="45" t="s">
        <v>27</v>
      </c>
      <c r="U19" s="45" t="s">
        <v>27</v>
      </c>
    </row>
    <row r="20" spans="1:21" x14ac:dyDescent="0.2">
      <c r="A20" s="26">
        <v>1263</v>
      </c>
      <c r="B20" s="26" t="s">
        <v>22</v>
      </c>
      <c r="C20" s="26" t="s">
        <v>65</v>
      </c>
      <c r="D20" s="26" t="s">
        <v>66</v>
      </c>
      <c r="E20" s="26" t="s">
        <v>67</v>
      </c>
      <c r="F20" s="26" t="s">
        <v>68</v>
      </c>
      <c r="G20" s="26" t="s">
        <v>69</v>
      </c>
      <c r="H20" s="26">
        <v>7000008</v>
      </c>
      <c r="I20" s="42">
        <v>24500000</v>
      </c>
      <c r="J20" s="27">
        <v>1</v>
      </c>
      <c r="K20" s="28">
        <v>5</v>
      </c>
      <c r="L20" s="27" t="s">
        <v>27</v>
      </c>
      <c r="M20" s="18">
        <v>44620</v>
      </c>
      <c r="N20" s="26">
        <v>1</v>
      </c>
      <c r="O20" s="45" t="s">
        <v>27</v>
      </c>
      <c r="P20" s="45" t="s">
        <v>27</v>
      </c>
      <c r="Q20" s="45" t="s">
        <v>27</v>
      </c>
      <c r="R20" s="45" t="s">
        <v>27</v>
      </c>
      <c r="S20" s="45" t="s">
        <v>27</v>
      </c>
      <c r="T20" s="45" t="s">
        <v>27</v>
      </c>
      <c r="U20" s="45" t="s">
        <v>27</v>
      </c>
    </row>
    <row r="22" spans="1:21" x14ac:dyDescent="0.2">
      <c r="A22" s="8">
        <v>1330</v>
      </c>
      <c r="B22" s="8" t="s">
        <v>22</v>
      </c>
      <c r="C22" s="8" t="s">
        <v>70</v>
      </c>
      <c r="D22" s="8" t="s">
        <v>38</v>
      </c>
      <c r="E22" s="8" t="s">
        <v>71</v>
      </c>
      <c r="F22" s="8" t="s">
        <v>44</v>
      </c>
      <c r="G22" s="8" t="s">
        <v>72</v>
      </c>
      <c r="H22" s="8">
        <v>37083</v>
      </c>
      <c r="I22" s="34">
        <v>8000000</v>
      </c>
      <c r="J22" s="19">
        <v>1</v>
      </c>
      <c r="K22" s="33" t="s">
        <v>73</v>
      </c>
      <c r="L22" s="19"/>
      <c r="M22" s="32">
        <v>44592</v>
      </c>
      <c r="N22" s="8">
        <v>1</v>
      </c>
    </row>
    <row r="24" spans="1:21" x14ac:dyDescent="0.2">
      <c r="G24" s="31" t="s">
        <v>74</v>
      </c>
      <c r="H24" s="43">
        <f>SUM(N2:N23)</f>
        <v>20</v>
      </c>
      <c r="I24" s="37">
        <f>SUM(I2:I20)</f>
        <v>313046000</v>
      </c>
    </row>
    <row r="26" spans="1:21" x14ac:dyDescent="0.2">
      <c r="G26" s="348" t="s">
        <v>75</v>
      </c>
      <c r="H26" s="348"/>
      <c r="I26" s="47">
        <f>SUMIF(J2:J20,J26,I2:I20)</f>
        <v>313046000</v>
      </c>
      <c r="J26" s="24">
        <v>1</v>
      </c>
      <c r="K26" s="37"/>
    </row>
    <row r="27" spans="1:21" x14ac:dyDescent="0.2">
      <c r="G27" s="1" t="s">
        <v>76</v>
      </c>
      <c r="H27" s="8" t="s">
        <v>77</v>
      </c>
      <c r="I27" s="37">
        <f t="shared" ref="I27:I32" si="0">SUMIF($K$2:$K$23,J27,$I$2:$I$23)</f>
        <v>17000000</v>
      </c>
      <c r="J27" s="25">
        <v>1</v>
      </c>
    </row>
    <row r="28" spans="1:21" x14ac:dyDescent="0.2">
      <c r="G28" s="1" t="s">
        <v>76</v>
      </c>
      <c r="H28" s="8" t="s">
        <v>78</v>
      </c>
      <c r="I28" s="37">
        <f t="shared" si="0"/>
        <v>27646000</v>
      </c>
      <c r="J28" s="25">
        <v>2</v>
      </c>
    </row>
    <row r="29" spans="1:21" x14ac:dyDescent="0.2">
      <c r="G29" s="1" t="s">
        <v>76</v>
      </c>
      <c r="H29" s="8" t="s">
        <v>79</v>
      </c>
      <c r="I29" s="37">
        <f t="shared" si="0"/>
        <v>116400000</v>
      </c>
      <c r="J29" s="25">
        <v>3</v>
      </c>
    </row>
    <row r="30" spans="1:21" x14ac:dyDescent="0.2">
      <c r="G30" s="1" t="s">
        <v>76</v>
      </c>
      <c r="H30" s="8" t="s">
        <v>80</v>
      </c>
      <c r="I30" s="37">
        <f t="shared" si="0"/>
        <v>40000000</v>
      </c>
      <c r="J30" s="25">
        <v>4</v>
      </c>
    </row>
    <row r="31" spans="1:21" x14ac:dyDescent="0.2">
      <c r="E31" s="1" t="s">
        <v>3</v>
      </c>
      <c r="G31" s="38" t="s">
        <v>76</v>
      </c>
      <c r="H31" s="26" t="s">
        <v>81</v>
      </c>
      <c r="I31" s="37">
        <f t="shared" si="0"/>
        <v>92500000</v>
      </c>
      <c r="J31" s="25">
        <v>5</v>
      </c>
    </row>
    <row r="32" spans="1:21" x14ac:dyDescent="0.2">
      <c r="G32" s="38" t="s">
        <v>76</v>
      </c>
      <c r="H32" s="26" t="s">
        <v>82</v>
      </c>
      <c r="I32" s="37">
        <f t="shared" si="0"/>
        <v>19500000</v>
      </c>
      <c r="J32" s="8">
        <v>6</v>
      </c>
    </row>
    <row r="34" spans="2:10" x14ac:dyDescent="0.2">
      <c r="G34" s="348" t="s">
        <v>83</v>
      </c>
      <c r="H34" s="348"/>
      <c r="I34" s="8" t="s">
        <v>4</v>
      </c>
    </row>
    <row r="35" spans="2:10" x14ac:dyDescent="0.2">
      <c r="G35" s="23" t="s">
        <v>24</v>
      </c>
      <c r="H35" s="8">
        <f t="shared" ref="H35:H41" si="1">SUMIF($D$2:$D$21,G35,$N$2:$N$21)</f>
        <v>2</v>
      </c>
      <c r="I35" s="23" t="s">
        <v>29</v>
      </c>
      <c r="J35" s="8">
        <f>SUMIF($B$2:$B$21,I35,$N$2:$N$21)</f>
        <v>9</v>
      </c>
    </row>
    <row r="36" spans="2:10" x14ac:dyDescent="0.2">
      <c r="E36" s="1" t="s">
        <v>84</v>
      </c>
      <c r="G36" s="23" t="s">
        <v>66</v>
      </c>
      <c r="H36" s="8">
        <f t="shared" si="1"/>
        <v>1</v>
      </c>
      <c r="I36" s="23" t="s">
        <v>22</v>
      </c>
      <c r="J36" s="8">
        <f>SUMIF($B$2:$B$21,I36,$N$2:$N$21)</f>
        <v>10</v>
      </c>
    </row>
    <row r="37" spans="2:10" x14ac:dyDescent="0.2">
      <c r="G37" s="23" t="s">
        <v>34</v>
      </c>
      <c r="H37" s="8">
        <f t="shared" si="1"/>
        <v>1</v>
      </c>
      <c r="I37" s="23"/>
      <c r="J37" s="8"/>
    </row>
    <row r="38" spans="2:10" x14ac:dyDescent="0.2">
      <c r="G38" s="23" t="s">
        <v>31</v>
      </c>
      <c r="H38" s="8">
        <f t="shared" si="1"/>
        <v>2</v>
      </c>
      <c r="I38" s="1"/>
    </row>
    <row r="39" spans="2:10" x14ac:dyDescent="0.2">
      <c r="G39" s="23" t="s">
        <v>85</v>
      </c>
      <c r="H39" s="8">
        <f t="shared" si="1"/>
        <v>0</v>
      </c>
      <c r="I39" s="1"/>
    </row>
    <row r="40" spans="2:10" x14ac:dyDescent="0.2">
      <c r="G40" s="23" t="s">
        <v>46</v>
      </c>
      <c r="H40" s="8">
        <f t="shared" si="1"/>
        <v>1</v>
      </c>
      <c r="I40" s="1"/>
    </row>
    <row r="41" spans="2:10" x14ac:dyDescent="0.2">
      <c r="G41" s="23" t="s">
        <v>38</v>
      </c>
      <c r="H41" s="8">
        <f t="shared" si="1"/>
        <v>12</v>
      </c>
      <c r="I41" s="1"/>
    </row>
    <row r="42" spans="2:10" x14ac:dyDescent="0.2">
      <c r="I42" s="1"/>
    </row>
    <row r="43" spans="2:10" x14ac:dyDescent="0.2">
      <c r="H43" s="8">
        <f>SUM(H35:H42)</f>
        <v>19</v>
      </c>
      <c r="I43" s="1"/>
      <c r="J43" s="8">
        <f>SUM(J35:J42)</f>
        <v>19</v>
      </c>
    </row>
    <row r="45" spans="2:10" ht="16" thickBot="1" x14ac:dyDescent="0.25"/>
    <row r="46" spans="2:10" ht="20" thickBot="1" x14ac:dyDescent="0.25">
      <c r="B46" s="349" t="s">
        <v>86</v>
      </c>
      <c r="C46" s="350"/>
      <c r="D46" s="350"/>
      <c r="E46" s="350"/>
      <c r="F46" s="351"/>
    </row>
    <row r="47" spans="2:10" ht="33" thickBot="1" x14ac:dyDescent="0.25">
      <c r="B47" s="68" t="s">
        <v>87</v>
      </c>
      <c r="C47" s="64" t="s">
        <v>88</v>
      </c>
      <c r="D47" s="64" t="s">
        <v>89</v>
      </c>
      <c r="E47" s="64" t="s">
        <v>90</v>
      </c>
      <c r="F47" s="66" t="s">
        <v>91</v>
      </c>
    </row>
    <row r="48" spans="2:10" x14ac:dyDescent="0.2">
      <c r="B48" s="65">
        <v>94</v>
      </c>
      <c r="C48" s="65">
        <v>411</v>
      </c>
      <c r="D48" s="65">
        <v>135</v>
      </c>
      <c r="E48" s="65">
        <v>0</v>
      </c>
      <c r="F48" s="67">
        <f>SUM(A48:E48)</f>
        <v>640</v>
      </c>
    </row>
    <row r="49" spans="6:6" x14ac:dyDescent="0.2">
      <c r="F49"/>
    </row>
  </sheetData>
  <autoFilter ref="A1:U24" xr:uid="{00000000-0009-0000-0000-000007000000}">
    <sortState xmlns:xlrd2="http://schemas.microsoft.com/office/spreadsheetml/2017/richdata2" ref="A2:U23">
      <sortCondition ref="M1:M23"/>
    </sortState>
  </autoFilter>
  <mergeCells count="3">
    <mergeCell ref="G26:H26"/>
    <mergeCell ref="G34:H34"/>
    <mergeCell ref="B46:F46"/>
  </mergeCells>
  <pageMargins left="0.70866141732283472" right="0.70866141732283472" top="0.74803149606299213" bottom="0.74803149606299213" header="0.31496062992125984" footer="0.31496062992125984"/>
  <pageSetup scale="3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tabColor rgb="FFFF0000"/>
  </sheetPr>
  <dimension ref="A1:N49"/>
  <sheetViews>
    <sheetView topLeftCell="A13" zoomScale="90" zoomScaleNormal="90" workbookViewId="0">
      <selection activeCell="P22" sqref="P22"/>
    </sheetView>
  </sheetViews>
  <sheetFormatPr baseColWidth="10" defaultColWidth="11.5" defaultRowHeight="15" x14ac:dyDescent="0.2"/>
  <cols>
    <col min="1" max="1" width="8.5" style="1" bestFit="1" customWidth="1"/>
    <col min="2" max="2" width="19.33203125" style="1" customWidth="1"/>
    <col min="3" max="3" width="19.83203125" style="1" customWidth="1"/>
    <col min="4" max="4" width="13.6640625" style="1" bestFit="1" customWidth="1"/>
    <col min="5" max="5" width="26.5" style="1" bestFit="1" customWidth="1"/>
    <col min="6" max="6" width="12.6640625" style="1" customWidth="1"/>
    <col min="7" max="7" width="23" style="1" bestFit="1" customWidth="1"/>
    <col min="8" max="8" width="17.83203125" style="1" bestFit="1" customWidth="1"/>
    <col min="9" max="9" width="18.6640625" style="1" customWidth="1"/>
    <col min="10" max="10" width="7.5" style="1" customWidth="1"/>
    <col min="11" max="11" width="8.83203125" style="1" customWidth="1"/>
    <col min="12" max="12" width="3.5" style="1" customWidth="1"/>
    <col min="13" max="13" width="11.1640625" style="21" customWidth="1"/>
    <col min="14" max="14" width="2.1640625" style="8" bestFit="1" customWidth="1"/>
    <col min="15" max="16384" width="11.5" style="1"/>
  </cols>
  <sheetData>
    <row r="1" spans="1:14" s="8" customFormat="1" x14ac:dyDescent="0.2">
      <c r="A1" s="16" t="s">
        <v>92</v>
      </c>
      <c r="B1" s="16" t="s">
        <v>4</v>
      </c>
      <c r="C1" s="16" t="s">
        <v>5</v>
      </c>
      <c r="D1" s="16" t="s">
        <v>6</v>
      </c>
      <c r="E1" s="16" t="s">
        <v>7</v>
      </c>
      <c r="F1" s="16" t="s">
        <v>8</v>
      </c>
      <c r="G1" s="16" t="s">
        <v>9</v>
      </c>
      <c r="H1" s="16" t="s">
        <v>10</v>
      </c>
      <c r="I1" s="17" t="s">
        <v>11</v>
      </c>
      <c r="J1" s="16" t="s">
        <v>12</v>
      </c>
      <c r="K1" s="16" t="s">
        <v>13</v>
      </c>
      <c r="L1" s="16"/>
      <c r="M1" s="16" t="s">
        <v>14</v>
      </c>
      <c r="N1" s="16"/>
    </row>
    <row r="2" spans="1:14" x14ac:dyDescent="0.2">
      <c r="A2" s="26">
        <v>1163</v>
      </c>
      <c r="B2" s="26" t="s">
        <v>22</v>
      </c>
      <c r="C2" s="26" t="s">
        <v>37</v>
      </c>
      <c r="D2" s="26" t="s">
        <v>38</v>
      </c>
      <c r="E2" s="26" t="s">
        <v>59</v>
      </c>
      <c r="F2" s="26" t="s">
        <v>60</v>
      </c>
      <c r="G2" s="26" t="s">
        <v>61</v>
      </c>
      <c r="H2" s="26">
        <v>1015</v>
      </c>
      <c r="I2" s="42">
        <v>19500000</v>
      </c>
      <c r="J2" s="27">
        <v>1</v>
      </c>
      <c r="K2" s="28">
        <v>1</v>
      </c>
      <c r="L2" s="27" t="s">
        <v>27</v>
      </c>
      <c r="M2" s="18">
        <v>44567</v>
      </c>
      <c r="N2" s="26">
        <v>1</v>
      </c>
    </row>
    <row r="3" spans="1:14" x14ac:dyDescent="0.2">
      <c r="A3" s="26">
        <v>1206</v>
      </c>
      <c r="B3" s="26" t="s">
        <v>22</v>
      </c>
      <c r="C3" s="26" t="s">
        <v>93</v>
      </c>
      <c r="D3" s="26" t="s">
        <v>24</v>
      </c>
      <c r="E3" s="26" t="s">
        <v>94</v>
      </c>
      <c r="F3" s="26" t="s">
        <v>44</v>
      </c>
      <c r="G3" s="26">
        <v>32360</v>
      </c>
      <c r="H3" s="26">
        <v>18288</v>
      </c>
      <c r="I3" s="42">
        <v>25000000</v>
      </c>
      <c r="J3" s="27">
        <v>1</v>
      </c>
      <c r="K3" s="28">
        <v>2</v>
      </c>
      <c r="L3" s="27" t="s">
        <v>27</v>
      </c>
      <c r="M3" s="18">
        <v>44567</v>
      </c>
      <c r="N3" s="26">
        <v>1</v>
      </c>
    </row>
    <row r="4" spans="1:14" x14ac:dyDescent="0.2">
      <c r="A4" s="26">
        <v>1285</v>
      </c>
      <c r="B4" s="26" t="s">
        <v>22</v>
      </c>
      <c r="C4" s="26" t="s">
        <v>95</v>
      </c>
      <c r="D4" s="26" t="s">
        <v>38</v>
      </c>
      <c r="E4" s="26" t="s">
        <v>96</v>
      </c>
      <c r="F4" s="26" t="s">
        <v>44</v>
      </c>
      <c r="G4" s="26">
        <v>32360</v>
      </c>
      <c r="H4" s="26">
        <v>32230</v>
      </c>
      <c r="I4" s="42">
        <v>12500000</v>
      </c>
      <c r="J4" s="27">
        <v>1</v>
      </c>
      <c r="K4" s="28">
        <v>2</v>
      </c>
      <c r="L4" s="27" t="s">
        <v>27</v>
      </c>
      <c r="M4" s="18">
        <v>44567</v>
      </c>
      <c r="N4" s="26">
        <v>1</v>
      </c>
    </row>
    <row r="5" spans="1:14" x14ac:dyDescent="0.2">
      <c r="A5" s="26">
        <v>1164</v>
      </c>
      <c r="B5" s="26" t="s">
        <v>22</v>
      </c>
      <c r="C5" s="26" t="s">
        <v>37</v>
      </c>
      <c r="D5" s="26" t="s">
        <v>38</v>
      </c>
      <c r="E5" s="26" t="s">
        <v>59</v>
      </c>
      <c r="F5" s="26" t="s">
        <v>60</v>
      </c>
      <c r="G5" s="26" t="s">
        <v>61</v>
      </c>
      <c r="H5" s="26">
        <v>1013</v>
      </c>
      <c r="I5" s="42">
        <v>19500000</v>
      </c>
      <c r="J5" s="27">
        <v>1</v>
      </c>
      <c r="K5" s="28">
        <v>2</v>
      </c>
      <c r="L5" s="27" t="s">
        <v>27</v>
      </c>
      <c r="M5" s="18">
        <v>44572</v>
      </c>
      <c r="N5" s="26">
        <v>1</v>
      </c>
    </row>
    <row r="6" spans="1:14" x14ac:dyDescent="0.2">
      <c r="A6" s="26">
        <v>1214</v>
      </c>
      <c r="B6" s="26" t="s">
        <v>29</v>
      </c>
      <c r="C6" s="26" t="s">
        <v>45</v>
      </c>
      <c r="D6" s="26" t="s">
        <v>38</v>
      </c>
      <c r="E6" s="26" t="s">
        <v>97</v>
      </c>
      <c r="F6" s="26" t="s">
        <v>33</v>
      </c>
      <c r="G6" s="26">
        <v>3131</v>
      </c>
      <c r="H6" s="26">
        <v>247332</v>
      </c>
      <c r="I6" s="42">
        <v>10500000</v>
      </c>
      <c r="J6" s="27">
        <v>1</v>
      </c>
      <c r="K6" s="28">
        <v>2</v>
      </c>
      <c r="L6" s="27" t="s">
        <v>27</v>
      </c>
      <c r="M6" s="18">
        <v>44575</v>
      </c>
      <c r="N6" s="26">
        <v>1</v>
      </c>
    </row>
    <row r="7" spans="1:14" x14ac:dyDescent="0.2">
      <c r="A7" s="26">
        <v>1248</v>
      </c>
      <c r="B7" s="26" t="s">
        <v>29</v>
      </c>
      <c r="C7" s="26" t="s">
        <v>45</v>
      </c>
      <c r="D7" s="26" t="s">
        <v>38</v>
      </c>
      <c r="E7" s="26" t="s">
        <v>97</v>
      </c>
      <c r="F7" s="26" t="s">
        <v>33</v>
      </c>
      <c r="G7" s="26">
        <v>3131</v>
      </c>
      <c r="H7" s="26">
        <v>242805</v>
      </c>
      <c r="I7" s="42">
        <v>10500000</v>
      </c>
      <c r="J7" s="27">
        <v>1</v>
      </c>
      <c r="K7" s="28">
        <v>3</v>
      </c>
      <c r="L7" s="27" t="s">
        <v>27</v>
      </c>
      <c r="M7" s="18">
        <v>44578</v>
      </c>
      <c r="N7" s="26">
        <v>1</v>
      </c>
    </row>
    <row r="8" spans="1:14" x14ac:dyDescent="0.2">
      <c r="A8" s="26">
        <v>1205</v>
      </c>
      <c r="B8" s="26" t="s">
        <v>22</v>
      </c>
      <c r="C8" s="26" t="s">
        <v>98</v>
      </c>
      <c r="D8" s="26" t="s">
        <v>24</v>
      </c>
      <c r="E8" s="26" t="s">
        <v>94</v>
      </c>
      <c r="F8" s="26" t="s">
        <v>23</v>
      </c>
      <c r="G8" s="26" t="s">
        <v>26</v>
      </c>
      <c r="H8" s="26">
        <v>176434</v>
      </c>
      <c r="I8" s="42">
        <v>25000000</v>
      </c>
      <c r="J8" s="27">
        <v>1</v>
      </c>
      <c r="K8" s="28">
        <v>3</v>
      </c>
      <c r="L8" s="27" t="s">
        <v>27</v>
      </c>
      <c r="M8" s="18">
        <v>44582</v>
      </c>
      <c r="N8" s="26">
        <v>1</v>
      </c>
    </row>
    <row r="9" spans="1:14" x14ac:dyDescent="0.2">
      <c r="A9" s="26">
        <v>1249</v>
      </c>
      <c r="B9" s="26" t="s">
        <v>29</v>
      </c>
      <c r="C9" s="26" t="s">
        <v>45</v>
      </c>
      <c r="D9" s="26" t="s">
        <v>38</v>
      </c>
      <c r="E9" s="26" t="s">
        <v>55</v>
      </c>
      <c r="F9" s="26" t="s">
        <v>33</v>
      </c>
      <c r="G9" s="26">
        <v>3131</v>
      </c>
      <c r="H9" s="26">
        <v>247272</v>
      </c>
      <c r="I9" s="42">
        <v>10500000</v>
      </c>
      <c r="J9" s="27">
        <v>1</v>
      </c>
      <c r="K9" s="28">
        <v>3</v>
      </c>
      <c r="L9" s="27" t="s">
        <v>27</v>
      </c>
      <c r="M9" s="18">
        <v>44582</v>
      </c>
      <c r="N9" s="26">
        <v>1</v>
      </c>
    </row>
    <row r="10" spans="1:14" x14ac:dyDescent="0.2">
      <c r="A10" s="26">
        <v>1219</v>
      </c>
      <c r="B10" s="26" t="s">
        <v>29</v>
      </c>
      <c r="C10" s="26" t="s">
        <v>52</v>
      </c>
      <c r="D10" s="26" t="s">
        <v>38</v>
      </c>
      <c r="E10" s="26" t="s">
        <v>53</v>
      </c>
      <c r="F10" s="26" t="s">
        <v>44</v>
      </c>
      <c r="G10" s="26">
        <v>32360</v>
      </c>
      <c r="H10" s="26">
        <v>38041</v>
      </c>
      <c r="I10" s="42">
        <v>10400000</v>
      </c>
      <c r="J10" s="27">
        <v>1</v>
      </c>
      <c r="K10" s="28">
        <v>4</v>
      </c>
      <c r="L10" s="27" t="s">
        <v>27</v>
      </c>
      <c r="M10" s="18">
        <v>44586</v>
      </c>
      <c r="N10" s="26">
        <v>1</v>
      </c>
    </row>
    <row r="11" spans="1:14" x14ac:dyDescent="0.2">
      <c r="A11" s="26">
        <v>1012</v>
      </c>
      <c r="B11" s="26" t="s">
        <v>29</v>
      </c>
      <c r="C11" s="26" t="s">
        <v>99</v>
      </c>
      <c r="D11" s="26" t="s">
        <v>46</v>
      </c>
      <c r="E11" s="26" t="s">
        <v>100</v>
      </c>
      <c r="F11" s="26" t="s">
        <v>23</v>
      </c>
      <c r="G11" s="26" t="s">
        <v>26</v>
      </c>
      <c r="H11" s="26">
        <v>173913</v>
      </c>
      <c r="I11" s="42">
        <v>101129090</v>
      </c>
      <c r="J11" s="27">
        <v>1</v>
      </c>
      <c r="K11" s="28">
        <v>4</v>
      </c>
      <c r="L11" s="27" t="s">
        <v>27</v>
      </c>
      <c r="M11" s="18">
        <v>44586</v>
      </c>
      <c r="N11" s="26">
        <v>1</v>
      </c>
    </row>
    <row r="12" spans="1:14" x14ac:dyDescent="0.2">
      <c r="A12" s="26">
        <v>1207</v>
      </c>
      <c r="B12" s="26" t="s">
        <v>29</v>
      </c>
      <c r="C12" s="26" t="s">
        <v>101</v>
      </c>
      <c r="D12" s="26" t="s">
        <v>31</v>
      </c>
      <c r="E12" s="26" t="s">
        <v>102</v>
      </c>
      <c r="F12" s="26" t="s">
        <v>44</v>
      </c>
      <c r="G12" s="26">
        <v>17230</v>
      </c>
      <c r="H12" s="26">
        <v>22451</v>
      </c>
      <c r="I12" s="42">
        <v>20000000</v>
      </c>
      <c r="J12" s="27">
        <v>1</v>
      </c>
      <c r="K12" s="28">
        <v>4</v>
      </c>
      <c r="L12" s="27" t="s">
        <v>27</v>
      </c>
      <c r="M12" s="18">
        <v>44587</v>
      </c>
      <c r="N12" s="26">
        <v>1</v>
      </c>
    </row>
    <row r="13" spans="1:14" x14ac:dyDescent="0.2">
      <c r="A13" s="26">
        <v>1289</v>
      </c>
      <c r="B13" s="26" t="s">
        <v>22</v>
      </c>
      <c r="C13" s="26" t="s">
        <v>37</v>
      </c>
      <c r="D13" s="26" t="s">
        <v>38</v>
      </c>
      <c r="E13" s="26" t="s">
        <v>39</v>
      </c>
      <c r="F13" s="26" t="s">
        <v>40</v>
      </c>
      <c r="G13" s="26" t="s">
        <v>41</v>
      </c>
      <c r="H13" s="26">
        <v>1177</v>
      </c>
      <c r="I13" s="42">
        <v>19500000</v>
      </c>
      <c r="J13" s="27">
        <v>1</v>
      </c>
      <c r="K13" s="28">
        <v>4</v>
      </c>
      <c r="L13" s="27" t="s">
        <v>27</v>
      </c>
      <c r="M13" s="18">
        <v>44587</v>
      </c>
      <c r="N13" s="26">
        <v>1</v>
      </c>
    </row>
    <row r="14" spans="1:14" x14ac:dyDescent="0.2">
      <c r="A14" s="26">
        <v>1278</v>
      </c>
      <c r="B14" s="26" t="s">
        <v>22</v>
      </c>
      <c r="C14" s="26" t="s">
        <v>103</v>
      </c>
      <c r="D14" s="26" t="s">
        <v>24</v>
      </c>
      <c r="E14" s="26" t="s">
        <v>104</v>
      </c>
      <c r="F14" s="26" t="s">
        <v>68</v>
      </c>
      <c r="G14" s="26" t="s">
        <v>105</v>
      </c>
      <c r="H14" s="26">
        <v>7000051</v>
      </c>
      <c r="I14" s="42">
        <v>14900000</v>
      </c>
      <c r="J14" s="27">
        <v>1</v>
      </c>
      <c r="K14" s="28">
        <v>4</v>
      </c>
      <c r="L14" s="27" t="s">
        <v>27</v>
      </c>
      <c r="M14" s="18">
        <v>44587</v>
      </c>
      <c r="N14" s="26">
        <v>1</v>
      </c>
    </row>
    <row r="15" spans="1:14" x14ac:dyDescent="0.2">
      <c r="A15" s="26">
        <v>1245</v>
      </c>
      <c r="B15" s="26" t="s">
        <v>22</v>
      </c>
      <c r="C15" s="26" t="s">
        <v>106</v>
      </c>
      <c r="D15" s="26" t="s">
        <v>24</v>
      </c>
      <c r="E15" s="26" t="s">
        <v>107</v>
      </c>
      <c r="F15" s="26" t="s">
        <v>106</v>
      </c>
      <c r="G15" s="26" t="s">
        <v>108</v>
      </c>
      <c r="H15" s="26">
        <v>3991968</v>
      </c>
      <c r="I15" s="42">
        <v>16000000</v>
      </c>
      <c r="J15" s="27">
        <v>1</v>
      </c>
      <c r="K15" s="28">
        <v>5</v>
      </c>
      <c r="L15" s="27" t="s">
        <v>27</v>
      </c>
      <c r="M15" s="18">
        <v>44593</v>
      </c>
      <c r="N15" s="26">
        <v>1</v>
      </c>
    </row>
    <row r="16" spans="1:14" x14ac:dyDescent="0.2">
      <c r="A16" s="26">
        <v>1291</v>
      </c>
      <c r="B16" s="26" t="s">
        <v>22</v>
      </c>
      <c r="C16" s="26" t="s">
        <v>37</v>
      </c>
      <c r="D16" s="26" t="s">
        <v>38</v>
      </c>
      <c r="E16" s="26" t="s">
        <v>39</v>
      </c>
      <c r="F16" s="26" t="s">
        <v>40</v>
      </c>
      <c r="G16" s="26" t="s">
        <v>41</v>
      </c>
      <c r="H16" s="26">
        <v>1178</v>
      </c>
      <c r="I16" s="42">
        <v>19500000</v>
      </c>
      <c r="J16" s="27">
        <v>1</v>
      </c>
      <c r="K16" s="28">
        <v>5</v>
      </c>
      <c r="L16" s="27" t="s">
        <v>27</v>
      </c>
      <c r="M16" s="18">
        <v>44593</v>
      </c>
      <c r="N16" s="26">
        <v>1</v>
      </c>
    </row>
    <row r="17" spans="1:14" x14ac:dyDescent="0.2">
      <c r="A17" s="26">
        <v>1261</v>
      </c>
      <c r="B17" s="26" t="s">
        <v>29</v>
      </c>
      <c r="C17" s="26" t="s">
        <v>109</v>
      </c>
      <c r="D17" s="26" t="s">
        <v>38</v>
      </c>
      <c r="E17" s="26" t="s">
        <v>97</v>
      </c>
      <c r="F17" s="26" t="s">
        <v>44</v>
      </c>
      <c r="G17" s="26">
        <v>31330</v>
      </c>
      <c r="H17" s="26">
        <v>42727</v>
      </c>
      <c r="I17" s="42">
        <v>9500000</v>
      </c>
      <c r="J17" s="27">
        <v>1</v>
      </c>
      <c r="K17" s="28">
        <v>5</v>
      </c>
      <c r="L17" s="27" t="s">
        <v>27</v>
      </c>
      <c r="M17" s="18">
        <v>44593</v>
      </c>
      <c r="N17" s="26">
        <v>1</v>
      </c>
    </row>
    <row r="18" spans="1:14" x14ac:dyDescent="0.2">
      <c r="A18" s="26">
        <v>1351</v>
      </c>
      <c r="B18" s="26" t="s">
        <v>29</v>
      </c>
      <c r="C18" s="26" t="s">
        <v>52</v>
      </c>
      <c r="D18" s="26" t="s">
        <v>38</v>
      </c>
      <c r="E18" s="26" t="s">
        <v>53</v>
      </c>
      <c r="F18" s="26" t="s">
        <v>44</v>
      </c>
      <c r="G18" s="26">
        <v>32360</v>
      </c>
      <c r="H18" s="26">
        <v>43857</v>
      </c>
      <c r="I18" s="42">
        <v>10400000</v>
      </c>
      <c r="J18" s="27">
        <v>1</v>
      </c>
      <c r="K18" s="28">
        <v>5</v>
      </c>
      <c r="L18" s="27" t="s">
        <v>27</v>
      </c>
      <c r="M18" s="18">
        <v>44594</v>
      </c>
      <c r="N18" s="26">
        <v>1</v>
      </c>
    </row>
    <row r="19" spans="1:14" x14ac:dyDescent="0.2">
      <c r="A19" s="26">
        <v>1201</v>
      </c>
      <c r="B19" s="26" t="s">
        <v>29</v>
      </c>
      <c r="C19" s="26" t="s">
        <v>110</v>
      </c>
      <c r="D19" s="26" t="s">
        <v>66</v>
      </c>
      <c r="E19" s="26" t="s">
        <v>111</v>
      </c>
      <c r="F19" s="26" t="s">
        <v>44</v>
      </c>
      <c r="G19" s="26">
        <v>17220</v>
      </c>
      <c r="H19" s="26" t="s">
        <v>112</v>
      </c>
      <c r="I19" s="42">
        <v>18500000</v>
      </c>
      <c r="J19" s="27">
        <v>1</v>
      </c>
      <c r="K19" s="28">
        <v>5</v>
      </c>
      <c r="L19" s="27" t="s">
        <v>27</v>
      </c>
      <c r="M19" s="18">
        <v>44595</v>
      </c>
      <c r="N19" s="26">
        <v>1</v>
      </c>
    </row>
    <row r="20" spans="1:14" x14ac:dyDescent="0.2">
      <c r="A20" s="26">
        <v>1247</v>
      </c>
      <c r="B20" s="26" t="s">
        <v>29</v>
      </c>
      <c r="C20" s="26" t="s">
        <v>45</v>
      </c>
      <c r="D20" s="26" t="s">
        <v>38</v>
      </c>
      <c r="E20" s="26" t="s">
        <v>55</v>
      </c>
      <c r="F20" s="26" t="s">
        <v>33</v>
      </c>
      <c r="G20" s="26">
        <v>3131</v>
      </c>
      <c r="H20" s="26">
        <v>247332</v>
      </c>
      <c r="I20" s="42">
        <v>10500000</v>
      </c>
      <c r="J20" s="27">
        <v>1</v>
      </c>
      <c r="K20" s="28">
        <v>5</v>
      </c>
      <c r="L20" s="27" t="s">
        <v>27</v>
      </c>
      <c r="M20" s="18">
        <v>44599</v>
      </c>
      <c r="N20" s="26">
        <v>1</v>
      </c>
    </row>
    <row r="21" spans="1:14" x14ac:dyDescent="0.2">
      <c r="A21" s="26">
        <v>1367</v>
      </c>
      <c r="B21" s="26" t="s">
        <v>29</v>
      </c>
      <c r="C21" s="26" t="s">
        <v>62</v>
      </c>
      <c r="D21" s="26" t="s">
        <v>38</v>
      </c>
      <c r="E21" s="26" t="s">
        <v>55</v>
      </c>
      <c r="F21" s="26" t="s">
        <v>44</v>
      </c>
      <c r="G21" s="26">
        <v>31330</v>
      </c>
      <c r="H21" s="26">
        <v>43194</v>
      </c>
      <c r="I21" s="42">
        <v>10500000</v>
      </c>
      <c r="J21" s="27">
        <v>1</v>
      </c>
      <c r="K21" s="28">
        <v>5</v>
      </c>
      <c r="L21" s="27" t="s">
        <v>27</v>
      </c>
      <c r="M21" s="18">
        <v>44606</v>
      </c>
      <c r="N21" s="26">
        <v>1</v>
      </c>
    </row>
    <row r="23" spans="1:14" x14ac:dyDescent="0.2">
      <c r="A23" s="8"/>
      <c r="B23" s="8"/>
      <c r="C23" s="8"/>
      <c r="D23" s="8"/>
      <c r="E23" s="8"/>
      <c r="F23" s="8"/>
      <c r="G23" s="8"/>
      <c r="H23" s="8"/>
      <c r="I23" s="34"/>
      <c r="J23" s="19"/>
      <c r="K23" s="33"/>
      <c r="L23" s="19"/>
    </row>
    <row r="24" spans="1:14" x14ac:dyDescent="0.2">
      <c r="G24" s="31" t="s">
        <v>113</v>
      </c>
      <c r="H24" s="43">
        <f>SUM(N2:N21)</f>
        <v>20</v>
      </c>
      <c r="I24" s="20">
        <f>SUM(I2:I21)</f>
        <v>393829090</v>
      </c>
    </row>
    <row r="26" spans="1:14" x14ac:dyDescent="0.2">
      <c r="D26" s="23"/>
      <c r="E26" s="8"/>
      <c r="G26" s="348" t="s">
        <v>75</v>
      </c>
      <c r="H26" s="348"/>
      <c r="I26" s="20">
        <f>SUMIF(J2:J23,J26,I2:I23)</f>
        <v>393829090</v>
      </c>
      <c r="J26" s="24">
        <v>1</v>
      </c>
      <c r="K26" s="8"/>
    </row>
    <row r="27" spans="1:14" x14ac:dyDescent="0.2">
      <c r="C27" s="1" t="s">
        <v>3</v>
      </c>
      <c r="D27" s="23"/>
      <c r="E27" s="8"/>
      <c r="G27" s="1" t="s">
        <v>76</v>
      </c>
      <c r="H27" s="2" t="s">
        <v>114</v>
      </c>
      <c r="I27" s="20">
        <f>SUMIF($K$2:$K$21,J27,$I$2:$I$21)</f>
        <v>19500000</v>
      </c>
      <c r="J27" s="25">
        <v>1</v>
      </c>
    </row>
    <row r="28" spans="1:14" x14ac:dyDescent="0.2">
      <c r="D28" s="23"/>
      <c r="E28" s="8"/>
      <c r="G28" s="1" t="s">
        <v>76</v>
      </c>
      <c r="H28" s="2" t="s">
        <v>115</v>
      </c>
      <c r="I28" s="20">
        <f>SUMIF($K$2:$K$21,J28,$I$2:$I$21)</f>
        <v>67500000</v>
      </c>
      <c r="J28" s="25">
        <v>2</v>
      </c>
    </row>
    <row r="29" spans="1:14" x14ac:dyDescent="0.2">
      <c r="C29" s="8"/>
      <c r="D29" s="23"/>
      <c r="E29" s="8"/>
      <c r="G29" s="1" t="s">
        <v>76</v>
      </c>
      <c r="H29" s="2" t="s">
        <v>116</v>
      </c>
      <c r="I29" s="20">
        <f>SUMIF($K$2:$K$21,J29,$I$2:$I$21)</f>
        <v>46000000</v>
      </c>
      <c r="J29" s="25">
        <v>3</v>
      </c>
    </row>
    <row r="30" spans="1:14" x14ac:dyDescent="0.2">
      <c r="D30" s="23"/>
      <c r="E30" s="8"/>
      <c r="G30" s="1" t="s">
        <v>76</v>
      </c>
      <c r="H30" s="2" t="s">
        <v>117</v>
      </c>
      <c r="I30" s="20">
        <f>SUMIF($K$2:$K$21,J30,$I$2:$I$21)</f>
        <v>165929090</v>
      </c>
      <c r="J30" s="25">
        <v>4</v>
      </c>
    </row>
    <row r="31" spans="1:14" x14ac:dyDescent="0.2">
      <c r="D31" s="23"/>
      <c r="E31" s="8"/>
      <c r="G31" s="38" t="s">
        <v>76</v>
      </c>
      <c r="H31" s="39" t="s">
        <v>77</v>
      </c>
      <c r="I31" s="40">
        <f>SUMIF($K$2:$K$19,J31,$I$2:$I$20)</f>
        <v>73900000</v>
      </c>
      <c r="J31" s="41">
        <v>5</v>
      </c>
    </row>
    <row r="33" spans="2:10" x14ac:dyDescent="0.2">
      <c r="G33" s="348" t="s">
        <v>83</v>
      </c>
      <c r="H33" s="348"/>
      <c r="I33" s="8" t="s">
        <v>4</v>
      </c>
    </row>
    <row r="34" spans="2:10" x14ac:dyDescent="0.2">
      <c r="G34" s="23" t="s">
        <v>24</v>
      </c>
      <c r="H34" s="8">
        <f t="shared" ref="H34:H40" si="0">SUMIF($D$2:$D$21,G34,$N$2:$N$21)</f>
        <v>4</v>
      </c>
      <c r="I34" s="23" t="s">
        <v>29</v>
      </c>
      <c r="J34" s="8">
        <f>SUMIF($B$2:$B$21,I34,$N$2:$N$21)</f>
        <v>11</v>
      </c>
    </row>
    <row r="35" spans="2:10" x14ac:dyDescent="0.2">
      <c r="G35" s="23" t="s">
        <v>66</v>
      </c>
      <c r="H35" s="8">
        <f t="shared" si="0"/>
        <v>1</v>
      </c>
      <c r="I35" s="23" t="s">
        <v>22</v>
      </c>
      <c r="J35" s="8">
        <f>SUMIF($B$2:$B$21,I35,$N$2:$N$21)</f>
        <v>9</v>
      </c>
    </row>
    <row r="36" spans="2:10" x14ac:dyDescent="0.2">
      <c r="G36" s="1" t="s">
        <v>34</v>
      </c>
      <c r="H36" s="8">
        <f t="shared" si="0"/>
        <v>0</v>
      </c>
    </row>
    <row r="37" spans="2:10" x14ac:dyDescent="0.2">
      <c r="G37" s="23" t="s">
        <v>31</v>
      </c>
      <c r="H37" s="8">
        <f t="shared" si="0"/>
        <v>1</v>
      </c>
    </row>
    <row r="38" spans="2:10" x14ac:dyDescent="0.2">
      <c r="G38" s="23" t="s">
        <v>85</v>
      </c>
      <c r="H38" s="8">
        <f t="shared" si="0"/>
        <v>0</v>
      </c>
    </row>
    <row r="39" spans="2:10" x14ac:dyDescent="0.2">
      <c r="G39" s="23" t="s">
        <v>46</v>
      </c>
      <c r="H39" s="8">
        <f t="shared" si="0"/>
        <v>1</v>
      </c>
    </row>
    <row r="40" spans="2:10" x14ac:dyDescent="0.2">
      <c r="G40" s="23" t="s">
        <v>38</v>
      </c>
      <c r="H40" s="8">
        <f t="shared" si="0"/>
        <v>13</v>
      </c>
    </row>
    <row r="42" spans="2:10" x14ac:dyDescent="0.2">
      <c r="H42" s="8">
        <f>SUM(H34:H41)</f>
        <v>20</v>
      </c>
      <c r="J42" s="8">
        <f>SUM(J34:J41)</f>
        <v>20</v>
      </c>
    </row>
    <row r="45" spans="2:10" ht="16" thickBot="1" x14ac:dyDescent="0.25"/>
    <row r="46" spans="2:10" ht="20" thickBot="1" x14ac:dyDescent="0.25">
      <c r="B46" s="349" t="s">
        <v>86</v>
      </c>
      <c r="C46" s="350"/>
      <c r="D46" s="350"/>
      <c r="E46" s="350"/>
      <c r="F46" s="351"/>
    </row>
    <row r="47" spans="2:10" ht="33" thickBot="1" x14ac:dyDescent="0.25">
      <c r="B47" s="68" t="s">
        <v>87</v>
      </c>
      <c r="C47" s="64" t="s">
        <v>88</v>
      </c>
      <c r="D47" s="64" t="s">
        <v>89</v>
      </c>
      <c r="E47" s="64" t="s">
        <v>90</v>
      </c>
      <c r="F47" s="66" t="s">
        <v>91</v>
      </c>
    </row>
    <row r="48" spans="2:10" x14ac:dyDescent="0.2">
      <c r="B48" s="65">
        <v>144</v>
      </c>
      <c r="C48" s="65">
        <v>462</v>
      </c>
      <c r="D48" s="65">
        <v>67</v>
      </c>
      <c r="E48" s="65">
        <v>0</v>
      </c>
      <c r="F48" s="67">
        <f>SUM(A48:E48)</f>
        <v>673</v>
      </c>
    </row>
    <row r="49" spans="6:6" x14ac:dyDescent="0.2">
      <c r="F49"/>
    </row>
  </sheetData>
  <autoFilter ref="A1:N22" xr:uid="{00000000-0009-0000-0000-000006000000}">
    <sortState xmlns:xlrd2="http://schemas.microsoft.com/office/spreadsheetml/2017/richdata2" ref="A2:N22">
      <sortCondition ref="M1:M22"/>
    </sortState>
  </autoFilter>
  <mergeCells count="3">
    <mergeCell ref="G26:H26"/>
    <mergeCell ref="G33:H33"/>
    <mergeCell ref="B46:F4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5">
    <tabColor rgb="FFFF0000"/>
  </sheetPr>
  <dimension ref="A1:AJ269"/>
  <sheetViews>
    <sheetView zoomScale="85" zoomScaleNormal="85" workbookViewId="0">
      <pane xSplit="11" ySplit="1" topLeftCell="L2"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14.5" style="1" bestFit="1" customWidth="1"/>
    <col min="13" max="13" width="3.5" style="1" customWidth="1"/>
    <col min="14" max="14" width="11.5" style="21" customWidth="1"/>
    <col min="15" max="15" width="3.6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13.5" style="1" customWidth="1"/>
    <col min="23" max="23" width="4.6640625" style="1" customWidth="1"/>
    <col min="24" max="24" width="13.5" style="1" customWidth="1"/>
    <col min="25" max="25" width="4.6640625" style="1" customWidth="1"/>
    <col min="26" max="26" width="13.5" style="1" customWidth="1"/>
    <col min="27" max="27" width="4.6640625" style="1" customWidth="1"/>
    <col min="28" max="28" width="13.5" style="1" customWidth="1"/>
    <col min="29" max="29" width="4.6640625" style="1" customWidth="1"/>
    <col min="30" max="30" width="7.1640625" style="48" bestFit="1" customWidth="1"/>
    <col min="31" max="31" width="9" style="48" bestFit="1" customWidth="1"/>
    <col min="32" max="32" width="12" style="48" bestFit="1" customWidth="1"/>
    <col min="33" max="33" width="15.5" style="1" bestFit="1" customWidth="1"/>
    <col min="34" max="34" width="12.33203125" style="1" bestFit="1" customWidth="1"/>
    <col min="35" max="35" width="12.83203125" style="1" bestFit="1" customWidth="1"/>
    <col min="36" max="36" width="13.33203125" style="1" bestFit="1" customWidth="1"/>
    <col min="37" max="16384" width="11.5" style="1"/>
  </cols>
  <sheetData>
    <row r="1" spans="1:36"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44" t="s">
        <v>15</v>
      </c>
      <c r="Q1" s="44" t="s">
        <v>119</v>
      </c>
      <c r="R1" s="44" t="s">
        <v>16</v>
      </c>
      <c r="S1" s="44" t="s">
        <v>119</v>
      </c>
      <c r="T1" s="44" t="s">
        <v>17</v>
      </c>
      <c r="U1" s="44" t="s">
        <v>119</v>
      </c>
      <c r="V1" s="44" t="s">
        <v>18</v>
      </c>
      <c r="W1" s="44" t="s">
        <v>119</v>
      </c>
      <c r="X1" s="44" t="s">
        <v>19</v>
      </c>
      <c r="Y1" s="44" t="s">
        <v>119</v>
      </c>
      <c r="Z1" s="44" t="s">
        <v>20</v>
      </c>
      <c r="AA1" s="44" t="s">
        <v>119</v>
      </c>
      <c r="AB1" s="44" t="s">
        <v>21</v>
      </c>
      <c r="AC1" s="44" t="s">
        <v>119</v>
      </c>
      <c r="AD1" s="108" t="s">
        <v>120</v>
      </c>
      <c r="AE1" s="108" t="s">
        <v>121</v>
      </c>
      <c r="AF1" s="108" t="s">
        <v>122</v>
      </c>
      <c r="AG1" s="108" t="s">
        <v>123</v>
      </c>
      <c r="AH1" s="108" t="s">
        <v>124</v>
      </c>
      <c r="AI1" s="108" t="s">
        <v>125</v>
      </c>
      <c r="AJ1" s="108" t="s">
        <v>126</v>
      </c>
    </row>
    <row r="2" spans="1:36" x14ac:dyDescent="0.15">
      <c r="A2" s="26" t="s">
        <v>127</v>
      </c>
      <c r="B2" s="26">
        <v>1170</v>
      </c>
      <c r="C2" s="26" t="s">
        <v>22</v>
      </c>
      <c r="D2" s="26" t="s">
        <v>37</v>
      </c>
      <c r="E2" s="26" t="s">
        <v>38</v>
      </c>
      <c r="F2" s="26" t="s">
        <v>59</v>
      </c>
      <c r="G2" s="26" t="s">
        <v>60</v>
      </c>
      <c r="H2" s="26" t="s">
        <v>61</v>
      </c>
      <c r="I2" s="26">
        <v>1036</v>
      </c>
      <c r="J2" s="42">
        <v>19500000</v>
      </c>
      <c r="K2" s="87">
        <v>1</v>
      </c>
      <c r="L2" s="88">
        <v>3</v>
      </c>
      <c r="M2" s="88" t="s">
        <v>27</v>
      </c>
      <c r="N2" s="69">
        <v>44638</v>
      </c>
      <c r="O2" s="70">
        <v>1</v>
      </c>
      <c r="P2" s="45" t="s">
        <v>27</v>
      </c>
      <c r="Q2" s="45" t="s">
        <v>128</v>
      </c>
      <c r="R2" s="45" t="s">
        <v>27</v>
      </c>
      <c r="S2" s="45" t="s">
        <v>128</v>
      </c>
      <c r="T2" s="45" t="s">
        <v>27</v>
      </c>
      <c r="U2" s="45" t="s">
        <v>128</v>
      </c>
      <c r="V2" s="45" t="s">
        <v>27</v>
      </c>
      <c r="W2" s="45">
        <v>4</v>
      </c>
      <c r="X2" s="45" t="s">
        <v>27</v>
      </c>
      <c r="Y2" s="45">
        <v>1</v>
      </c>
      <c r="Z2" s="45" t="s">
        <v>27</v>
      </c>
      <c r="AA2" s="45">
        <v>1</v>
      </c>
      <c r="AB2" s="45" t="s">
        <v>27</v>
      </c>
      <c r="AC2" s="107">
        <v>1</v>
      </c>
      <c r="AD2" s="103"/>
      <c r="AE2" s="104"/>
      <c r="AF2" s="105"/>
      <c r="AG2" s="106"/>
      <c r="AH2" s="106"/>
      <c r="AI2" s="106"/>
      <c r="AJ2" s="106"/>
    </row>
    <row r="3" spans="1:36" x14ac:dyDescent="0.2">
      <c r="A3" s="26" t="s">
        <v>127</v>
      </c>
      <c r="B3" s="26">
        <v>1292</v>
      </c>
      <c r="C3" s="26" t="s">
        <v>22</v>
      </c>
      <c r="D3" s="26" t="s">
        <v>37</v>
      </c>
      <c r="E3" s="26" t="s">
        <v>38</v>
      </c>
      <c r="F3" s="26" t="s">
        <v>39</v>
      </c>
      <c r="G3" s="26" t="s">
        <v>40</v>
      </c>
      <c r="H3" s="26" t="s">
        <v>41</v>
      </c>
      <c r="I3" s="26">
        <v>1212</v>
      </c>
      <c r="J3" s="42">
        <v>19500000</v>
      </c>
      <c r="K3" s="87">
        <v>1</v>
      </c>
      <c r="L3" s="88">
        <v>4</v>
      </c>
      <c r="M3" s="88" t="s">
        <v>27</v>
      </c>
      <c r="N3" s="69">
        <v>44644</v>
      </c>
      <c r="O3" s="70">
        <v>1</v>
      </c>
      <c r="P3" s="45" t="s">
        <v>27</v>
      </c>
      <c r="Q3" s="45" t="s">
        <v>128</v>
      </c>
      <c r="R3" s="45" t="s">
        <v>27</v>
      </c>
      <c r="S3" s="45" t="s">
        <v>128</v>
      </c>
      <c r="T3" s="45" t="s">
        <v>27</v>
      </c>
      <c r="U3" s="45">
        <v>3.5</v>
      </c>
      <c r="V3" s="45" t="s">
        <v>27</v>
      </c>
      <c r="W3" s="45">
        <v>5.5</v>
      </c>
      <c r="X3" s="45" t="s">
        <v>27</v>
      </c>
      <c r="Y3" s="45">
        <v>1</v>
      </c>
      <c r="Z3" s="45" t="s">
        <v>27</v>
      </c>
      <c r="AA3" s="45">
        <v>1</v>
      </c>
      <c r="AB3" s="45" t="s">
        <v>27</v>
      </c>
      <c r="AC3" s="107">
        <v>1</v>
      </c>
      <c r="AD3" s="103"/>
      <c r="AE3" s="105"/>
      <c r="AF3" s="105"/>
      <c r="AG3" s="106"/>
      <c r="AH3" s="106"/>
      <c r="AI3" s="106"/>
      <c r="AJ3" s="106"/>
    </row>
    <row r="4" spans="1:36" x14ac:dyDescent="0.2">
      <c r="A4" s="26" t="s">
        <v>127</v>
      </c>
      <c r="B4" s="26">
        <v>1397</v>
      </c>
      <c r="C4" s="26" t="s">
        <v>29</v>
      </c>
      <c r="D4" s="26" t="s">
        <v>52</v>
      </c>
      <c r="E4" s="26" t="s">
        <v>38</v>
      </c>
      <c r="F4" s="26" t="s">
        <v>129</v>
      </c>
      <c r="G4" s="26" t="s">
        <v>130</v>
      </c>
      <c r="H4" s="26" t="s">
        <v>131</v>
      </c>
      <c r="I4" s="26">
        <v>892877</v>
      </c>
      <c r="J4" s="42">
        <v>19000000</v>
      </c>
      <c r="K4" s="87">
        <v>1</v>
      </c>
      <c r="L4" s="88">
        <v>5</v>
      </c>
      <c r="M4" s="88" t="s">
        <v>27</v>
      </c>
      <c r="N4" s="69">
        <v>44651</v>
      </c>
      <c r="O4" s="70">
        <v>1</v>
      </c>
      <c r="P4" s="45" t="s">
        <v>27</v>
      </c>
      <c r="Q4" s="45" t="s">
        <v>128</v>
      </c>
      <c r="R4" s="45" t="s">
        <v>27</v>
      </c>
      <c r="S4" s="45" t="s">
        <v>128</v>
      </c>
      <c r="T4" s="45" t="s">
        <v>27</v>
      </c>
      <c r="U4" s="45">
        <v>4</v>
      </c>
      <c r="V4" s="45" t="s">
        <v>27</v>
      </c>
      <c r="W4" s="45">
        <v>5</v>
      </c>
      <c r="X4" s="45" t="s">
        <v>27</v>
      </c>
      <c r="Y4" s="45">
        <v>1</v>
      </c>
      <c r="Z4" s="45" t="s">
        <v>27</v>
      </c>
      <c r="AA4" s="45">
        <v>1</v>
      </c>
      <c r="AB4" s="45" t="s">
        <v>27</v>
      </c>
      <c r="AC4" s="107">
        <v>1.5</v>
      </c>
      <c r="AD4" s="103"/>
      <c r="AE4" s="105"/>
      <c r="AF4" s="105"/>
      <c r="AG4" s="106"/>
      <c r="AH4" s="106"/>
      <c r="AI4" s="106"/>
      <c r="AJ4" s="106"/>
    </row>
    <row r="5" spans="1:36" x14ac:dyDescent="0.2">
      <c r="A5" s="26" t="s">
        <v>127</v>
      </c>
      <c r="B5" s="26">
        <v>1293</v>
      </c>
      <c r="C5" s="26" t="s">
        <v>22</v>
      </c>
      <c r="D5" s="26" t="s">
        <v>37</v>
      </c>
      <c r="E5" s="26" t="s">
        <v>38</v>
      </c>
      <c r="F5" s="26" t="s">
        <v>39</v>
      </c>
      <c r="G5" s="26" t="s">
        <v>40</v>
      </c>
      <c r="H5" s="26" t="s">
        <v>41</v>
      </c>
      <c r="I5" s="26">
        <v>1212</v>
      </c>
      <c r="J5" s="42">
        <v>19500000</v>
      </c>
      <c r="K5" s="87">
        <v>1</v>
      </c>
      <c r="L5" s="88">
        <v>5</v>
      </c>
      <c r="M5" s="88" t="s">
        <v>27</v>
      </c>
      <c r="N5" s="69">
        <v>44650</v>
      </c>
      <c r="O5" s="70">
        <v>1</v>
      </c>
      <c r="P5" s="45" t="s">
        <v>27</v>
      </c>
      <c r="Q5" s="45" t="s">
        <v>128</v>
      </c>
      <c r="R5" s="45" t="s">
        <v>27</v>
      </c>
      <c r="S5" s="45" t="s">
        <v>128</v>
      </c>
      <c r="T5" s="45" t="s">
        <v>27</v>
      </c>
      <c r="U5" s="45">
        <v>6.5</v>
      </c>
      <c r="V5" s="45" t="s">
        <v>27</v>
      </c>
      <c r="W5" s="45">
        <v>6</v>
      </c>
      <c r="X5" s="45" t="s">
        <v>27</v>
      </c>
      <c r="Y5" s="45">
        <v>1</v>
      </c>
      <c r="Z5" s="45" t="s">
        <v>27</v>
      </c>
      <c r="AA5" s="45">
        <v>1</v>
      </c>
      <c r="AB5" s="45" t="s">
        <v>27</v>
      </c>
      <c r="AC5" s="107">
        <v>1.5</v>
      </c>
      <c r="AD5" s="103"/>
      <c r="AE5" s="105"/>
      <c r="AF5" s="105"/>
      <c r="AG5" s="106"/>
      <c r="AH5" s="106"/>
      <c r="AI5" s="106"/>
      <c r="AJ5" s="106"/>
    </row>
    <row r="6" spans="1:36" x14ac:dyDescent="0.2">
      <c r="A6" s="26" t="s">
        <v>127</v>
      </c>
      <c r="B6" s="26">
        <v>1294</v>
      </c>
      <c r="C6" s="26" t="s">
        <v>22</v>
      </c>
      <c r="D6" s="26" t="s">
        <v>37</v>
      </c>
      <c r="E6" s="26" t="s">
        <v>38</v>
      </c>
      <c r="F6" s="26" t="s">
        <v>39</v>
      </c>
      <c r="G6" s="26" t="s">
        <v>40</v>
      </c>
      <c r="H6" s="26" t="s">
        <v>41</v>
      </c>
      <c r="I6" s="26">
        <v>1238</v>
      </c>
      <c r="J6" s="42">
        <v>19500000</v>
      </c>
      <c r="K6" s="87">
        <v>1</v>
      </c>
      <c r="L6" s="88">
        <v>5</v>
      </c>
      <c r="M6" s="88" t="s">
        <v>27</v>
      </c>
      <c r="N6" s="69">
        <v>44652</v>
      </c>
      <c r="O6" s="70">
        <v>1</v>
      </c>
      <c r="P6" s="45" t="s">
        <v>27</v>
      </c>
      <c r="Q6" s="45" t="s">
        <v>128</v>
      </c>
      <c r="R6" s="45" t="s">
        <v>27</v>
      </c>
      <c r="S6" s="45" t="s">
        <v>128</v>
      </c>
      <c r="T6" s="45" t="s">
        <v>27</v>
      </c>
      <c r="U6" s="45">
        <v>4.5</v>
      </c>
      <c r="V6" s="45" t="s">
        <v>27</v>
      </c>
      <c r="W6" s="45">
        <v>5.5</v>
      </c>
      <c r="X6" s="45" t="s">
        <v>27</v>
      </c>
      <c r="Y6" s="45">
        <v>1</v>
      </c>
      <c r="Z6" s="45" t="s">
        <v>27</v>
      </c>
      <c r="AA6" s="45">
        <v>1</v>
      </c>
      <c r="AB6" s="45" t="s">
        <v>27</v>
      </c>
      <c r="AC6" s="107">
        <v>1.5</v>
      </c>
      <c r="AD6" s="103"/>
      <c r="AE6" s="105"/>
      <c r="AF6" s="105"/>
      <c r="AG6" s="106"/>
      <c r="AH6" s="106"/>
      <c r="AI6" s="106"/>
      <c r="AJ6" s="106"/>
    </row>
    <row r="7" spans="1:36" x14ac:dyDescent="0.2">
      <c r="A7" s="26" t="s">
        <v>127</v>
      </c>
      <c r="B7" s="26">
        <v>1335</v>
      </c>
      <c r="C7" s="26" t="s">
        <v>22</v>
      </c>
      <c r="D7" s="26" t="s">
        <v>132</v>
      </c>
      <c r="E7" s="26" t="s">
        <v>38</v>
      </c>
      <c r="F7" s="26" t="s">
        <v>96</v>
      </c>
      <c r="G7" s="26" t="s">
        <v>44</v>
      </c>
      <c r="H7" s="26">
        <v>32360</v>
      </c>
      <c r="I7" s="26">
        <v>37931</v>
      </c>
      <c r="J7" s="42">
        <v>14900000</v>
      </c>
      <c r="K7" s="87">
        <v>1</v>
      </c>
      <c r="L7" s="88">
        <v>6</v>
      </c>
      <c r="M7" s="88" t="s">
        <v>27</v>
      </c>
      <c r="N7" s="69">
        <v>44656</v>
      </c>
      <c r="O7" s="70">
        <v>1</v>
      </c>
      <c r="P7" s="45" t="s">
        <v>27</v>
      </c>
      <c r="Q7" s="45" t="s">
        <v>128</v>
      </c>
      <c r="R7" s="45" t="s">
        <v>27</v>
      </c>
      <c r="S7" s="45">
        <v>1.5</v>
      </c>
      <c r="T7" s="45" t="s">
        <v>27</v>
      </c>
      <c r="U7" s="45">
        <v>4</v>
      </c>
      <c r="V7" s="45" t="s">
        <v>27</v>
      </c>
      <c r="W7" s="45">
        <v>7.5</v>
      </c>
      <c r="X7" s="45" t="s">
        <v>27</v>
      </c>
      <c r="Y7" s="45">
        <v>1</v>
      </c>
      <c r="Z7" s="45" t="s">
        <v>27</v>
      </c>
      <c r="AA7" s="45">
        <v>1</v>
      </c>
      <c r="AB7" s="45" t="s">
        <v>27</v>
      </c>
      <c r="AC7" s="107">
        <v>1</v>
      </c>
      <c r="AD7" s="103"/>
      <c r="AE7" s="105"/>
      <c r="AF7" s="105"/>
      <c r="AG7" s="106"/>
      <c r="AH7" s="106"/>
      <c r="AI7" s="106"/>
      <c r="AJ7" s="106"/>
    </row>
    <row r="8" spans="1:36" x14ac:dyDescent="0.2">
      <c r="A8" s="26" t="s">
        <v>127</v>
      </c>
      <c r="B8" s="26">
        <v>1250</v>
      </c>
      <c r="C8" s="26" t="s">
        <v>29</v>
      </c>
      <c r="D8" s="26" t="s">
        <v>133</v>
      </c>
      <c r="E8" s="26" t="s">
        <v>38</v>
      </c>
      <c r="F8" s="26" t="s">
        <v>55</v>
      </c>
      <c r="G8" s="26" t="s">
        <v>33</v>
      </c>
      <c r="H8" s="26">
        <v>3131</v>
      </c>
      <c r="I8" s="26">
        <v>247645</v>
      </c>
      <c r="J8" s="42">
        <v>10500000</v>
      </c>
      <c r="K8" s="87">
        <v>1</v>
      </c>
      <c r="L8" s="88">
        <v>6</v>
      </c>
      <c r="M8" s="88" t="s">
        <v>27</v>
      </c>
      <c r="N8" s="69">
        <v>44659</v>
      </c>
      <c r="O8" s="70">
        <v>1</v>
      </c>
      <c r="P8" s="45" t="s">
        <v>27</v>
      </c>
      <c r="Q8" s="45" t="s">
        <v>128</v>
      </c>
      <c r="R8" s="45" t="s">
        <v>27</v>
      </c>
      <c r="S8" s="45">
        <v>1.5</v>
      </c>
      <c r="T8" s="45" t="s">
        <v>27</v>
      </c>
      <c r="U8" s="45">
        <v>2.5</v>
      </c>
      <c r="V8" s="45" t="s">
        <v>27</v>
      </c>
      <c r="W8" s="45">
        <v>3</v>
      </c>
      <c r="X8" s="45" t="s">
        <v>27</v>
      </c>
      <c r="Y8" s="45">
        <v>1</v>
      </c>
      <c r="Z8" s="45" t="s">
        <v>27</v>
      </c>
      <c r="AA8" s="45">
        <v>1</v>
      </c>
      <c r="AB8" s="45" t="s">
        <v>27</v>
      </c>
      <c r="AC8" s="107">
        <v>1</v>
      </c>
      <c r="AD8" s="103"/>
      <c r="AE8" s="105"/>
      <c r="AF8" s="105"/>
      <c r="AG8" s="106"/>
      <c r="AH8" s="106"/>
      <c r="AI8" s="106"/>
      <c r="AJ8" s="106"/>
    </row>
    <row r="9" spans="1:36" x14ac:dyDescent="0.2">
      <c r="A9" s="26" t="s">
        <v>127</v>
      </c>
      <c r="B9" s="26">
        <v>1295</v>
      </c>
      <c r="C9" s="26" t="s">
        <v>22</v>
      </c>
      <c r="D9" s="26" t="s">
        <v>37</v>
      </c>
      <c r="E9" s="26" t="s">
        <v>38</v>
      </c>
      <c r="F9" s="26" t="s">
        <v>39</v>
      </c>
      <c r="G9" s="26" t="s">
        <v>40</v>
      </c>
      <c r="H9" s="26" t="s">
        <v>41</v>
      </c>
      <c r="I9" s="26">
        <v>1214</v>
      </c>
      <c r="J9" s="42">
        <v>19500000</v>
      </c>
      <c r="K9" s="87">
        <v>1</v>
      </c>
      <c r="L9" s="88">
        <v>4</v>
      </c>
      <c r="M9" s="88" t="s">
        <v>27</v>
      </c>
      <c r="N9" s="69">
        <v>44645</v>
      </c>
      <c r="O9" s="70">
        <v>1</v>
      </c>
      <c r="P9" s="45" t="s">
        <v>27</v>
      </c>
      <c r="Q9" s="45" t="s">
        <v>128</v>
      </c>
      <c r="R9" s="45" t="s">
        <v>27</v>
      </c>
      <c r="S9" s="45" t="s">
        <v>128</v>
      </c>
      <c r="T9" s="45" t="s">
        <v>27</v>
      </c>
      <c r="U9" s="45">
        <v>4</v>
      </c>
      <c r="V9" s="45" t="s">
        <v>27</v>
      </c>
      <c r="W9" s="45">
        <v>3</v>
      </c>
      <c r="X9" s="45" t="s">
        <v>27</v>
      </c>
      <c r="Y9" s="45">
        <v>1</v>
      </c>
      <c r="Z9" s="45" t="s">
        <v>27</v>
      </c>
      <c r="AA9" s="45">
        <v>1</v>
      </c>
      <c r="AB9" s="45" t="s">
        <v>27</v>
      </c>
      <c r="AC9" s="107">
        <v>1.5</v>
      </c>
      <c r="AD9" s="103"/>
      <c r="AE9" s="105"/>
      <c r="AF9" s="105"/>
      <c r="AG9" s="106"/>
      <c r="AH9" s="106"/>
      <c r="AI9" s="106"/>
      <c r="AJ9" s="106"/>
    </row>
    <row r="10" spans="1:36" x14ac:dyDescent="0.2">
      <c r="A10" s="26" t="s">
        <v>127</v>
      </c>
      <c r="B10" s="26">
        <v>1336</v>
      </c>
      <c r="C10" s="26" t="s">
        <v>22</v>
      </c>
      <c r="D10" s="26" t="s">
        <v>132</v>
      </c>
      <c r="E10" s="26" t="s">
        <v>38</v>
      </c>
      <c r="F10" s="26" t="s">
        <v>96</v>
      </c>
      <c r="G10" s="26" t="s">
        <v>44</v>
      </c>
      <c r="H10" s="26">
        <v>32360</v>
      </c>
      <c r="I10" s="26">
        <v>38204</v>
      </c>
      <c r="J10" s="42">
        <v>14900000</v>
      </c>
      <c r="K10" s="87">
        <v>1</v>
      </c>
      <c r="L10" s="88">
        <v>6</v>
      </c>
      <c r="M10" s="88" t="s">
        <v>27</v>
      </c>
      <c r="N10" s="69">
        <v>44659</v>
      </c>
      <c r="O10" s="70">
        <v>1</v>
      </c>
      <c r="P10" s="45" t="s">
        <v>27</v>
      </c>
      <c r="Q10" s="45" t="s">
        <v>128</v>
      </c>
      <c r="R10" s="45" t="s">
        <v>27</v>
      </c>
      <c r="S10" s="45">
        <v>1.5</v>
      </c>
      <c r="T10" s="45" t="s">
        <v>27</v>
      </c>
      <c r="U10" s="45">
        <v>5</v>
      </c>
      <c r="V10" s="45" t="s">
        <v>27</v>
      </c>
      <c r="W10" s="45">
        <v>5</v>
      </c>
      <c r="X10" s="45" t="s">
        <v>27</v>
      </c>
      <c r="Y10" s="45">
        <v>1</v>
      </c>
      <c r="Z10" s="45" t="s">
        <v>27</v>
      </c>
      <c r="AA10" s="45">
        <v>1</v>
      </c>
      <c r="AB10" s="45" t="s">
        <v>27</v>
      </c>
      <c r="AC10" s="107">
        <v>1</v>
      </c>
      <c r="AD10" s="103"/>
      <c r="AE10" s="105"/>
      <c r="AF10" s="105"/>
      <c r="AG10" s="106"/>
      <c r="AH10" s="106"/>
      <c r="AI10" s="106"/>
      <c r="AJ10" s="106"/>
    </row>
    <row r="11" spans="1:36" x14ac:dyDescent="0.2">
      <c r="A11" s="26" t="s">
        <v>127</v>
      </c>
      <c r="B11" s="26">
        <v>1362</v>
      </c>
      <c r="C11" s="26" t="s">
        <v>29</v>
      </c>
      <c r="D11" s="26" t="s">
        <v>57</v>
      </c>
      <c r="E11" s="26" t="s">
        <v>38</v>
      </c>
      <c r="F11" s="26" t="s">
        <v>58</v>
      </c>
      <c r="G11" s="26" t="s">
        <v>23</v>
      </c>
      <c r="H11" s="26" t="s">
        <v>26</v>
      </c>
      <c r="I11" s="26">
        <v>177404</v>
      </c>
      <c r="J11" s="42">
        <v>12500000</v>
      </c>
      <c r="K11" s="87">
        <v>1</v>
      </c>
      <c r="L11" s="88">
        <v>6</v>
      </c>
      <c r="M11" s="88" t="s">
        <v>27</v>
      </c>
      <c r="N11" s="69">
        <v>44655</v>
      </c>
      <c r="O11" s="70">
        <v>1</v>
      </c>
      <c r="P11" s="45" t="s">
        <v>27</v>
      </c>
      <c r="Q11" s="45" t="s">
        <v>128</v>
      </c>
      <c r="R11" s="45" t="s">
        <v>27</v>
      </c>
      <c r="S11" s="45">
        <v>1.5</v>
      </c>
      <c r="T11" s="45" t="s">
        <v>27</v>
      </c>
      <c r="U11" s="45">
        <v>2.5</v>
      </c>
      <c r="V11" s="45" t="s">
        <v>27</v>
      </c>
      <c r="W11" s="45">
        <v>3</v>
      </c>
      <c r="X11" s="45" t="s">
        <v>27</v>
      </c>
      <c r="Y11" s="45">
        <v>1</v>
      </c>
      <c r="Z11" s="45" t="s">
        <v>27</v>
      </c>
      <c r="AA11" s="45">
        <v>1</v>
      </c>
      <c r="AB11" s="45" t="s">
        <v>27</v>
      </c>
      <c r="AC11" s="107">
        <v>1</v>
      </c>
      <c r="AD11" s="103"/>
      <c r="AE11" s="105"/>
      <c r="AF11" s="105"/>
      <c r="AG11" s="106"/>
      <c r="AH11" s="106"/>
      <c r="AI11" s="106"/>
      <c r="AJ11" s="106"/>
    </row>
    <row r="12" spans="1:36" x14ac:dyDescent="0.2">
      <c r="A12" s="26" t="s">
        <v>127</v>
      </c>
      <c r="B12" s="26">
        <v>1398</v>
      </c>
      <c r="C12" s="26" t="s">
        <v>29</v>
      </c>
      <c r="D12" s="26" t="s">
        <v>134</v>
      </c>
      <c r="E12" s="26" t="s">
        <v>38</v>
      </c>
      <c r="F12" s="26" t="s">
        <v>135</v>
      </c>
      <c r="G12" s="26" t="s">
        <v>44</v>
      </c>
      <c r="H12" s="26">
        <v>17280</v>
      </c>
      <c r="I12" s="26">
        <v>42668</v>
      </c>
      <c r="J12" s="42">
        <v>8500000</v>
      </c>
      <c r="K12" s="87">
        <v>1</v>
      </c>
      <c r="L12" s="88">
        <v>6</v>
      </c>
      <c r="M12" s="88" t="s">
        <v>27</v>
      </c>
      <c r="N12" s="69">
        <v>44657</v>
      </c>
      <c r="O12" s="70">
        <v>1</v>
      </c>
      <c r="P12" s="45" t="s">
        <v>27</v>
      </c>
      <c r="Q12" s="45" t="s">
        <v>128</v>
      </c>
      <c r="R12" s="45" t="s">
        <v>27</v>
      </c>
      <c r="S12" s="45">
        <v>1</v>
      </c>
      <c r="T12" s="45" t="s">
        <v>27</v>
      </c>
      <c r="U12" s="45">
        <v>2</v>
      </c>
      <c r="V12" s="45" t="s">
        <v>27</v>
      </c>
      <c r="W12" s="45">
        <v>4</v>
      </c>
      <c r="X12" s="45" t="s">
        <v>27</v>
      </c>
      <c r="Y12" s="45">
        <v>1</v>
      </c>
      <c r="Z12" s="45" t="s">
        <v>27</v>
      </c>
      <c r="AA12" s="45">
        <v>1</v>
      </c>
      <c r="AB12" s="45" t="s">
        <v>27</v>
      </c>
      <c r="AC12" s="107">
        <v>1</v>
      </c>
      <c r="AD12" s="103"/>
      <c r="AE12" s="105"/>
      <c r="AF12" s="105"/>
      <c r="AG12" s="106"/>
      <c r="AH12" s="106"/>
      <c r="AI12" s="106"/>
      <c r="AJ12" s="106"/>
    </row>
    <row r="13" spans="1:36" x14ac:dyDescent="0.2">
      <c r="A13" s="26" t="s">
        <v>127</v>
      </c>
      <c r="B13" s="26">
        <v>1168</v>
      </c>
      <c r="C13" s="26" t="s">
        <v>22</v>
      </c>
      <c r="D13" s="26" t="s">
        <v>37</v>
      </c>
      <c r="E13" s="26" t="s">
        <v>38</v>
      </c>
      <c r="F13" s="26" t="s">
        <v>59</v>
      </c>
      <c r="G13" s="26" t="s">
        <v>60</v>
      </c>
      <c r="H13" s="26" t="s">
        <v>61</v>
      </c>
      <c r="I13" s="26">
        <v>1032</v>
      </c>
      <c r="J13" s="42">
        <v>19500000</v>
      </c>
      <c r="K13" s="87">
        <v>1</v>
      </c>
      <c r="L13" s="88">
        <v>3</v>
      </c>
      <c r="M13" s="88" t="s">
        <v>27</v>
      </c>
      <c r="N13" s="69">
        <v>44635</v>
      </c>
      <c r="O13" s="70">
        <v>1</v>
      </c>
      <c r="P13" s="45" t="s">
        <v>27</v>
      </c>
      <c r="Q13" s="45" t="s">
        <v>128</v>
      </c>
      <c r="R13" s="45" t="s">
        <v>27</v>
      </c>
      <c r="S13" s="45" t="s">
        <v>128</v>
      </c>
      <c r="T13" s="45" t="s">
        <v>27</v>
      </c>
      <c r="U13" s="45" t="s">
        <v>128</v>
      </c>
      <c r="V13" s="45" t="s">
        <v>27</v>
      </c>
      <c r="W13" s="45" t="s">
        <v>128</v>
      </c>
      <c r="X13" s="45" t="s">
        <v>27</v>
      </c>
      <c r="Y13" s="45" t="s">
        <v>128</v>
      </c>
      <c r="Z13" s="45" t="s">
        <v>27</v>
      </c>
      <c r="AA13" s="45" t="s">
        <v>128</v>
      </c>
      <c r="AB13" s="45" t="s">
        <v>27</v>
      </c>
      <c r="AC13" s="107" t="s">
        <v>128</v>
      </c>
      <c r="AD13" s="103"/>
      <c r="AE13" s="105"/>
      <c r="AF13" s="105"/>
      <c r="AG13" s="106"/>
      <c r="AH13" s="106"/>
      <c r="AI13" s="106"/>
      <c r="AJ13" s="106"/>
    </row>
    <row r="14" spans="1:36" x14ac:dyDescent="0.2">
      <c r="A14" s="26" t="s">
        <v>127</v>
      </c>
      <c r="B14" s="26">
        <v>1169</v>
      </c>
      <c r="C14" s="26" t="s">
        <v>22</v>
      </c>
      <c r="D14" s="26" t="s">
        <v>37</v>
      </c>
      <c r="E14" s="26" t="s">
        <v>38</v>
      </c>
      <c r="F14" s="26" t="s">
        <v>59</v>
      </c>
      <c r="G14" s="26" t="s">
        <v>60</v>
      </c>
      <c r="H14" s="26" t="s">
        <v>61</v>
      </c>
      <c r="I14" s="26">
        <v>1035</v>
      </c>
      <c r="J14" s="42">
        <v>19500000</v>
      </c>
      <c r="K14" s="87">
        <v>1</v>
      </c>
      <c r="L14" s="88">
        <v>3</v>
      </c>
      <c r="M14" s="88" t="s">
        <v>27</v>
      </c>
      <c r="N14" s="69">
        <v>44636</v>
      </c>
      <c r="O14" s="70">
        <v>1</v>
      </c>
      <c r="P14" s="45" t="s">
        <v>27</v>
      </c>
      <c r="Q14" s="45" t="s">
        <v>128</v>
      </c>
      <c r="R14" s="45" t="s">
        <v>27</v>
      </c>
      <c r="S14" s="45" t="s">
        <v>128</v>
      </c>
      <c r="T14" s="45" t="s">
        <v>27</v>
      </c>
      <c r="U14" s="45" t="s">
        <v>128</v>
      </c>
      <c r="V14" s="45" t="s">
        <v>27</v>
      </c>
      <c r="W14" s="45" t="s">
        <v>128</v>
      </c>
      <c r="X14" s="45" t="s">
        <v>27</v>
      </c>
      <c r="Y14" s="45" t="s">
        <v>128</v>
      </c>
      <c r="Z14" s="45" t="s">
        <v>27</v>
      </c>
      <c r="AA14" s="45" t="s">
        <v>128</v>
      </c>
      <c r="AB14" s="45" t="s">
        <v>27</v>
      </c>
      <c r="AC14" s="107" t="s">
        <v>128</v>
      </c>
      <c r="AD14" s="103"/>
      <c r="AE14" s="105"/>
      <c r="AF14" s="105"/>
      <c r="AG14" s="106"/>
      <c r="AH14" s="106"/>
      <c r="AI14" s="106"/>
      <c r="AJ14" s="106"/>
    </row>
    <row r="15" spans="1:36" x14ac:dyDescent="0.2">
      <c r="A15" s="26" t="s">
        <v>127</v>
      </c>
      <c r="B15" s="26">
        <v>1220</v>
      </c>
      <c r="C15" s="26" t="s">
        <v>29</v>
      </c>
      <c r="D15" s="26" t="s">
        <v>52</v>
      </c>
      <c r="E15" s="26" t="s">
        <v>38</v>
      </c>
      <c r="F15" s="26" t="s">
        <v>53</v>
      </c>
      <c r="G15" s="26" t="s">
        <v>44</v>
      </c>
      <c r="H15" s="26">
        <v>32360</v>
      </c>
      <c r="I15" s="26">
        <v>38030</v>
      </c>
      <c r="J15" s="42">
        <v>10400000</v>
      </c>
      <c r="K15" s="71">
        <v>1</v>
      </c>
      <c r="L15" s="72">
        <v>2</v>
      </c>
      <c r="M15" s="72" t="s">
        <v>27</v>
      </c>
      <c r="N15" s="69">
        <v>44627</v>
      </c>
      <c r="O15" s="70">
        <v>1</v>
      </c>
      <c r="P15" s="45" t="s">
        <v>27</v>
      </c>
      <c r="Q15" s="45" t="s">
        <v>128</v>
      </c>
      <c r="R15" s="45" t="s">
        <v>27</v>
      </c>
      <c r="S15" s="45" t="s">
        <v>128</v>
      </c>
      <c r="T15" s="45" t="s">
        <v>27</v>
      </c>
      <c r="U15" s="45" t="s">
        <v>128</v>
      </c>
      <c r="V15" s="45" t="s">
        <v>27</v>
      </c>
      <c r="W15" s="45" t="s">
        <v>128</v>
      </c>
      <c r="X15" s="45" t="s">
        <v>27</v>
      </c>
      <c r="Y15" s="45" t="s">
        <v>128</v>
      </c>
      <c r="Z15" s="45" t="s">
        <v>27</v>
      </c>
      <c r="AA15" s="45" t="s">
        <v>128</v>
      </c>
      <c r="AB15" s="45" t="s">
        <v>27</v>
      </c>
      <c r="AC15" s="107" t="s">
        <v>128</v>
      </c>
      <c r="AD15" s="103"/>
      <c r="AE15" s="105"/>
      <c r="AF15" s="105"/>
      <c r="AG15" s="106"/>
      <c r="AH15" s="106"/>
      <c r="AI15" s="106"/>
      <c r="AJ15" s="106"/>
    </row>
    <row r="16" spans="1:36" x14ac:dyDescent="0.2">
      <c r="A16" s="26" t="s">
        <v>127</v>
      </c>
      <c r="B16" s="26">
        <v>1402</v>
      </c>
      <c r="C16" s="26" t="s">
        <v>29</v>
      </c>
      <c r="D16" s="26" t="s">
        <v>136</v>
      </c>
      <c r="E16" s="26" t="s">
        <v>38</v>
      </c>
      <c r="F16" s="26" t="s">
        <v>137</v>
      </c>
      <c r="G16" s="26" t="s">
        <v>23</v>
      </c>
      <c r="H16" s="26" t="s">
        <v>26</v>
      </c>
      <c r="I16" s="26">
        <v>178413</v>
      </c>
      <c r="J16" s="42">
        <v>11500000</v>
      </c>
      <c r="K16" s="87">
        <v>1</v>
      </c>
      <c r="L16" s="88">
        <v>3</v>
      </c>
      <c r="M16" s="88" t="s">
        <v>27</v>
      </c>
      <c r="N16" s="69">
        <v>44635</v>
      </c>
      <c r="O16" s="70">
        <v>1</v>
      </c>
      <c r="P16" s="45" t="s">
        <v>27</v>
      </c>
      <c r="Q16" s="45" t="s">
        <v>128</v>
      </c>
      <c r="R16" s="45" t="s">
        <v>27</v>
      </c>
      <c r="S16" s="45" t="s">
        <v>128</v>
      </c>
      <c r="T16" s="45" t="s">
        <v>27</v>
      </c>
      <c r="U16" s="45" t="s">
        <v>128</v>
      </c>
      <c r="V16" s="45" t="s">
        <v>27</v>
      </c>
      <c r="W16" s="45" t="s">
        <v>128</v>
      </c>
      <c r="X16" s="45" t="s">
        <v>27</v>
      </c>
      <c r="Y16" s="45" t="s">
        <v>128</v>
      </c>
      <c r="Z16" s="45" t="s">
        <v>27</v>
      </c>
      <c r="AA16" s="45" t="s">
        <v>128</v>
      </c>
      <c r="AB16" s="45" t="s">
        <v>27</v>
      </c>
      <c r="AC16" s="107" t="s">
        <v>128</v>
      </c>
      <c r="AD16" s="103"/>
      <c r="AE16" s="105"/>
      <c r="AF16" s="105"/>
      <c r="AG16" s="106"/>
      <c r="AH16" s="106"/>
      <c r="AI16" s="106"/>
      <c r="AJ16" s="106"/>
    </row>
    <row r="17" spans="1:36" x14ac:dyDescent="0.2">
      <c r="A17" s="26" t="s">
        <v>127</v>
      </c>
      <c r="B17" s="26">
        <v>1328</v>
      </c>
      <c r="C17" s="26" t="s">
        <v>22</v>
      </c>
      <c r="D17" s="26" t="s">
        <v>42</v>
      </c>
      <c r="E17" s="26" t="s">
        <v>24</v>
      </c>
      <c r="F17" s="26" t="s">
        <v>25</v>
      </c>
      <c r="G17" s="26" t="s">
        <v>44</v>
      </c>
      <c r="H17" s="26">
        <v>32360</v>
      </c>
      <c r="I17" s="26">
        <v>38208</v>
      </c>
      <c r="J17" s="42">
        <v>23500000</v>
      </c>
      <c r="K17" s="87">
        <v>1</v>
      </c>
      <c r="L17" s="88">
        <v>5</v>
      </c>
      <c r="M17" s="88" t="s">
        <v>27</v>
      </c>
      <c r="N17" s="69">
        <v>44650</v>
      </c>
      <c r="O17" s="70">
        <v>1</v>
      </c>
      <c r="P17" s="45" t="s">
        <v>27</v>
      </c>
      <c r="Q17" s="45" t="s">
        <v>128</v>
      </c>
      <c r="R17" s="45" t="s">
        <v>27</v>
      </c>
      <c r="S17" s="45" t="s">
        <v>128</v>
      </c>
      <c r="T17" s="45" t="s">
        <v>27</v>
      </c>
      <c r="U17" s="45">
        <v>3.5</v>
      </c>
      <c r="V17" s="45" t="s">
        <v>27</v>
      </c>
      <c r="W17" s="45">
        <v>5.5</v>
      </c>
      <c r="X17" s="45" t="s">
        <v>27</v>
      </c>
      <c r="Y17" s="45">
        <v>1.5</v>
      </c>
      <c r="Z17" s="45" t="s">
        <v>27</v>
      </c>
      <c r="AA17" s="45">
        <v>5</v>
      </c>
      <c r="AB17" s="45" t="s">
        <v>27</v>
      </c>
      <c r="AC17" s="107">
        <v>2</v>
      </c>
      <c r="AD17" s="103"/>
      <c r="AE17" s="105"/>
      <c r="AF17" s="105"/>
      <c r="AG17" s="106"/>
      <c r="AH17" s="106"/>
      <c r="AI17" s="106"/>
      <c r="AJ17" s="106"/>
    </row>
    <row r="18" spans="1:36" x14ac:dyDescent="0.2">
      <c r="A18" s="26" t="s">
        <v>127</v>
      </c>
      <c r="B18" s="26">
        <v>1154</v>
      </c>
      <c r="C18" s="26" t="s">
        <v>22</v>
      </c>
      <c r="D18" s="26" t="s">
        <v>138</v>
      </c>
      <c r="E18" s="26" t="s">
        <v>46</v>
      </c>
      <c r="F18" s="26" t="s">
        <v>139</v>
      </c>
      <c r="G18" s="26" t="s">
        <v>33</v>
      </c>
      <c r="H18" s="26">
        <v>3342</v>
      </c>
      <c r="I18" s="26">
        <v>535548</v>
      </c>
      <c r="J18" s="42">
        <v>188843650</v>
      </c>
      <c r="K18" s="87">
        <v>1</v>
      </c>
      <c r="L18" s="88">
        <v>6</v>
      </c>
      <c r="M18" s="88" t="s">
        <v>27</v>
      </c>
      <c r="N18" s="69">
        <v>44659</v>
      </c>
      <c r="O18" s="70">
        <v>1</v>
      </c>
      <c r="P18" s="45" t="s">
        <v>27</v>
      </c>
      <c r="Q18" s="45" t="s">
        <v>128</v>
      </c>
      <c r="R18" s="45" t="s">
        <v>27</v>
      </c>
      <c r="S18" s="45" t="s">
        <v>128</v>
      </c>
      <c r="T18" s="45" t="s">
        <v>27</v>
      </c>
      <c r="U18" s="45" t="s">
        <v>128</v>
      </c>
      <c r="V18" s="45" t="s">
        <v>27</v>
      </c>
      <c r="W18" s="45" t="s">
        <v>128</v>
      </c>
      <c r="X18" s="45" t="s">
        <v>27</v>
      </c>
      <c r="Y18" s="45"/>
      <c r="Z18" s="45" t="s">
        <v>27</v>
      </c>
      <c r="AA18" s="45" t="s">
        <v>128</v>
      </c>
      <c r="AB18" s="45" t="s">
        <v>27</v>
      </c>
      <c r="AC18" s="107"/>
      <c r="AD18" s="103"/>
      <c r="AE18" s="105"/>
      <c r="AF18" s="105"/>
      <c r="AG18" s="106"/>
      <c r="AH18" s="106"/>
      <c r="AI18" s="106"/>
      <c r="AJ18" s="106"/>
    </row>
    <row r="19" spans="1:36" x14ac:dyDescent="0.2">
      <c r="A19" s="26" t="s">
        <v>127</v>
      </c>
      <c r="B19" s="26">
        <v>1176</v>
      </c>
      <c r="C19" s="26" t="s">
        <v>29</v>
      </c>
      <c r="D19" s="26" t="s">
        <v>140</v>
      </c>
      <c r="E19" s="26" t="s">
        <v>66</v>
      </c>
      <c r="F19" s="26" t="s">
        <v>141</v>
      </c>
      <c r="G19" s="26" t="s">
        <v>106</v>
      </c>
      <c r="H19" s="26" t="s">
        <v>108</v>
      </c>
      <c r="I19" s="26">
        <v>3994744</v>
      </c>
      <c r="J19" s="42">
        <v>27250000</v>
      </c>
      <c r="K19" s="87">
        <v>1</v>
      </c>
      <c r="L19" s="88">
        <v>3</v>
      </c>
      <c r="M19" s="88" t="s">
        <v>27</v>
      </c>
      <c r="N19" s="69">
        <v>44638</v>
      </c>
      <c r="O19" s="70">
        <v>0.5</v>
      </c>
      <c r="P19" s="45" t="s">
        <v>27</v>
      </c>
      <c r="Q19" s="45" t="s">
        <v>128</v>
      </c>
      <c r="R19" s="45" t="s">
        <v>27</v>
      </c>
      <c r="S19" s="45" t="s">
        <v>128</v>
      </c>
      <c r="T19" s="45" t="s">
        <v>27</v>
      </c>
      <c r="U19" s="45" t="s">
        <v>128</v>
      </c>
      <c r="V19" s="45" t="s">
        <v>27</v>
      </c>
      <c r="W19" s="45" t="s">
        <v>128</v>
      </c>
      <c r="X19" s="45" t="s">
        <v>27</v>
      </c>
      <c r="Y19" s="45" t="s">
        <v>128</v>
      </c>
      <c r="Z19" s="45" t="s">
        <v>27</v>
      </c>
      <c r="AA19" s="45"/>
      <c r="AB19" s="45" t="s">
        <v>27</v>
      </c>
      <c r="AC19" s="107"/>
      <c r="AD19" s="103"/>
      <c r="AE19" s="105"/>
      <c r="AF19" s="105"/>
      <c r="AG19" s="106"/>
      <c r="AH19" s="106"/>
      <c r="AI19" s="106"/>
      <c r="AJ19" s="106"/>
    </row>
    <row r="20" spans="1:36" x14ac:dyDescent="0.2">
      <c r="A20" s="26" t="s">
        <v>127</v>
      </c>
      <c r="B20" s="26">
        <v>1241</v>
      </c>
      <c r="C20" s="26" t="s">
        <v>29</v>
      </c>
      <c r="D20" s="26" t="s">
        <v>101</v>
      </c>
      <c r="E20" s="26" t="s">
        <v>24</v>
      </c>
      <c r="F20" s="26" t="s">
        <v>94</v>
      </c>
      <c r="G20" s="26" t="s">
        <v>44</v>
      </c>
      <c r="H20" s="26">
        <v>31330</v>
      </c>
      <c r="I20" s="26">
        <v>33731</v>
      </c>
      <c r="J20" s="42">
        <v>27000000</v>
      </c>
      <c r="K20" s="87">
        <v>1</v>
      </c>
      <c r="L20" s="88">
        <v>6</v>
      </c>
      <c r="M20" s="88" t="s">
        <v>27</v>
      </c>
      <c r="N20" s="69">
        <v>44659</v>
      </c>
      <c r="O20" s="70">
        <v>1</v>
      </c>
      <c r="P20" s="45" t="s">
        <v>27</v>
      </c>
      <c r="Q20" s="45" t="s">
        <v>128</v>
      </c>
      <c r="R20" s="45" t="s">
        <v>27</v>
      </c>
      <c r="S20" s="45" t="s">
        <v>128</v>
      </c>
      <c r="T20" s="45" t="s">
        <v>27</v>
      </c>
      <c r="U20" s="45">
        <v>4</v>
      </c>
      <c r="V20" s="45" t="s">
        <v>27</v>
      </c>
      <c r="W20" s="45">
        <v>4</v>
      </c>
      <c r="X20" s="45" t="s">
        <v>27</v>
      </c>
      <c r="Y20" s="45">
        <v>1.5</v>
      </c>
      <c r="Z20" s="45" t="s">
        <v>27</v>
      </c>
      <c r="AA20" s="45">
        <v>5</v>
      </c>
      <c r="AB20" s="45" t="s">
        <v>27</v>
      </c>
      <c r="AC20" s="107">
        <v>1.5</v>
      </c>
      <c r="AD20" s="103"/>
      <c r="AE20" s="105"/>
      <c r="AF20" s="105"/>
      <c r="AG20" s="106"/>
      <c r="AH20" s="106"/>
      <c r="AI20" s="106"/>
      <c r="AJ20" s="106"/>
    </row>
    <row r="21" spans="1:36" x14ac:dyDescent="0.2">
      <c r="A21" s="26" t="s">
        <v>127</v>
      </c>
      <c r="B21" s="26">
        <v>1244</v>
      </c>
      <c r="C21" s="26" t="s">
        <v>22</v>
      </c>
      <c r="D21" s="26" t="s">
        <v>37</v>
      </c>
      <c r="E21" s="26" t="s">
        <v>85</v>
      </c>
      <c r="F21" s="26" t="s">
        <v>142</v>
      </c>
      <c r="G21" s="26" t="s">
        <v>68</v>
      </c>
      <c r="H21" s="26" t="s">
        <v>69</v>
      </c>
      <c r="I21" s="26">
        <v>7000354</v>
      </c>
      <c r="J21" s="42">
        <v>130000000</v>
      </c>
      <c r="K21" s="87">
        <v>1</v>
      </c>
      <c r="L21" s="88">
        <v>5</v>
      </c>
      <c r="M21" s="88" t="s">
        <v>27</v>
      </c>
      <c r="N21" s="69">
        <v>44652</v>
      </c>
      <c r="O21" s="70">
        <v>1</v>
      </c>
      <c r="P21" s="45" t="s">
        <v>27</v>
      </c>
      <c r="Q21" s="45" t="s">
        <v>128</v>
      </c>
      <c r="R21" s="45" t="s">
        <v>27</v>
      </c>
      <c r="S21" s="45" t="s">
        <v>128</v>
      </c>
      <c r="T21" s="45" t="s">
        <v>27</v>
      </c>
      <c r="U21" s="45" t="s">
        <v>128</v>
      </c>
      <c r="V21" s="45" t="s">
        <v>27</v>
      </c>
      <c r="W21" s="45" t="s">
        <v>128</v>
      </c>
      <c r="X21" s="45" t="s">
        <v>27</v>
      </c>
      <c r="Y21" s="45" t="s">
        <v>128</v>
      </c>
      <c r="Z21" s="45" t="s">
        <v>27</v>
      </c>
      <c r="AA21" s="45" t="s">
        <v>128</v>
      </c>
      <c r="AB21" s="45" t="s">
        <v>27</v>
      </c>
      <c r="AC21" s="107" t="s">
        <v>128</v>
      </c>
      <c r="AD21" s="103"/>
      <c r="AE21" s="105"/>
      <c r="AF21" s="105"/>
      <c r="AG21" s="106"/>
      <c r="AH21" s="106"/>
      <c r="AI21" s="106"/>
      <c r="AJ21" s="106"/>
    </row>
    <row r="22" spans="1:36" x14ac:dyDescent="0.2">
      <c r="A22" s="26" t="s">
        <v>127</v>
      </c>
      <c r="B22" s="26">
        <v>1268</v>
      </c>
      <c r="C22" s="26" t="s">
        <v>22</v>
      </c>
      <c r="D22" s="171" t="s">
        <v>143</v>
      </c>
      <c r="E22" s="26" t="s">
        <v>24</v>
      </c>
      <c r="F22" s="26" t="s">
        <v>94</v>
      </c>
      <c r="G22" s="26" t="s">
        <v>23</v>
      </c>
      <c r="H22" s="26" t="s">
        <v>26</v>
      </c>
      <c r="I22" s="26">
        <v>178609</v>
      </c>
      <c r="J22" s="42">
        <v>23000000</v>
      </c>
      <c r="K22" s="87">
        <v>1</v>
      </c>
      <c r="L22" s="88">
        <v>4</v>
      </c>
      <c r="M22" s="88" t="s">
        <v>27</v>
      </c>
      <c r="N22" s="69">
        <v>44646</v>
      </c>
      <c r="O22" s="70">
        <v>1</v>
      </c>
      <c r="P22" s="45" t="s">
        <v>27</v>
      </c>
      <c r="Q22" s="45" t="s">
        <v>128</v>
      </c>
      <c r="R22" s="45" t="s">
        <v>27</v>
      </c>
      <c r="S22" s="45" t="s">
        <v>128</v>
      </c>
      <c r="T22" s="45" t="s">
        <v>27</v>
      </c>
      <c r="U22" s="45" t="s">
        <v>128</v>
      </c>
      <c r="V22" s="45" t="s">
        <v>27</v>
      </c>
      <c r="W22" s="45" t="s">
        <v>128</v>
      </c>
      <c r="X22" s="45" t="s">
        <v>27</v>
      </c>
      <c r="Y22" s="45" t="s">
        <v>128</v>
      </c>
      <c r="Z22" s="45" t="s">
        <v>27</v>
      </c>
      <c r="AA22" s="45" t="s">
        <v>128</v>
      </c>
      <c r="AB22" s="45" t="s">
        <v>27</v>
      </c>
      <c r="AC22" s="107">
        <v>2</v>
      </c>
      <c r="AD22" s="103"/>
      <c r="AE22" s="105"/>
      <c r="AF22" s="105"/>
      <c r="AG22" s="106"/>
      <c r="AH22" s="106"/>
      <c r="AI22" s="106"/>
      <c r="AJ22" s="106"/>
    </row>
    <row r="23" spans="1:36" x14ac:dyDescent="0.2">
      <c r="A23" s="26" t="s">
        <v>127</v>
      </c>
      <c r="B23" s="26">
        <v>1348</v>
      </c>
      <c r="C23" s="26" t="s">
        <v>29</v>
      </c>
      <c r="D23" s="26" t="s">
        <v>133</v>
      </c>
      <c r="E23" s="26" t="s">
        <v>31</v>
      </c>
      <c r="F23" s="26" t="s">
        <v>144</v>
      </c>
      <c r="G23" s="26" t="s">
        <v>33</v>
      </c>
      <c r="H23" s="26">
        <v>1419</v>
      </c>
      <c r="I23" s="26">
        <v>236737</v>
      </c>
      <c r="J23" s="42">
        <v>32000000</v>
      </c>
      <c r="K23" s="87">
        <v>1</v>
      </c>
      <c r="L23" s="88">
        <v>4</v>
      </c>
      <c r="M23" s="88" t="s">
        <v>27</v>
      </c>
      <c r="N23" s="69">
        <v>44641</v>
      </c>
      <c r="O23" s="70">
        <v>1</v>
      </c>
      <c r="P23" s="45" t="s">
        <v>27</v>
      </c>
      <c r="Q23" s="45" t="s">
        <v>128</v>
      </c>
      <c r="R23" s="45" t="s">
        <v>27</v>
      </c>
      <c r="S23" s="45" t="s">
        <v>128</v>
      </c>
      <c r="T23" s="45" t="s">
        <v>27</v>
      </c>
      <c r="U23" s="45" t="s">
        <v>128</v>
      </c>
      <c r="V23" s="45" t="s">
        <v>27</v>
      </c>
      <c r="W23" s="45" t="s">
        <v>128</v>
      </c>
      <c r="X23" s="45" t="s">
        <v>27</v>
      </c>
      <c r="Y23" s="45">
        <v>1</v>
      </c>
      <c r="Z23" s="45" t="s">
        <v>27</v>
      </c>
      <c r="AA23" s="45" t="s">
        <v>128</v>
      </c>
      <c r="AB23" s="45" t="s">
        <v>27</v>
      </c>
      <c r="AC23" s="107" t="s">
        <v>128</v>
      </c>
      <c r="AD23" s="103"/>
      <c r="AE23" s="105"/>
      <c r="AF23" s="105"/>
      <c r="AG23" s="106"/>
      <c r="AH23" s="106"/>
      <c r="AI23" s="106"/>
      <c r="AJ23" s="106"/>
    </row>
    <row r="24" spans="1:36" x14ac:dyDescent="0.2">
      <c r="A24" s="26" t="s">
        <v>127</v>
      </c>
      <c r="B24" s="26">
        <v>1401</v>
      </c>
      <c r="C24" s="26" t="s">
        <v>29</v>
      </c>
      <c r="D24" s="26" t="s">
        <v>145</v>
      </c>
      <c r="E24" s="26" t="s">
        <v>66</v>
      </c>
      <c r="F24" s="26" t="s">
        <v>146</v>
      </c>
      <c r="G24" s="26" t="s">
        <v>147</v>
      </c>
      <c r="H24" s="26">
        <v>1726</v>
      </c>
      <c r="I24" s="26">
        <v>11353</v>
      </c>
      <c r="J24" s="42">
        <v>20000000</v>
      </c>
      <c r="K24" s="71">
        <v>1</v>
      </c>
      <c r="L24" s="72">
        <v>2</v>
      </c>
      <c r="M24" s="72" t="s">
        <v>27</v>
      </c>
      <c r="N24" s="69">
        <v>44629</v>
      </c>
      <c r="O24" s="70">
        <v>1</v>
      </c>
      <c r="P24" s="45" t="s">
        <v>27</v>
      </c>
      <c r="Q24" s="45" t="s">
        <v>128</v>
      </c>
      <c r="R24" s="45" t="s">
        <v>27</v>
      </c>
      <c r="S24" s="45" t="s">
        <v>128</v>
      </c>
      <c r="T24" s="45" t="s">
        <v>27</v>
      </c>
      <c r="U24" s="45" t="s">
        <v>128</v>
      </c>
      <c r="V24" s="45" t="s">
        <v>27</v>
      </c>
      <c r="W24" s="45" t="s">
        <v>128</v>
      </c>
      <c r="X24" s="45" t="s">
        <v>27</v>
      </c>
      <c r="Y24" s="45" t="s">
        <v>128</v>
      </c>
      <c r="Z24" s="45" t="s">
        <v>27</v>
      </c>
      <c r="AA24" s="45" t="s">
        <v>128</v>
      </c>
      <c r="AB24" s="45" t="s">
        <v>27</v>
      </c>
      <c r="AC24" s="107" t="s">
        <v>128</v>
      </c>
      <c r="AD24" s="103"/>
      <c r="AE24" s="105"/>
      <c r="AF24" s="105"/>
      <c r="AG24" s="106"/>
      <c r="AH24" s="106"/>
      <c r="AI24" s="106"/>
      <c r="AJ24" s="106"/>
    </row>
    <row r="25" spans="1:36" hidden="1" x14ac:dyDescent="0.2">
      <c r="A25" s="22"/>
      <c r="B25" s="22"/>
      <c r="C25" s="22"/>
      <c r="D25" s="22"/>
      <c r="E25" s="22"/>
      <c r="F25" s="22"/>
      <c r="G25" s="22"/>
      <c r="H25" s="22"/>
      <c r="I25" s="22"/>
      <c r="J25" s="36"/>
      <c r="K25" s="19"/>
      <c r="L25" s="33"/>
      <c r="M25" s="19"/>
      <c r="N25" s="29"/>
      <c r="O25" s="46"/>
      <c r="P25" s="45"/>
      <c r="Q25" s="45"/>
      <c r="R25" s="45"/>
      <c r="S25" s="45"/>
      <c r="T25" s="45"/>
      <c r="U25" s="45"/>
      <c r="V25" s="45"/>
      <c r="W25" s="45"/>
      <c r="X25" s="45"/>
      <c r="Y25" s="45"/>
      <c r="Z25" s="45"/>
      <c r="AA25" s="45"/>
      <c r="AB25" s="45"/>
      <c r="AC25" s="45"/>
    </row>
    <row r="26" spans="1:36" hidden="1" x14ac:dyDescent="0.2">
      <c r="C26" s="8"/>
      <c r="D26" s="8"/>
      <c r="E26" s="8"/>
      <c r="F26" s="8"/>
      <c r="G26" s="8"/>
      <c r="H26" s="8"/>
      <c r="I26" s="8"/>
      <c r="J26" s="76"/>
      <c r="K26" s="19"/>
      <c r="L26" s="33"/>
      <c r="M26" s="19"/>
      <c r="N26" s="29"/>
      <c r="O26" s="46"/>
      <c r="P26" s="45"/>
      <c r="Q26" s="45"/>
      <c r="R26" s="45"/>
      <c r="S26" s="45"/>
      <c r="T26" s="45"/>
      <c r="U26" s="45"/>
      <c r="V26" s="45"/>
      <c r="W26" s="45"/>
      <c r="X26" s="45"/>
      <c r="Y26" s="45"/>
      <c r="Z26" s="45"/>
      <c r="AA26" s="45"/>
      <c r="AB26" s="45"/>
      <c r="AC26" s="45"/>
    </row>
    <row r="27" spans="1:36" x14ac:dyDescent="0.2">
      <c r="A27" s="26" t="s">
        <v>127</v>
      </c>
      <c r="B27" s="26" t="s">
        <v>148</v>
      </c>
      <c r="C27" s="26" t="s">
        <v>22</v>
      </c>
      <c r="D27" s="26" t="s">
        <v>138</v>
      </c>
      <c r="E27" s="26" t="s">
        <v>31</v>
      </c>
      <c r="F27" s="26" t="s">
        <v>25</v>
      </c>
      <c r="G27" s="26" t="s">
        <v>33</v>
      </c>
      <c r="H27" s="26">
        <v>3324</v>
      </c>
      <c r="I27" s="26" t="s">
        <v>128</v>
      </c>
      <c r="J27" s="42" t="s">
        <v>128</v>
      </c>
      <c r="K27" s="71">
        <v>1</v>
      </c>
      <c r="L27" s="72" t="s">
        <v>73</v>
      </c>
      <c r="M27" s="72" t="s">
        <v>27</v>
      </c>
      <c r="N27" s="69">
        <v>44638</v>
      </c>
      <c r="O27" s="70">
        <v>0.5</v>
      </c>
      <c r="P27" s="45" t="s">
        <v>27</v>
      </c>
      <c r="Q27" s="45" t="s">
        <v>128</v>
      </c>
      <c r="R27" s="45" t="s">
        <v>27</v>
      </c>
      <c r="S27" s="45" t="s">
        <v>128</v>
      </c>
      <c r="T27" s="45" t="s">
        <v>27</v>
      </c>
      <c r="U27" s="45" t="s">
        <v>128</v>
      </c>
      <c r="V27" s="45" t="s">
        <v>27</v>
      </c>
      <c r="W27" s="45" t="s">
        <v>128</v>
      </c>
      <c r="X27" s="45" t="s">
        <v>27</v>
      </c>
      <c r="Y27" s="45" t="s">
        <v>128</v>
      </c>
      <c r="Z27" s="45" t="s">
        <v>27</v>
      </c>
      <c r="AA27" s="45" t="s">
        <v>128</v>
      </c>
      <c r="AB27" s="45" t="s">
        <v>27</v>
      </c>
      <c r="AC27" s="107" t="s">
        <v>128</v>
      </c>
      <c r="AD27" s="103"/>
      <c r="AE27" s="105"/>
      <c r="AF27" s="105"/>
      <c r="AG27" s="106"/>
      <c r="AH27" s="106"/>
      <c r="AI27" s="106"/>
      <c r="AJ27" s="106"/>
    </row>
    <row r="28" spans="1:36" hidden="1" x14ac:dyDescent="0.2">
      <c r="C28" s="8"/>
      <c r="D28" s="23"/>
      <c r="E28" s="8"/>
      <c r="F28" s="8"/>
      <c r="G28" s="8"/>
      <c r="H28" s="8"/>
      <c r="I28" s="8"/>
      <c r="J28" s="35"/>
      <c r="K28" s="19"/>
      <c r="L28" s="33"/>
      <c r="M28" s="19"/>
      <c r="N28" s="29"/>
      <c r="O28" s="46"/>
      <c r="P28" s="45"/>
      <c r="Q28" s="45"/>
      <c r="R28" s="45"/>
      <c r="S28" s="45"/>
      <c r="T28" s="45"/>
      <c r="U28" s="45"/>
      <c r="V28" s="45"/>
      <c r="W28" s="45"/>
      <c r="X28" s="45"/>
      <c r="Y28" s="45"/>
      <c r="Z28" s="45"/>
      <c r="AA28" s="45"/>
      <c r="AB28" s="45"/>
      <c r="AC28" s="45"/>
    </row>
    <row r="29" spans="1:36" hidden="1" x14ac:dyDescent="0.2">
      <c r="A29" s="22"/>
      <c r="B29" s="22"/>
      <c r="C29" s="22"/>
      <c r="D29" s="22"/>
      <c r="E29" s="22"/>
      <c r="F29" s="22"/>
      <c r="G29" s="22"/>
      <c r="H29" s="22"/>
      <c r="I29" s="22"/>
      <c r="J29" s="36"/>
      <c r="K29" s="19"/>
      <c r="L29" s="33"/>
      <c r="M29" s="19"/>
      <c r="N29" s="29"/>
      <c r="O29" s="46"/>
      <c r="P29" s="45"/>
      <c r="Q29" s="45"/>
      <c r="R29" s="45"/>
      <c r="S29" s="45"/>
      <c r="T29" s="45"/>
      <c r="U29" s="45"/>
      <c r="V29" s="45"/>
      <c r="W29" s="45"/>
      <c r="X29" s="45"/>
      <c r="Y29" s="45"/>
      <c r="Z29" s="45"/>
      <c r="AA29" s="45"/>
      <c r="AB29" s="45"/>
      <c r="AC29" s="45"/>
    </row>
    <row r="30" spans="1:36" hidden="1" x14ac:dyDescent="0.2">
      <c r="C30" s="8"/>
      <c r="D30" s="23"/>
      <c r="E30" s="8"/>
      <c r="F30" s="8"/>
      <c r="G30" s="8"/>
      <c r="H30" s="8"/>
      <c r="I30" s="8"/>
      <c r="J30" s="35"/>
      <c r="K30" s="19"/>
      <c r="L30" s="33"/>
      <c r="M30" s="19"/>
      <c r="N30" s="29"/>
      <c r="O30" s="46"/>
      <c r="P30" s="45"/>
      <c r="Q30" s="45"/>
      <c r="R30" s="45"/>
      <c r="S30" s="45"/>
      <c r="T30" s="45"/>
      <c r="U30" s="45"/>
      <c r="V30" s="45"/>
      <c r="W30" s="45"/>
      <c r="X30" s="45"/>
      <c r="Y30" s="45"/>
      <c r="Z30" s="45"/>
      <c r="AA30" s="45"/>
      <c r="AB30" s="45"/>
      <c r="AC30" s="45"/>
    </row>
    <row r="31" spans="1:36" hidden="1" x14ac:dyDescent="0.2">
      <c r="A31" s="22"/>
      <c r="B31" s="22"/>
      <c r="C31" s="22"/>
      <c r="D31" s="22"/>
      <c r="E31" s="22"/>
      <c r="F31" s="22"/>
      <c r="G31" s="22"/>
      <c r="H31" s="22"/>
      <c r="I31" s="22"/>
      <c r="J31" s="36"/>
      <c r="K31" s="19"/>
      <c r="L31" s="33"/>
      <c r="M31" s="19"/>
      <c r="N31" s="29"/>
      <c r="O31" s="46"/>
      <c r="P31" s="45"/>
      <c r="Q31" s="45"/>
      <c r="R31" s="45"/>
      <c r="S31" s="45"/>
      <c r="T31" s="45"/>
      <c r="U31" s="45"/>
      <c r="V31" s="45"/>
      <c r="W31" s="45"/>
      <c r="X31" s="45"/>
      <c r="Y31" s="45"/>
      <c r="Z31" s="45"/>
      <c r="AA31" s="45"/>
      <c r="AB31" s="45"/>
      <c r="AC31" s="45"/>
    </row>
    <row r="32" spans="1:36" hidden="1" x14ac:dyDescent="0.2">
      <c r="C32" s="8"/>
      <c r="D32" s="23"/>
      <c r="E32" s="8"/>
      <c r="F32" s="8"/>
      <c r="G32" s="8"/>
      <c r="H32" s="8"/>
      <c r="I32" s="8"/>
      <c r="J32" s="35"/>
      <c r="K32" s="19"/>
      <c r="L32" s="33"/>
      <c r="M32" s="19"/>
      <c r="N32" s="29"/>
      <c r="O32" s="46"/>
      <c r="P32" s="45"/>
      <c r="Q32" s="45"/>
      <c r="R32" s="45"/>
      <c r="S32" s="45"/>
      <c r="T32" s="45"/>
      <c r="U32" s="45"/>
      <c r="V32" s="45"/>
      <c r="W32" s="45"/>
      <c r="X32" s="45"/>
      <c r="Y32" s="45"/>
      <c r="Z32" s="45"/>
      <c r="AA32" s="45"/>
      <c r="AB32" s="45"/>
      <c r="AC32" s="45"/>
    </row>
    <row r="33" spans="1:29" hidden="1" x14ac:dyDescent="0.2">
      <c r="A33" s="22"/>
      <c r="B33" s="22"/>
      <c r="C33" s="22"/>
      <c r="D33" s="22"/>
      <c r="E33" s="22"/>
      <c r="F33" s="22"/>
      <c r="G33" s="22"/>
      <c r="H33" s="22"/>
      <c r="I33" s="22"/>
      <c r="J33" s="36"/>
      <c r="K33" s="19"/>
      <c r="L33" s="33"/>
      <c r="M33" s="19"/>
      <c r="N33" s="29"/>
      <c r="O33" s="46"/>
      <c r="P33" s="45"/>
      <c r="Q33" s="45"/>
      <c r="R33" s="45"/>
      <c r="S33" s="45"/>
      <c r="T33" s="45"/>
      <c r="U33" s="45"/>
      <c r="V33" s="45"/>
      <c r="W33" s="45"/>
      <c r="X33" s="45"/>
      <c r="Y33" s="45"/>
      <c r="Z33" s="45"/>
      <c r="AA33" s="45"/>
      <c r="AB33" s="45"/>
      <c r="AC33" s="45"/>
    </row>
    <row r="34" spans="1:29" hidden="1" x14ac:dyDescent="0.2">
      <c r="C34" s="8"/>
      <c r="D34" s="23"/>
      <c r="E34" s="8"/>
      <c r="F34" s="8"/>
      <c r="G34" s="8"/>
      <c r="H34" s="8"/>
      <c r="I34" s="8"/>
      <c r="J34" s="35"/>
      <c r="K34" s="19"/>
      <c r="L34" s="33"/>
      <c r="M34" s="19"/>
      <c r="N34" s="29"/>
      <c r="O34" s="46"/>
      <c r="P34" s="45"/>
      <c r="Q34" s="45"/>
      <c r="R34" s="45"/>
      <c r="S34" s="45"/>
      <c r="T34" s="45"/>
      <c r="U34" s="45"/>
      <c r="V34" s="45"/>
      <c r="W34" s="45"/>
      <c r="X34" s="45"/>
      <c r="Y34" s="45"/>
      <c r="Z34" s="45"/>
      <c r="AA34" s="45"/>
      <c r="AB34" s="45"/>
      <c r="AC34" s="45"/>
    </row>
    <row r="35" spans="1:29" hidden="1" x14ac:dyDescent="0.2">
      <c r="A35" s="22"/>
      <c r="B35" s="22"/>
      <c r="C35" s="22"/>
      <c r="D35" s="22"/>
      <c r="E35" s="22"/>
      <c r="F35" s="22"/>
      <c r="G35" s="22"/>
      <c r="H35" s="22"/>
      <c r="I35" s="22"/>
      <c r="J35" s="36"/>
      <c r="K35" s="19"/>
      <c r="L35" s="33"/>
      <c r="M35" s="19"/>
      <c r="N35" s="29"/>
      <c r="O35" s="46"/>
      <c r="P35" s="45"/>
      <c r="Q35" s="45"/>
      <c r="R35" s="45"/>
      <c r="S35" s="45"/>
      <c r="T35" s="45"/>
      <c r="U35" s="45"/>
      <c r="V35" s="45"/>
      <c r="W35" s="45"/>
      <c r="X35" s="45"/>
      <c r="Y35" s="45"/>
      <c r="Z35" s="45"/>
      <c r="AA35" s="45"/>
      <c r="AB35" s="45"/>
      <c r="AC35" s="45"/>
    </row>
    <row r="36" spans="1:29" hidden="1" x14ac:dyDescent="0.2">
      <c r="C36" s="8"/>
      <c r="D36" s="23"/>
      <c r="E36" s="8"/>
      <c r="F36" s="8"/>
      <c r="G36" s="8"/>
      <c r="H36" s="8"/>
      <c r="I36" s="8"/>
      <c r="J36" s="35"/>
      <c r="K36" s="19"/>
      <c r="L36" s="33"/>
      <c r="M36" s="19"/>
      <c r="N36" s="29"/>
      <c r="O36" s="46"/>
      <c r="P36" s="45"/>
      <c r="Q36" s="45"/>
      <c r="R36" s="45"/>
      <c r="S36" s="45"/>
      <c r="T36" s="45"/>
      <c r="U36" s="45"/>
      <c r="V36" s="45"/>
      <c r="W36" s="45"/>
      <c r="X36" s="45"/>
      <c r="Y36" s="45"/>
      <c r="Z36" s="45"/>
      <c r="AA36" s="45"/>
      <c r="AB36" s="45"/>
      <c r="AC36" s="45"/>
    </row>
    <row r="37" spans="1:29" hidden="1" x14ac:dyDescent="0.2">
      <c r="A37" s="22"/>
      <c r="B37" s="22"/>
      <c r="C37" s="22"/>
      <c r="D37" s="22"/>
      <c r="E37" s="22"/>
      <c r="F37" s="22"/>
      <c r="G37" s="22"/>
      <c r="H37" s="22"/>
      <c r="I37" s="22"/>
      <c r="J37" s="36"/>
      <c r="K37" s="19"/>
      <c r="L37" s="33"/>
      <c r="M37" s="19"/>
      <c r="N37" s="29"/>
      <c r="O37" s="46"/>
      <c r="P37" s="45"/>
      <c r="Q37" s="45"/>
      <c r="R37" s="45"/>
      <c r="S37" s="45"/>
      <c r="T37" s="45"/>
      <c r="U37" s="45"/>
      <c r="V37" s="45"/>
      <c r="W37" s="45"/>
      <c r="X37" s="45"/>
      <c r="Y37" s="45"/>
      <c r="Z37" s="45"/>
      <c r="AA37" s="45"/>
      <c r="AB37" s="45"/>
      <c r="AC37" s="45"/>
    </row>
    <row r="38" spans="1:29" hidden="1" x14ac:dyDescent="0.2">
      <c r="C38" s="8"/>
      <c r="D38" s="23"/>
      <c r="E38" s="8"/>
      <c r="F38" s="8"/>
      <c r="G38" s="8"/>
      <c r="H38" s="8"/>
      <c r="I38" s="8"/>
      <c r="J38" s="35"/>
      <c r="K38" s="19"/>
      <c r="L38" s="33"/>
      <c r="M38" s="19"/>
      <c r="N38" s="29"/>
      <c r="O38" s="46"/>
      <c r="P38" s="45"/>
      <c r="Q38" s="45"/>
      <c r="R38" s="45"/>
      <c r="S38" s="45"/>
      <c r="T38" s="45"/>
      <c r="U38" s="45"/>
      <c r="V38" s="45"/>
      <c r="W38" s="45"/>
      <c r="X38" s="45"/>
      <c r="Y38" s="45"/>
      <c r="Z38" s="45"/>
      <c r="AA38" s="45"/>
      <c r="AB38" s="45"/>
      <c r="AC38" s="45"/>
    </row>
    <row r="39" spans="1:29" hidden="1" x14ac:dyDescent="0.2">
      <c r="A39" s="22"/>
      <c r="B39" s="22"/>
      <c r="C39" s="22"/>
      <c r="D39" s="22"/>
      <c r="E39" s="22"/>
      <c r="F39" s="22"/>
      <c r="G39" s="22"/>
      <c r="H39" s="22"/>
      <c r="I39" s="22"/>
      <c r="J39" s="36"/>
      <c r="K39" s="19"/>
      <c r="L39" s="33"/>
      <c r="M39" s="19"/>
      <c r="N39" s="29"/>
      <c r="O39" s="46"/>
      <c r="P39" s="45"/>
      <c r="Q39" s="45"/>
      <c r="R39" s="45"/>
      <c r="S39" s="45"/>
      <c r="T39" s="45"/>
      <c r="U39" s="45"/>
      <c r="V39" s="45"/>
      <c r="W39" s="45"/>
      <c r="X39" s="45"/>
      <c r="Y39" s="45"/>
      <c r="Z39" s="45"/>
      <c r="AA39" s="45"/>
      <c r="AB39" s="45"/>
      <c r="AC39" s="45"/>
    </row>
    <row r="40" spans="1:29" hidden="1" x14ac:dyDescent="0.2">
      <c r="C40" s="8"/>
      <c r="D40" s="23"/>
      <c r="E40" s="8"/>
      <c r="F40" s="8"/>
      <c r="G40" s="8"/>
      <c r="H40" s="8"/>
      <c r="I40" s="8"/>
      <c r="J40" s="35"/>
      <c r="K40" s="19"/>
      <c r="L40" s="33"/>
      <c r="M40" s="19"/>
      <c r="N40" s="29"/>
      <c r="O40" s="46"/>
      <c r="P40" s="45"/>
      <c r="Q40" s="45"/>
      <c r="R40" s="45"/>
      <c r="S40" s="45"/>
      <c r="T40" s="45"/>
      <c r="U40" s="45"/>
      <c r="V40" s="45"/>
      <c r="W40" s="45"/>
      <c r="X40" s="45"/>
      <c r="Y40" s="45"/>
      <c r="Z40" s="45"/>
      <c r="AA40" s="45"/>
      <c r="AB40" s="45"/>
      <c r="AC40" s="45"/>
    </row>
    <row r="41" spans="1:29" hidden="1" x14ac:dyDescent="0.2">
      <c r="A41" s="22"/>
      <c r="B41" s="22"/>
      <c r="C41" s="22"/>
      <c r="D41" s="22"/>
      <c r="E41" s="22"/>
      <c r="F41" s="22"/>
      <c r="G41" s="22"/>
      <c r="H41" s="22"/>
      <c r="I41" s="22"/>
      <c r="J41" s="36"/>
      <c r="K41" s="19"/>
      <c r="L41" s="33"/>
      <c r="M41" s="19"/>
      <c r="N41" s="29"/>
      <c r="O41" s="46"/>
      <c r="P41" s="45"/>
      <c r="Q41" s="45"/>
      <c r="R41" s="45"/>
      <c r="S41" s="45"/>
      <c r="T41" s="45"/>
      <c r="U41" s="45"/>
      <c r="V41" s="45"/>
      <c r="W41" s="45"/>
      <c r="X41" s="45"/>
      <c r="Y41" s="45"/>
      <c r="Z41" s="45"/>
      <c r="AA41" s="45"/>
      <c r="AB41" s="45"/>
      <c r="AC41" s="45"/>
    </row>
    <row r="42" spans="1:29" hidden="1" x14ac:dyDescent="0.2">
      <c r="C42" s="8"/>
      <c r="D42" s="23"/>
      <c r="E42" s="8"/>
      <c r="F42" s="8"/>
      <c r="G42" s="8"/>
      <c r="H42" s="8"/>
      <c r="I42" s="8"/>
      <c r="J42" s="35"/>
      <c r="K42" s="19"/>
      <c r="L42" s="33"/>
      <c r="M42" s="19"/>
      <c r="N42" s="29"/>
      <c r="O42" s="46"/>
      <c r="P42" s="45"/>
      <c r="Q42" s="45"/>
      <c r="R42" s="45"/>
      <c r="S42" s="45"/>
      <c r="T42" s="45"/>
      <c r="U42" s="45"/>
      <c r="V42" s="45"/>
      <c r="W42" s="45"/>
      <c r="X42" s="45"/>
      <c r="Y42" s="45"/>
      <c r="Z42" s="45"/>
      <c r="AA42" s="45"/>
      <c r="AB42" s="45"/>
      <c r="AC42" s="45"/>
    </row>
    <row r="43" spans="1:29" hidden="1" x14ac:dyDescent="0.2">
      <c r="A43" s="22"/>
      <c r="B43" s="22"/>
      <c r="C43" s="22"/>
      <c r="D43" s="22"/>
      <c r="E43" s="22"/>
      <c r="F43" s="22"/>
      <c r="G43" s="22"/>
      <c r="H43" s="22"/>
      <c r="I43" s="22"/>
      <c r="J43" s="36"/>
      <c r="K43" s="19"/>
      <c r="L43" s="33"/>
      <c r="M43" s="19"/>
      <c r="N43" s="29"/>
      <c r="O43" s="46"/>
      <c r="P43" s="45"/>
      <c r="Q43" s="45"/>
      <c r="R43" s="45"/>
      <c r="S43" s="45"/>
      <c r="T43" s="45"/>
      <c r="U43" s="45"/>
      <c r="V43" s="45"/>
      <c r="W43" s="45"/>
      <c r="X43" s="45"/>
      <c r="Y43" s="45"/>
      <c r="Z43" s="45"/>
      <c r="AA43" s="45"/>
      <c r="AB43" s="45"/>
      <c r="AC43" s="45"/>
    </row>
    <row r="44" spans="1:29" hidden="1" x14ac:dyDescent="0.2">
      <c r="C44" s="8"/>
      <c r="D44" s="23"/>
      <c r="E44" s="8"/>
      <c r="F44" s="8"/>
      <c r="G44" s="8"/>
      <c r="H44" s="8"/>
      <c r="I44" s="8"/>
      <c r="J44" s="35"/>
      <c r="K44" s="19"/>
      <c r="L44" s="33"/>
      <c r="M44" s="19"/>
      <c r="N44" s="29"/>
      <c r="O44" s="46"/>
      <c r="P44" s="45"/>
      <c r="Q44" s="45"/>
      <c r="R44" s="45"/>
      <c r="S44" s="45"/>
      <c r="T44" s="45"/>
      <c r="U44" s="45"/>
      <c r="V44" s="45"/>
      <c r="W44" s="45"/>
      <c r="X44" s="45"/>
      <c r="Y44" s="45"/>
      <c r="Z44" s="45"/>
      <c r="AA44" s="45"/>
      <c r="AB44" s="45"/>
      <c r="AC44" s="45"/>
    </row>
    <row r="45" spans="1:29" hidden="1" x14ac:dyDescent="0.2">
      <c r="A45" s="22"/>
      <c r="B45" s="22"/>
      <c r="C45" s="22"/>
      <c r="D45" s="22"/>
      <c r="E45" s="22"/>
      <c r="F45" s="22"/>
      <c r="G45" s="22"/>
      <c r="H45" s="22"/>
      <c r="I45" s="22"/>
      <c r="J45" s="36"/>
      <c r="K45" s="19"/>
      <c r="L45" s="33"/>
      <c r="M45" s="19"/>
      <c r="N45" s="29"/>
      <c r="O45" s="46"/>
      <c r="P45" s="45"/>
      <c r="Q45" s="45"/>
      <c r="R45" s="45"/>
      <c r="S45" s="45"/>
      <c r="T45" s="45"/>
      <c r="U45" s="45"/>
      <c r="V45" s="45"/>
      <c r="W45" s="45"/>
      <c r="X45" s="45"/>
      <c r="Y45" s="45"/>
      <c r="Z45" s="45"/>
      <c r="AA45" s="45"/>
      <c r="AB45" s="45"/>
      <c r="AC45" s="45"/>
    </row>
    <row r="46" spans="1:29" hidden="1" x14ac:dyDescent="0.2">
      <c r="C46" s="8"/>
      <c r="D46" s="23"/>
      <c r="E46" s="8"/>
      <c r="F46" s="8"/>
      <c r="G46" s="8"/>
      <c r="H46" s="8"/>
      <c r="I46" s="8"/>
      <c r="J46" s="35"/>
      <c r="K46" s="19"/>
      <c r="L46" s="33"/>
      <c r="M46" s="19"/>
      <c r="N46" s="29"/>
      <c r="O46" s="46"/>
      <c r="P46" s="45"/>
      <c r="Q46" s="45"/>
      <c r="R46" s="45"/>
      <c r="S46" s="45"/>
      <c r="T46" s="45"/>
      <c r="U46" s="45"/>
      <c r="V46" s="45"/>
      <c r="W46" s="45"/>
      <c r="X46" s="45"/>
      <c r="Y46" s="45"/>
      <c r="Z46" s="45"/>
      <c r="AA46" s="45"/>
      <c r="AB46" s="45"/>
      <c r="AC46" s="45"/>
    </row>
    <row r="47" spans="1:29" hidden="1" x14ac:dyDescent="0.2">
      <c r="A47" s="22"/>
      <c r="B47" s="22"/>
      <c r="C47" s="22"/>
      <c r="D47" s="22"/>
      <c r="E47" s="22"/>
      <c r="F47" s="22"/>
      <c r="G47" s="22"/>
      <c r="H47" s="22"/>
      <c r="I47" s="22"/>
      <c r="J47" s="36"/>
      <c r="K47" s="19"/>
      <c r="L47" s="33"/>
      <c r="M47" s="19"/>
      <c r="N47" s="29"/>
      <c r="O47" s="46"/>
      <c r="P47" s="45"/>
      <c r="Q47" s="45"/>
      <c r="R47" s="45"/>
      <c r="S47" s="45"/>
      <c r="T47" s="45"/>
      <c r="U47" s="45"/>
      <c r="V47" s="45"/>
      <c r="W47" s="45"/>
      <c r="X47" s="45"/>
      <c r="Y47" s="45"/>
      <c r="Z47" s="45"/>
      <c r="AA47" s="45"/>
      <c r="AB47" s="45"/>
      <c r="AC47" s="45"/>
    </row>
    <row r="48" spans="1:29" x14ac:dyDescent="0.2">
      <c r="C48" s="8"/>
      <c r="D48" s="23"/>
      <c r="E48" s="8"/>
      <c r="F48" s="8"/>
      <c r="G48" s="8"/>
      <c r="H48" s="8"/>
      <c r="I48" s="8"/>
      <c r="J48" s="35"/>
      <c r="K48" s="19"/>
      <c r="L48" s="33"/>
      <c r="M48" s="19"/>
      <c r="N48"/>
      <c r="O48"/>
      <c r="P48"/>
      <c r="Q48"/>
      <c r="R48"/>
      <c r="S48"/>
      <c r="T48"/>
      <c r="U48"/>
      <c r="V48"/>
      <c r="W48"/>
      <c r="X48"/>
      <c r="Y48"/>
      <c r="Z48"/>
      <c r="AA48"/>
      <c r="AB48"/>
      <c r="AC48"/>
    </row>
    <row r="49" spans="1:32" s="8" customFormat="1" x14ac:dyDescent="0.2">
      <c r="C49" s="366" t="s">
        <v>83</v>
      </c>
      <c r="D49" s="366"/>
      <c r="E49" s="43" t="s">
        <v>4</v>
      </c>
      <c r="F49" s="1"/>
      <c r="G49" s="1"/>
      <c r="H49" s="31" t="s">
        <v>149</v>
      </c>
      <c r="I49" s="43">
        <f>SUM(O2:O47)</f>
        <v>23</v>
      </c>
      <c r="J49" s="20">
        <f>SUM(J2:J47)</f>
        <v>710293650</v>
      </c>
      <c r="K49" s="24">
        <f>SUM(P49:AB49)</f>
        <v>1</v>
      </c>
      <c r="L49" s="1"/>
      <c r="M49" s="1"/>
      <c r="N49" s="21"/>
      <c r="P49" s="19">
        <v>0.03</v>
      </c>
      <c r="Q49" s="19"/>
      <c r="R49" s="19">
        <v>0.1</v>
      </c>
      <c r="S49" s="19"/>
      <c r="T49" s="19">
        <v>0.3</v>
      </c>
      <c r="U49" s="19"/>
      <c r="V49" s="19">
        <v>0.3</v>
      </c>
      <c r="W49" s="19"/>
      <c r="X49" s="19">
        <v>0.1</v>
      </c>
      <c r="Y49" s="19"/>
      <c r="Z49" s="19">
        <v>0.12</v>
      </c>
      <c r="AA49" s="19"/>
      <c r="AB49" s="19">
        <v>0.05</v>
      </c>
      <c r="AC49" s="19"/>
      <c r="AD49" s="43"/>
      <c r="AE49" s="43"/>
      <c r="AF49" s="43"/>
    </row>
    <row r="50" spans="1:32" x14ac:dyDescent="0.2">
      <c r="C50" s="23" t="s">
        <v>24</v>
      </c>
      <c r="D50" s="8">
        <f t="shared" ref="D50:D56" si="0">SUMIF($E$2:$E$47,C50,$O$2:$O$47)</f>
        <v>3</v>
      </c>
      <c r="E50" s="23" t="s">
        <v>29</v>
      </c>
      <c r="F50" s="8">
        <f>SUMIF($C$2:$C$47,E50,$O$2:$O$51)</f>
        <v>9.5</v>
      </c>
      <c r="M50" s="360" t="s">
        <v>150</v>
      </c>
      <c r="N50" s="360"/>
      <c r="O50" s="360"/>
    </row>
    <row r="51" spans="1:32" s="8" customFormat="1" x14ac:dyDescent="0.2">
      <c r="C51" s="23" t="s">
        <v>66</v>
      </c>
      <c r="D51" s="8">
        <f t="shared" si="0"/>
        <v>1.5</v>
      </c>
      <c r="E51" s="23" t="s">
        <v>22</v>
      </c>
      <c r="F51" s="8">
        <f>SUMIF($C$2:$C$47,E51,$O$2:$O$51)</f>
        <v>13.5</v>
      </c>
      <c r="G51" s="1"/>
      <c r="H51" s="348" t="s">
        <v>75</v>
      </c>
      <c r="I51" s="348"/>
      <c r="J51" s="20">
        <f>SUMIF(K2:K47,K51,J2:J47)</f>
        <v>710293650</v>
      </c>
      <c r="K51" s="24">
        <v>1</v>
      </c>
      <c r="L51" s="1"/>
      <c r="M51" s="48"/>
      <c r="N51" s="43">
        <f>SUMIF($K$2:$K$47,K51,$O$2:$O$47)</f>
        <v>23</v>
      </c>
      <c r="O51" s="43"/>
      <c r="P51" s="1"/>
      <c r="Q51" s="1"/>
      <c r="R51" s="1"/>
      <c r="S51" s="1"/>
      <c r="T51" s="1"/>
      <c r="U51" s="1"/>
      <c r="V51" s="1"/>
      <c r="W51" s="1"/>
      <c r="X51" s="1"/>
      <c r="Y51" s="1"/>
      <c r="Z51" s="1"/>
      <c r="AA51" s="1"/>
      <c r="AB51" s="1"/>
      <c r="AC51" s="1"/>
      <c r="AD51" s="43"/>
      <c r="AE51" s="43"/>
      <c r="AF51" s="43"/>
    </row>
    <row r="52" spans="1:32" s="8" customFormat="1" x14ac:dyDescent="0.2">
      <c r="C52" s="1" t="s">
        <v>34</v>
      </c>
      <c r="D52" s="8">
        <f t="shared" si="0"/>
        <v>0</v>
      </c>
      <c r="E52" s="1"/>
      <c r="F52" s="1"/>
      <c r="G52" s="1"/>
      <c r="H52" s="1" t="s">
        <v>76</v>
      </c>
      <c r="I52" s="2" t="s">
        <v>151</v>
      </c>
      <c r="J52" s="20">
        <f t="shared" ref="J52:J57" si="1">SUMIF($L$2:$L$47,K52,$J$2:$J$47)</f>
        <v>0</v>
      </c>
      <c r="K52" s="25">
        <v>1</v>
      </c>
      <c r="L52" s="1"/>
      <c r="M52" s="1"/>
      <c r="P52" s="1"/>
      <c r="Q52" s="1"/>
      <c r="R52" s="1"/>
      <c r="S52" s="1"/>
      <c r="T52" s="1"/>
      <c r="U52" s="1"/>
      <c r="V52" s="1"/>
      <c r="W52" s="1"/>
      <c r="X52" s="1"/>
      <c r="Y52" s="1"/>
      <c r="Z52" s="1"/>
      <c r="AA52" s="1"/>
      <c r="AB52" s="1"/>
      <c r="AC52" s="1"/>
      <c r="AD52" s="43"/>
      <c r="AE52" s="43"/>
      <c r="AF52" s="43"/>
    </row>
    <row r="53" spans="1:32" s="8" customFormat="1" x14ac:dyDescent="0.2">
      <c r="C53" s="23" t="s">
        <v>31</v>
      </c>
      <c r="D53" s="8">
        <f t="shared" si="0"/>
        <v>1.5</v>
      </c>
      <c r="E53" s="1"/>
      <c r="F53" s="1"/>
      <c r="G53" s="1"/>
      <c r="H53" s="1" t="s">
        <v>76</v>
      </c>
      <c r="I53" s="2" t="s">
        <v>152</v>
      </c>
      <c r="J53" s="20">
        <f t="shared" si="1"/>
        <v>30400000</v>
      </c>
      <c r="K53" s="25">
        <v>2</v>
      </c>
      <c r="L53" s="1"/>
      <c r="M53" s="1"/>
      <c r="N53" s="21"/>
      <c r="P53" s="1"/>
      <c r="Q53" s="1"/>
      <c r="R53" s="1"/>
      <c r="S53" s="1"/>
      <c r="T53" s="1"/>
      <c r="U53" s="1"/>
      <c r="V53" s="1"/>
      <c r="W53" s="1"/>
      <c r="X53" s="1"/>
      <c r="Y53" s="1"/>
      <c r="Z53" s="1"/>
      <c r="AA53" s="1"/>
      <c r="AB53" s="1"/>
      <c r="AC53" s="1"/>
      <c r="AD53" s="43"/>
      <c r="AE53" s="43"/>
      <c r="AF53" s="43"/>
    </row>
    <row r="54" spans="1:32" s="8" customFormat="1" x14ac:dyDescent="0.2">
      <c r="C54" s="23" t="s">
        <v>85</v>
      </c>
      <c r="D54" s="8">
        <f t="shared" si="0"/>
        <v>1</v>
      </c>
      <c r="E54" s="1"/>
      <c r="F54" s="1"/>
      <c r="G54" s="1"/>
      <c r="H54" s="1" t="s">
        <v>76</v>
      </c>
      <c r="I54" s="2" t="s">
        <v>153</v>
      </c>
      <c r="J54" s="20">
        <f t="shared" si="1"/>
        <v>97250000</v>
      </c>
      <c r="K54" s="25">
        <v>3</v>
      </c>
      <c r="L54" s="1"/>
      <c r="M54" s="1"/>
      <c r="N54" s="21"/>
      <c r="P54" s="1"/>
      <c r="Q54" s="1"/>
      <c r="R54" s="1"/>
      <c r="S54" s="1"/>
      <c r="T54" s="1"/>
      <c r="U54" s="1"/>
      <c r="V54" s="1"/>
      <c r="W54" s="1"/>
      <c r="X54" s="1"/>
      <c r="Y54" s="1"/>
      <c r="Z54" s="1"/>
      <c r="AA54" s="1"/>
      <c r="AB54" s="1"/>
      <c r="AC54" s="1"/>
      <c r="AD54" s="43"/>
      <c r="AE54" s="43"/>
      <c r="AF54" s="43"/>
    </row>
    <row r="55" spans="1:32" s="8" customFormat="1" x14ac:dyDescent="0.2">
      <c r="C55" s="23" t="s">
        <v>46</v>
      </c>
      <c r="D55" s="8">
        <f t="shared" si="0"/>
        <v>1</v>
      </c>
      <c r="E55" s="1"/>
      <c r="F55" s="1"/>
      <c r="G55" s="1"/>
      <c r="H55" s="1" t="s">
        <v>76</v>
      </c>
      <c r="I55" s="2" t="s">
        <v>154</v>
      </c>
      <c r="J55" s="20">
        <f t="shared" si="1"/>
        <v>94000000</v>
      </c>
      <c r="K55" s="25">
        <v>4</v>
      </c>
      <c r="L55" s="1"/>
      <c r="M55" s="1"/>
      <c r="N55" s="21"/>
      <c r="P55" s="1"/>
      <c r="Q55" s="1"/>
      <c r="R55" s="1"/>
      <c r="S55" s="1"/>
      <c r="T55" s="1"/>
      <c r="U55" s="1"/>
      <c r="V55" s="1"/>
      <c r="W55" s="1"/>
      <c r="X55" s="1"/>
      <c r="Y55" s="1"/>
      <c r="Z55" s="1"/>
      <c r="AA55" s="1"/>
      <c r="AB55" s="1"/>
      <c r="AC55" s="1"/>
      <c r="AD55" s="43"/>
      <c r="AE55" s="43"/>
      <c r="AF55" s="43"/>
    </row>
    <row r="56" spans="1:32" x14ac:dyDescent="0.2">
      <c r="C56" s="23" t="s">
        <v>38</v>
      </c>
      <c r="D56" s="8">
        <f t="shared" si="0"/>
        <v>15</v>
      </c>
      <c r="H56" s="1" t="s">
        <v>76</v>
      </c>
      <c r="I56" s="2" t="s">
        <v>155</v>
      </c>
      <c r="J56" s="20">
        <f t="shared" si="1"/>
        <v>211500000</v>
      </c>
      <c r="K56" s="25">
        <v>5</v>
      </c>
    </row>
    <row r="57" spans="1:32" x14ac:dyDescent="0.2">
      <c r="C57" s="23"/>
      <c r="D57" s="8"/>
      <c r="H57" s="1" t="s">
        <v>76</v>
      </c>
      <c r="I57" s="8" t="s">
        <v>156</v>
      </c>
      <c r="J57" s="20">
        <f t="shared" si="1"/>
        <v>277143650</v>
      </c>
      <c r="K57" s="25">
        <v>6</v>
      </c>
    </row>
    <row r="58" spans="1:32" x14ac:dyDescent="0.2">
      <c r="L58" s="33"/>
    </row>
    <row r="59" spans="1:32" x14ac:dyDescent="0.2">
      <c r="C59" s="3" t="s">
        <v>157</v>
      </c>
      <c r="D59" s="8">
        <f>SUM(D50:D58)</f>
        <v>23</v>
      </c>
      <c r="E59" s="3" t="s">
        <v>157</v>
      </c>
      <c r="F59" s="8">
        <f>SUM(F50:F58)</f>
        <v>23</v>
      </c>
    </row>
    <row r="60" spans="1:32" s="57" customFormat="1" ht="29.25" customHeight="1" x14ac:dyDescent="0.2">
      <c r="A60" s="361" t="s">
        <v>158</v>
      </c>
      <c r="B60" s="361"/>
      <c r="C60" s="361"/>
      <c r="D60" s="361"/>
      <c r="E60" s="361"/>
      <c r="F60" s="361"/>
      <c r="G60" s="361"/>
      <c r="H60" s="362"/>
      <c r="I60" s="58" t="s">
        <v>159</v>
      </c>
      <c r="J60" s="58" t="s">
        <v>160</v>
      </c>
      <c r="N60" s="59"/>
      <c r="O60" s="7"/>
      <c r="AD60" s="60"/>
      <c r="AE60" s="60"/>
      <c r="AF60" s="60"/>
    </row>
    <row r="61" spans="1:32" x14ac:dyDescent="0.2">
      <c r="A61" s="49">
        <v>44621</v>
      </c>
      <c r="B61" s="50" t="s">
        <v>161</v>
      </c>
      <c r="C61" s="353"/>
      <c r="D61" s="353"/>
      <c r="E61" s="353"/>
      <c r="F61" s="353"/>
      <c r="G61" s="353"/>
      <c r="H61" s="353"/>
      <c r="I61" s="51"/>
      <c r="J61" s="51"/>
    </row>
    <row r="62" spans="1:32" x14ac:dyDescent="0.2">
      <c r="A62" s="49">
        <f>+A61+1</f>
        <v>44622</v>
      </c>
      <c r="B62" s="50" t="s">
        <v>162</v>
      </c>
      <c r="C62" s="353"/>
      <c r="D62" s="353"/>
      <c r="E62" s="353"/>
      <c r="F62" s="353"/>
      <c r="G62" s="353"/>
      <c r="H62" s="353"/>
      <c r="I62" s="51"/>
      <c r="J62" s="51"/>
    </row>
    <row r="63" spans="1:32" x14ac:dyDescent="0.2">
      <c r="A63" s="49">
        <f t="shared" ref="A63:A115" si="2">+A62+1</f>
        <v>44623</v>
      </c>
      <c r="B63" s="50" t="s">
        <v>163</v>
      </c>
      <c r="C63" s="353"/>
      <c r="D63" s="353"/>
      <c r="E63" s="353"/>
      <c r="F63" s="353"/>
      <c r="G63" s="353"/>
      <c r="H63" s="353"/>
      <c r="I63" s="51"/>
      <c r="J63" s="51"/>
    </row>
    <row r="64" spans="1:32" x14ac:dyDescent="0.2">
      <c r="A64" s="134">
        <f t="shared" si="2"/>
        <v>44624</v>
      </c>
      <c r="B64" s="91" t="s">
        <v>164</v>
      </c>
      <c r="C64" s="354"/>
      <c r="D64" s="354"/>
      <c r="E64" s="354"/>
      <c r="F64" s="354"/>
      <c r="G64" s="354"/>
      <c r="H64" s="354"/>
      <c r="I64" s="92"/>
      <c r="J64" s="92"/>
    </row>
    <row r="65" spans="1:10" x14ac:dyDescent="0.2">
      <c r="A65" s="126">
        <f t="shared" si="2"/>
        <v>44625</v>
      </c>
      <c r="B65" s="127" t="s">
        <v>165</v>
      </c>
      <c r="C65" s="357"/>
      <c r="D65" s="357"/>
      <c r="E65" s="357"/>
      <c r="F65" s="357"/>
      <c r="G65" s="357"/>
      <c r="H65" s="357"/>
      <c r="I65" s="128"/>
      <c r="J65" s="129"/>
    </row>
    <row r="66" spans="1:10" x14ac:dyDescent="0.2">
      <c r="A66" s="130">
        <f t="shared" si="2"/>
        <v>44626</v>
      </c>
      <c r="B66" s="131" t="s">
        <v>166</v>
      </c>
      <c r="C66" s="358"/>
      <c r="D66" s="358"/>
      <c r="E66" s="358"/>
      <c r="F66" s="358"/>
      <c r="G66" s="358"/>
      <c r="H66" s="358"/>
      <c r="I66" s="132"/>
      <c r="J66" s="133"/>
    </row>
    <row r="67" spans="1:10" x14ac:dyDescent="0.2">
      <c r="A67" s="137">
        <f t="shared" si="2"/>
        <v>44627</v>
      </c>
      <c r="B67" s="124" t="s">
        <v>167</v>
      </c>
      <c r="C67" s="363"/>
      <c r="D67" s="363"/>
      <c r="E67" s="363"/>
      <c r="F67" s="363"/>
      <c r="G67" s="363"/>
      <c r="H67" s="363"/>
      <c r="I67" s="65"/>
      <c r="J67" s="65"/>
    </row>
    <row r="68" spans="1:10" x14ac:dyDescent="0.2">
      <c r="A68" s="49">
        <f t="shared" si="2"/>
        <v>44628</v>
      </c>
      <c r="B68" s="50" t="s">
        <v>161</v>
      </c>
      <c r="C68" s="353"/>
      <c r="D68" s="353"/>
      <c r="E68" s="353"/>
      <c r="F68" s="353"/>
      <c r="G68" s="353"/>
      <c r="H68" s="353"/>
      <c r="I68" s="51"/>
      <c r="J68" s="51"/>
    </row>
    <row r="69" spans="1:10" x14ac:dyDescent="0.2">
      <c r="A69" s="49">
        <f t="shared" si="2"/>
        <v>44629</v>
      </c>
      <c r="B69" s="50" t="s">
        <v>162</v>
      </c>
      <c r="C69" s="353"/>
      <c r="D69" s="353"/>
      <c r="E69" s="353"/>
      <c r="F69" s="353"/>
      <c r="G69" s="353"/>
      <c r="H69" s="353"/>
      <c r="I69" s="51"/>
      <c r="J69" s="51"/>
    </row>
    <row r="70" spans="1:10" x14ac:dyDescent="0.2">
      <c r="A70" s="49">
        <f t="shared" si="2"/>
        <v>44630</v>
      </c>
      <c r="B70" s="50" t="s">
        <v>163</v>
      </c>
      <c r="C70" s="353"/>
      <c r="D70" s="353"/>
      <c r="E70" s="353"/>
      <c r="F70" s="353"/>
      <c r="G70" s="353"/>
      <c r="H70" s="353"/>
      <c r="I70" s="51"/>
      <c r="J70" s="51"/>
    </row>
    <row r="71" spans="1:10" x14ac:dyDescent="0.2">
      <c r="A71" s="134">
        <f t="shared" si="2"/>
        <v>44631</v>
      </c>
      <c r="B71" s="91" t="s">
        <v>164</v>
      </c>
      <c r="C71" s="354" t="s">
        <v>168</v>
      </c>
      <c r="D71" s="354"/>
      <c r="E71" s="354"/>
      <c r="F71" s="354"/>
      <c r="G71" s="354"/>
      <c r="H71" s="354"/>
      <c r="I71" s="92" t="s">
        <v>169</v>
      </c>
      <c r="J71" s="92" t="s">
        <v>170</v>
      </c>
    </row>
    <row r="72" spans="1:10" x14ac:dyDescent="0.2">
      <c r="A72" s="126">
        <f t="shared" si="2"/>
        <v>44632</v>
      </c>
      <c r="B72" s="127" t="s">
        <v>165</v>
      </c>
      <c r="C72" s="357"/>
      <c r="D72" s="357"/>
      <c r="E72" s="357"/>
      <c r="F72" s="357"/>
      <c r="G72" s="357"/>
      <c r="H72" s="357"/>
      <c r="I72" s="128"/>
      <c r="J72" s="129"/>
    </row>
    <row r="73" spans="1:10" x14ac:dyDescent="0.2">
      <c r="A73" s="130">
        <f t="shared" si="2"/>
        <v>44633</v>
      </c>
      <c r="B73" s="131" t="s">
        <v>166</v>
      </c>
      <c r="C73" s="358"/>
      <c r="D73" s="358"/>
      <c r="E73" s="358"/>
      <c r="F73" s="358"/>
      <c r="G73" s="358"/>
      <c r="H73" s="358"/>
      <c r="I73" s="132"/>
      <c r="J73" s="133"/>
    </row>
    <row r="74" spans="1:10" x14ac:dyDescent="0.2">
      <c r="A74" s="135">
        <f t="shared" si="2"/>
        <v>44634</v>
      </c>
      <c r="B74" s="124" t="s">
        <v>167</v>
      </c>
      <c r="C74" s="363" t="s">
        <v>171</v>
      </c>
      <c r="D74" s="363"/>
      <c r="E74" s="363"/>
      <c r="F74" s="363"/>
      <c r="G74" s="363"/>
      <c r="H74" s="363"/>
      <c r="I74" s="65" t="s">
        <v>172</v>
      </c>
      <c r="J74" s="136" t="s">
        <v>170</v>
      </c>
    </row>
    <row r="75" spans="1:10" x14ac:dyDescent="0.2">
      <c r="A75" s="97">
        <v>44634</v>
      </c>
      <c r="B75" s="50" t="s">
        <v>167</v>
      </c>
      <c r="C75" s="353" t="s">
        <v>173</v>
      </c>
      <c r="D75" s="353"/>
      <c r="E75" s="353"/>
      <c r="F75" s="353"/>
      <c r="G75" s="353"/>
      <c r="H75" s="353"/>
      <c r="I75" s="51" t="s">
        <v>169</v>
      </c>
      <c r="J75" s="98" t="s">
        <v>174</v>
      </c>
    </row>
    <row r="76" spans="1:10" x14ac:dyDescent="0.2">
      <c r="A76" s="97">
        <v>44634</v>
      </c>
      <c r="B76" s="50" t="s">
        <v>167</v>
      </c>
      <c r="C76" s="353" t="s">
        <v>175</v>
      </c>
      <c r="D76" s="353"/>
      <c r="E76" s="353"/>
      <c r="F76" s="353"/>
      <c r="G76" s="353"/>
      <c r="H76" s="353"/>
      <c r="I76" s="51" t="s">
        <v>169</v>
      </c>
      <c r="J76" s="98" t="s">
        <v>170</v>
      </c>
    </row>
    <row r="77" spans="1:10" x14ac:dyDescent="0.2">
      <c r="A77" s="99">
        <v>44634</v>
      </c>
      <c r="B77" s="100" t="s">
        <v>167</v>
      </c>
      <c r="C77" s="369" t="s">
        <v>168</v>
      </c>
      <c r="D77" s="369"/>
      <c r="E77" s="369"/>
      <c r="F77" s="369"/>
      <c r="G77" s="369"/>
      <c r="H77" s="369"/>
      <c r="I77" s="101" t="s">
        <v>169</v>
      </c>
      <c r="J77" s="102" t="s">
        <v>170</v>
      </c>
    </row>
    <row r="78" spans="1:10" x14ac:dyDescent="0.2">
      <c r="A78" s="93">
        <f>+A74+1</f>
        <v>44635</v>
      </c>
      <c r="B78" s="94" t="s">
        <v>161</v>
      </c>
      <c r="C78" s="359" t="s">
        <v>171</v>
      </c>
      <c r="D78" s="359"/>
      <c r="E78" s="359"/>
      <c r="F78" s="359"/>
      <c r="G78" s="359"/>
      <c r="H78" s="359"/>
      <c r="I78" s="95" t="s">
        <v>172</v>
      </c>
      <c r="J78" s="96" t="s">
        <v>170</v>
      </c>
    </row>
    <row r="79" spans="1:10" x14ac:dyDescent="0.2">
      <c r="A79" s="97">
        <v>44635</v>
      </c>
      <c r="B79" s="50" t="s">
        <v>161</v>
      </c>
      <c r="C79" s="353" t="s">
        <v>176</v>
      </c>
      <c r="D79" s="353"/>
      <c r="E79" s="353"/>
      <c r="F79" s="353"/>
      <c r="G79" s="353"/>
      <c r="H79" s="353"/>
      <c r="I79" s="51" t="s">
        <v>169</v>
      </c>
      <c r="J79" s="98" t="s">
        <v>174</v>
      </c>
    </row>
    <row r="80" spans="1:10" x14ac:dyDescent="0.2">
      <c r="A80" s="99">
        <v>44635</v>
      </c>
      <c r="B80" s="100" t="s">
        <v>161</v>
      </c>
      <c r="C80" s="369" t="s">
        <v>168</v>
      </c>
      <c r="D80" s="369"/>
      <c r="E80" s="369"/>
      <c r="F80" s="369"/>
      <c r="G80" s="369"/>
      <c r="H80" s="369"/>
      <c r="I80" s="101" t="s">
        <v>169</v>
      </c>
      <c r="J80" s="102" t="s">
        <v>170</v>
      </c>
    </row>
    <row r="81" spans="1:10" x14ac:dyDescent="0.2">
      <c r="A81" s="93">
        <f>+A78+1</f>
        <v>44636</v>
      </c>
      <c r="B81" s="94" t="s">
        <v>162</v>
      </c>
      <c r="C81" s="359" t="s">
        <v>171</v>
      </c>
      <c r="D81" s="359"/>
      <c r="E81" s="359"/>
      <c r="F81" s="359"/>
      <c r="G81" s="359"/>
      <c r="H81" s="359"/>
      <c r="I81" s="95" t="s">
        <v>172</v>
      </c>
      <c r="J81" s="96" t="s">
        <v>170</v>
      </c>
    </row>
    <row r="82" spans="1:10" x14ac:dyDescent="0.2">
      <c r="A82" s="97">
        <v>44636</v>
      </c>
      <c r="B82" s="50" t="s">
        <v>162</v>
      </c>
      <c r="C82" s="353" t="s">
        <v>177</v>
      </c>
      <c r="D82" s="353"/>
      <c r="E82" s="353"/>
      <c r="F82" s="353"/>
      <c r="G82" s="353"/>
      <c r="H82" s="353"/>
      <c r="I82" s="51" t="s">
        <v>178</v>
      </c>
      <c r="J82" s="98" t="s">
        <v>179</v>
      </c>
    </row>
    <row r="83" spans="1:10" x14ac:dyDescent="0.2">
      <c r="A83" s="97">
        <v>44636</v>
      </c>
      <c r="B83" s="50" t="s">
        <v>162</v>
      </c>
      <c r="C83" s="353" t="s">
        <v>180</v>
      </c>
      <c r="D83" s="353"/>
      <c r="E83" s="353"/>
      <c r="F83" s="353"/>
      <c r="G83" s="353"/>
      <c r="H83" s="353"/>
      <c r="I83" s="51" t="s">
        <v>181</v>
      </c>
      <c r="J83" s="98" t="s">
        <v>174</v>
      </c>
    </row>
    <row r="84" spans="1:10" x14ac:dyDescent="0.2">
      <c r="A84" s="97">
        <v>44636</v>
      </c>
      <c r="B84" s="50" t="s">
        <v>162</v>
      </c>
      <c r="C84" s="353" t="s">
        <v>182</v>
      </c>
      <c r="D84" s="353"/>
      <c r="E84" s="353"/>
      <c r="F84" s="353"/>
      <c r="G84" s="353"/>
      <c r="H84" s="353"/>
      <c r="I84" s="51" t="s">
        <v>183</v>
      </c>
      <c r="J84" s="98" t="s">
        <v>174</v>
      </c>
    </row>
    <row r="85" spans="1:10" x14ac:dyDescent="0.2">
      <c r="A85" s="97">
        <v>44636</v>
      </c>
      <c r="B85" s="50" t="s">
        <v>162</v>
      </c>
      <c r="C85" s="353" t="s">
        <v>184</v>
      </c>
      <c r="D85" s="353"/>
      <c r="E85" s="353"/>
      <c r="F85" s="353"/>
      <c r="G85" s="353"/>
      <c r="H85" s="353"/>
      <c r="I85" s="51" t="s">
        <v>181</v>
      </c>
      <c r="J85" s="98" t="s">
        <v>185</v>
      </c>
    </row>
    <row r="86" spans="1:10" x14ac:dyDescent="0.2">
      <c r="A86" s="119">
        <v>44636</v>
      </c>
      <c r="B86" s="91" t="s">
        <v>162</v>
      </c>
      <c r="C86" s="354" t="s">
        <v>168</v>
      </c>
      <c r="D86" s="354"/>
      <c r="E86" s="354"/>
      <c r="F86" s="354"/>
      <c r="G86" s="354"/>
      <c r="H86" s="354"/>
      <c r="I86" s="92" t="s">
        <v>169</v>
      </c>
      <c r="J86" s="120" t="s">
        <v>170</v>
      </c>
    </row>
    <row r="87" spans="1:10" x14ac:dyDescent="0.2">
      <c r="A87" s="109">
        <f>+A81+1</f>
        <v>44637</v>
      </c>
      <c r="B87" s="110" t="s">
        <v>163</v>
      </c>
      <c r="C87" s="355" t="s">
        <v>186</v>
      </c>
      <c r="D87" s="355"/>
      <c r="E87" s="355"/>
      <c r="F87" s="355"/>
      <c r="G87" s="355"/>
      <c r="H87" s="355"/>
      <c r="I87" s="111" t="s">
        <v>169</v>
      </c>
      <c r="J87" s="112" t="s">
        <v>187</v>
      </c>
    </row>
    <row r="88" spans="1:10" x14ac:dyDescent="0.2">
      <c r="A88" s="113">
        <f t="shared" ref="A88:A89" si="3">+A82+1</f>
        <v>44637</v>
      </c>
      <c r="B88" s="50" t="s">
        <v>163</v>
      </c>
      <c r="C88" s="353" t="s">
        <v>188</v>
      </c>
      <c r="D88" s="353"/>
      <c r="E88" s="353"/>
      <c r="F88" s="353"/>
      <c r="G88" s="353"/>
      <c r="H88" s="353"/>
      <c r="I88" s="51" t="s">
        <v>169</v>
      </c>
      <c r="J88" s="114" t="s">
        <v>170</v>
      </c>
    </row>
    <row r="89" spans="1:10" x14ac:dyDescent="0.2">
      <c r="A89" s="113">
        <f t="shared" si="3"/>
        <v>44637</v>
      </c>
      <c r="B89" s="50" t="s">
        <v>163</v>
      </c>
      <c r="C89" s="353" t="s">
        <v>171</v>
      </c>
      <c r="D89" s="353"/>
      <c r="E89" s="353"/>
      <c r="F89" s="353"/>
      <c r="G89" s="353"/>
      <c r="H89" s="353"/>
      <c r="I89" s="51" t="s">
        <v>172</v>
      </c>
      <c r="J89" s="114" t="s">
        <v>170</v>
      </c>
    </row>
    <row r="90" spans="1:10" x14ac:dyDescent="0.2">
      <c r="A90" s="121">
        <f>+A83+1</f>
        <v>44637</v>
      </c>
      <c r="B90" s="91" t="s">
        <v>163</v>
      </c>
      <c r="C90" s="354" t="s">
        <v>189</v>
      </c>
      <c r="D90" s="354"/>
      <c r="E90" s="354"/>
      <c r="F90" s="354"/>
      <c r="G90" s="354"/>
      <c r="H90" s="354"/>
      <c r="I90" s="92" t="s">
        <v>181</v>
      </c>
      <c r="J90" s="122" t="s">
        <v>185</v>
      </c>
    </row>
    <row r="91" spans="1:10" x14ac:dyDescent="0.2">
      <c r="A91" s="109">
        <v>44638</v>
      </c>
      <c r="B91" s="110" t="s">
        <v>164</v>
      </c>
      <c r="C91" s="355" t="s">
        <v>190</v>
      </c>
      <c r="D91" s="355"/>
      <c r="E91" s="355"/>
      <c r="F91" s="355"/>
      <c r="G91" s="355"/>
      <c r="H91" s="355"/>
      <c r="I91" s="111" t="s">
        <v>169</v>
      </c>
      <c r="J91" s="112" t="s">
        <v>191</v>
      </c>
    </row>
    <row r="92" spans="1:10" ht="14.5" customHeight="1" x14ac:dyDescent="0.2">
      <c r="A92" s="113">
        <v>44638</v>
      </c>
      <c r="B92" s="50" t="s">
        <v>164</v>
      </c>
      <c r="C92" s="353" t="s">
        <v>171</v>
      </c>
      <c r="D92" s="353"/>
      <c r="E92" s="353"/>
      <c r="F92" s="353"/>
      <c r="G92" s="353"/>
      <c r="H92" s="353"/>
      <c r="I92" s="51" t="s">
        <v>172</v>
      </c>
      <c r="J92" s="114" t="s">
        <v>170</v>
      </c>
    </row>
    <row r="93" spans="1:10" x14ac:dyDescent="0.2">
      <c r="A93" s="113">
        <v>44638</v>
      </c>
      <c r="B93" s="50" t="s">
        <v>164</v>
      </c>
      <c r="C93" s="353" t="s">
        <v>192</v>
      </c>
      <c r="D93" s="353"/>
      <c r="E93" s="353"/>
      <c r="F93" s="353"/>
      <c r="G93" s="353"/>
      <c r="H93" s="353"/>
      <c r="I93" s="51" t="s">
        <v>183</v>
      </c>
      <c r="J93" s="114" t="s">
        <v>174</v>
      </c>
    </row>
    <row r="94" spans="1:10" x14ac:dyDescent="0.2">
      <c r="A94" s="113">
        <f>+A87+1</f>
        <v>44638</v>
      </c>
      <c r="B94" s="50" t="s">
        <v>164</v>
      </c>
      <c r="C94" s="353" t="s">
        <v>193</v>
      </c>
      <c r="D94" s="353"/>
      <c r="E94" s="353"/>
      <c r="F94" s="353"/>
      <c r="G94" s="353"/>
      <c r="H94" s="353"/>
      <c r="I94" s="51" t="s">
        <v>172</v>
      </c>
      <c r="J94" s="114" t="s">
        <v>170</v>
      </c>
    </row>
    <row r="95" spans="1:10" x14ac:dyDescent="0.2">
      <c r="A95" s="115">
        <f t="shared" ref="A95" si="4">+A88+1</f>
        <v>44638</v>
      </c>
      <c r="B95" s="116" t="s">
        <v>164</v>
      </c>
      <c r="C95" s="352" t="s">
        <v>194</v>
      </c>
      <c r="D95" s="352"/>
      <c r="E95" s="352"/>
      <c r="F95" s="352"/>
      <c r="G95" s="352"/>
      <c r="H95" s="352"/>
      <c r="I95" s="117" t="s">
        <v>172</v>
      </c>
      <c r="J95" s="118" t="s">
        <v>170</v>
      </c>
    </row>
    <row r="96" spans="1:10" x14ac:dyDescent="0.2">
      <c r="A96" s="151">
        <f>+A94+1</f>
        <v>44639</v>
      </c>
      <c r="B96" s="152" t="s">
        <v>165</v>
      </c>
      <c r="C96" s="364"/>
      <c r="D96" s="364"/>
      <c r="E96" s="364"/>
      <c r="F96" s="364"/>
      <c r="G96" s="364"/>
      <c r="H96" s="364"/>
      <c r="I96" s="153"/>
      <c r="J96" s="154"/>
    </row>
    <row r="97" spans="1:10" x14ac:dyDescent="0.2">
      <c r="A97" s="130">
        <f t="shared" si="2"/>
        <v>44640</v>
      </c>
      <c r="B97" s="131" t="s">
        <v>166</v>
      </c>
      <c r="C97" s="358"/>
      <c r="D97" s="358"/>
      <c r="E97" s="358"/>
      <c r="F97" s="358"/>
      <c r="G97" s="358"/>
      <c r="H97" s="358"/>
      <c r="I97" s="132"/>
      <c r="J97" s="133"/>
    </row>
    <row r="98" spans="1:10" ht="14.5" customHeight="1" x14ac:dyDescent="0.2">
      <c r="A98" s="123">
        <f t="shared" si="2"/>
        <v>44641</v>
      </c>
      <c r="B98" s="124" t="s">
        <v>167</v>
      </c>
      <c r="C98" s="363" t="s">
        <v>171</v>
      </c>
      <c r="D98" s="363"/>
      <c r="E98" s="363"/>
      <c r="F98" s="363"/>
      <c r="G98" s="363"/>
      <c r="H98" s="363"/>
      <c r="I98" s="65" t="s">
        <v>172</v>
      </c>
      <c r="J98" s="125" t="s">
        <v>170</v>
      </c>
    </row>
    <row r="99" spans="1:10" ht="14.5" customHeight="1" x14ac:dyDescent="0.2">
      <c r="A99" s="113">
        <v>44641</v>
      </c>
      <c r="B99" s="50" t="s">
        <v>167</v>
      </c>
      <c r="C99" s="353" t="s">
        <v>195</v>
      </c>
      <c r="D99" s="353"/>
      <c r="E99" s="353"/>
      <c r="F99" s="353"/>
      <c r="G99" s="353"/>
      <c r="H99" s="353"/>
      <c r="I99" s="51" t="s">
        <v>172</v>
      </c>
      <c r="J99" s="114" t="s">
        <v>174</v>
      </c>
    </row>
    <row r="100" spans="1:10" ht="14.5" customHeight="1" x14ac:dyDescent="0.2">
      <c r="A100" s="109">
        <v>44642</v>
      </c>
      <c r="B100" s="110" t="s">
        <v>161</v>
      </c>
      <c r="C100" s="355" t="s">
        <v>196</v>
      </c>
      <c r="D100" s="355"/>
      <c r="E100" s="355"/>
      <c r="F100" s="355"/>
      <c r="G100" s="355"/>
      <c r="H100" s="355"/>
      <c r="I100" s="111" t="s">
        <v>169</v>
      </c>
      <c r="J100" s="112" t="s">
        <v>174</v>
      </c>
    </row>
    <row r="101" spans="1:10" ht="14.5" customHeight="1" x14ac:dyDescent="0.2">
      <c r="A101" s="113">
        <v>44642</v>
      </c>
      <c r="B101" s="50" t="s">
        <v>161</v>
      </c>
      <c r="C101" s="353" t="s">
        <v>197</v>
      </c>
      <c r="D101" s="353"/>
      <c r="E101" s="353"/>
      <c r="F101" s="353"/>
      <c r="G101" s="353"/>
      <c r="H101" s="353"/>
      <c r="I101" s="51" t="s">
        <v>169</v>
      </c>
      <c r="J101" s="114" t="s">
        <v>187</v>
      </c>
    </row>
    <row r="102" spans="1:10" ht="14.5" customHeight="1" x14ac:dyDescent="0.2">
      <c r="A102" s="113">
        <v>44642</v>
      </c>
      <c r="B102" s="50" t="s">
        <v>161</v>
      </c>
      <c r="C102" s="353" t="s">
        <v>198</v>
      </c>
      <c r="D102" s="353"/>
      <c r="E102" s="353"/>
      <c r="F102" s="353"/>
      <c r="G102" s="353"/>
      <c r="H102" s="353"/>
      <c r="I102" s="51" t="s">
        <v>172</v>
      </c>
      <c r="J102" s="114" t="s">
        <v>170</v>
      </c>
    </row>
    <row r="103" spans="1:10" ht="14.5" customHeight="1" x14ac:dyDescent="0.2">
      <c r="A103" s="121">
        <v>44642</v>
      </c>
      <c r="B103" s="91" t="s">
        <v>161</v>
      </c>
      <c r="C103" s="354" t="s">
        <v>171</v>
      </c>
      <c r="D103" s="354"/>
      <c r="E103" s="354"/>
      <c r="F103" s="354"/>
      <c r="G103" s="354"/>
      <c r="H103" s="354"/>
      <c r="I103" s="92" t="s">
        <v>172</v>
      </c>
      <c r="J103" s="122" t="s">
        <v>170</v>
      </c>
    </row>
    <row r="104" spans="1:10" ht="14.5" customHeight="1" x14ac:dyDescent="0.2">
      <c r="A104" s="109">
        <v>44643</v>
      </c>
      <c r="B104" s="110" t="s">
        <v>162</v>
      </c>
      <c r="C104" s="355" t="s">
        <v>199</v>
      </c>
      <c r="D104" s="355"/>
      <c r="E104" s="355"/>
      <c r="F104" s="355"/>
      <c r="G104" s="355"/>
      <c r="H104" s="355"/>
      <c r="I104" s="111" t="s">
        <v>169</v>
      </c>
      <c r="J104" s="112" t="s">
        <v>174</v>
      </c>
    </row>
    <row r="105" spans="1:10" ht="14.5" customHeight="1" x14ac:dyDescent="0.2">
      <c r="A105" s="113">
        <v>44643</v>
      </c>
      <c r="B105" s="50" t="s">
        <v>162</v>
      </c>
      <c r="C105" s="353" t="s">
        <v>197</v>
      </c>
      <c r="D105" s="353"/>
      <c r="E105" s="353"/>
      <c r="F105" s="353"/>
      <c r="G105" s="353"/>
      <c r="H105" s="353"/>
      <c r="I105" s="51" t="s">
        <v>169</v>
      </c>
      <c r="J105" s="114" t="s">
        <v>187</v>
      </c>
    </row>
    <row r="106" spans="1:10" ht="14.5" customHeight="1" x14ac:dyDescent="0.2">
      <c r="A106" s="121">
        <v>44643</v>
      </c>
      <c r="B106" s="91" t="s">
        <v>162</v>
      </c>
      <c r="C106" s="365" t="s">
        <v>171</v>
      </c>
      <c r="D106" s="365"/>
      <c r="E106" s="365"/>
      <c r="F106" s="365"/>
      <c r="G106" s="365"/>
      <c r="H106" s="365"/>
      <c r="I106" s="155" t="s">
        <v>172</v>
      </c>
      <c r="J106" s="156" t="s">
        <v>170</v>
      </c>
    </row>
    <row r="107" spans="1:10" ht="14.5" customHeight="1" x14ac:dyDescent="0.2">
      <c r="A107" s="109">
        <v>44644</v>
      </c>
      <c r="B107" s="110" t="s">
        <v>163</v>
      </c>
      <c r="C107" s="355" t="s">
        <v>171</v>
      </c>
      <c r="D107" s="355"/>
      <c r="E107" s="355"/>
      <c r="F107" s="355"/>
      <c r="G107" s="355"/>
      <c r="H107" s="355"/>
      <c r="I107" s="111" t="s">
        <v>172</v>
      </c>
      <c r="J107" s="112" t="s">
        <v>170</v>
      </c>
    </row>
    <row r="108" spans="1:10" ht="14.5" customHeight="1" x14ac:dyDescent="0.2">
      <c r="A108" s="113">
        <v>44644</v>
      </c>
      <c r="B108" s="50" t="s">
        <v>163</v>
      </c>
      <c r="C108" s="353" t="s">
        <v>200</v>
      </c>
      <c r="D108" s="353"/>
      <c r="E108" s="353"/>
      <c r="F108" s="353"/>
      <c r="G108" s="353"/>
      <c r="H108" s="353"/>
      <c r="I108" s="51" t="s">
        <v>183</v>
      </c>
      <c r="J108" s="114" t="s">
        <v>191</v>
      </c>
    </row>
    <row r="109" spans="1:10" ht="14.5" customHeight="1" x14ac:dyDescent="0.2">
      <c r="A109" s="115">
        <f>+A106+1</f>
        <v>44644</v>
      </c>
      <c r="B109" s="116" t="s">
        <v>163</v>
      </c>
      <c r="C109" s="352" t="s">
        <v>201</v>
      </c>
      <c r="D109" s="352"/>
      <c r="E109" s="352"/>
      <c r="F109" s="352"/>
      <c r="G109" s="352"/>
      <c r="H109" s="352"/>
      <c r="I109" s="117" t="s">
        <v>169</v>
      </c>
      <c r="J109" s="118" t="s">
        <v>191</v>
      </c>
    </row>
    <row r="110" spans="1:10" ht="14.5" customHeight="1" x14ac:dyDescent="0.2">
      <c r="A110" s="109">
        <v>44645</v>
      </c>
      <c r="B110" s="110" t="s">
        <v>164</v>
      </c>
      <c r="C110" s="355" t="s">
        <v>171</v>
      </c>
      <c r="D110" s="355"/>
      <c r="E110" s="355"/>
      <c r="F110" s="355"/>
      <c r="G110" s="355"/>
      <c r="H110" s="355"/>
      <c r="I110" s="111" t="s">
        <v>172</v>
      </c>
      <c r="J110" s="112" t="s">
        <v>170</v>
      </c>
    </row>
    <row r="111" spans="1:10" ht="14.5" customHeight="1" x14ac:dyDescent="0.2">
      <c r="A111" s="113">
        <v>44645</v>
      </c>
      <c r="B111" s="50" t="s">
        <v>164</v>
      </c>
      <c r="C111" s="353" t="s">
        <v>200</v>
      </c>
      <c r="D111" s="353"/>
      <c r="E111" s="353"/>
      <c r="F111" s="353"/>
      <c r="G111" s="353"/>
      <c r="H111" s="353"/>
      <c r="I111" s="51" t="s">
        <v>183</v>
      </c>
      <c r="J111" s="114" t="s">
        <v>191</v>
      </c>
    </row>
    <row r="112" spans="1:10" ht="14.5" customHeight="1" x14ac:dyDescent="0.2">
      <c r="A112" s="113">
        <v>44645</v>
      </c>
      <c r="B112" s="50" t="s">
        <v>164</v>
      </c>
      <c r="C112" s="374" t="s">
        <v>202</v>
      </c>
      <c r="D112" s="375"/>
      <c r="E112" s="375"/>
      <c r="F112" s="375"/>
      <c r="G112" s="375"/>
      <c r="H112" s="376"/>
      <c r="I112" s="51" t="s">
        <v>181</v>
      </c>
      <c r="J112" s="114" t="s">
        <v>191</v>
      </c>
    </row>
    <row r="113" spans="1:21" ht="14.5" customHeight="1" x14ac:dyDescent="0.2">
      <c r="A113" s="115">
        <f>+A109+1</f>
        <v>44645</v>
      </c>
      <c r="B113" s="116" t="s">
        <v>164</v>
      </c>
      <c r="C113" s="352" t="s">
        <v>201</v>
      </c>
      <c r="D113" s="352"/>
      <c r="E113" s="352"/>
      <c r="F113" s="352"/>
      <c r="G113" s="352"/>
      <c r="H113" s="352"/>
      <c r="I113" s="117" t="s">
        <v>169</v>
      </c>
      <c r="J113" s="118" t="s">
        <v>191</v>
      </c>
    </row>
    <row r="114" spans="1:21" ht="14.5" customHeight="1" x14ac:dyDescent="0.2">
      <c r="A114" s="126">
        <f t="shared" si="2"/>
        <v>44646</v>
      </c>
      <c r="B114" s="127" t="s">
        <v>165</v>
      </c>
      <c r="C114" s="357"/>
      <c r="D114" s="357"/>
      <c r="E114" s="357"/>
      <c r="F114" s="357"/>
      <c r="G114" s="357"/>
      <c r="H114" s="357"/>
      <c r="I114" s="128"/>
      <c r="J114" s="129"/>
    </row>
    <row r="115" spans="1:21" ht="14.5" customHeight="1" x14ac:dyDescent="0.2">
      <c r="A115" s="163">
        <f t="shared" si="2"/>
        <v>44647</v>
      </c>
      <c r="B115" s="164" t="s">
        <v>166</v>
      </c>
      <c r="C115" s="373"/>
      <c r="D115" s="373"/>
      <c r="E115" s="373"/>
      <c r="F115" s="373"/>
      <c r="G115" s="373"/>
      <c r="H115" s="373"/>
      <c r="I115" s="165"/>
      <c r="J115" s="166"/>
    </row>
    <row r="116" spans="1:21" ht="14.5" customHeight="1" x14ac:dyDescent="0.2">
      <c r="A116" s="109">
        <f>+A115+1</f>
        <v>44648</v>
      </c>
      <c r="B116" s="110" t="s">
        <v>167</v>
      </c>
      <c r="C116" s="355" t="s">
        <v>203</v>
      </c>
      <c r="D116" s="355"/>
      <c r="E116" s="355"/>
      <c r="F116" s="355"/>
      <c r="G116" s="355"/>
      <c r="H116" s="355"/>
      <c r="I116" s="111" t="s">
        <v>181</v>
      </c>
      <c r="J116" s="112" t="s">
        <v>174</v>
      </c>
    </row>
    <row r="117" spans="1:21" ht="14.5" customHeight="1" x14ac:dyDescent="0.2">
      <c r="A117" s="123">
        <v>44648</v>
      </c>
      <c r="B117" s="124" t="s">
        <v>167</v>
      </c>
      <c r="C117" s="353" t="s">
        <v>171</v>
      </c>
      <c r="D117" s="353"/>
      <c r="E117" s="353"/>
      <c r="F117" s="353"/>
      <c r="G117" s="353"/>
      <c r="H117" s="353"/>
      <c r="I117" s="51" t="s">
        <v>172</v>
      </c>
      <c r="J117" s="114" t="s">
        <v>170</v>
      </c>
    </row>
    <row r="118" spans="1:21" ht="14.5" customHeight="1" x14ac:dyDescent="0.2">
      <c r="A118" s="172">
        <v>44648</v>
      </c>
      <c r="B118" s="173" t="s">
        <v>167</v>
      </c>
      <c r="C118" s="365"/>
      <c r="D118" s="365"/>
      <c r="E118" s="365"/>
      <c r="F118" s="365"/>
      <c r="G118" s="365"/>
      <c r="H118" s="365"/>
      <c r="I118" s="155"/>
      <c r="J118" s="156"/>
    </row>
    <row r="119" spans="1:21" ht="14.5" customHeight="1" x14ac:dyDescent="0.2">
      <c r="A119" s="109">
        <f>+A116+1</f>
        <v>44649</v>
      </c>
      <c r="B119" s="110" t="s">
        <v>161</v>
      </c>
      <c r="C119" s="355" t="s">
        <v>204</v>
      </c>
      <c r="D119" s="355"/>
      <c r="E119" s="355"/>
      <c r="F119" s="355"/>
      <c r="G119" s="355"/>
      <c r="H119" s="355"/>
      <c r="I119" s="111" t="s">
        <v>172</v>
      </c>
      <c r="J119" s="112" t="s">
        <v>191</v>
      </c>
    </row>
    <row r="120" spans="1:21" ht="14.5" customHeight="1" x14ac:dyDescent="0.2">
      <c r="A120" s="113">
        <v>44649</v>
      </c>
      <c r="B120" s="50" t="s">
        <v>161</v>
      </c>
      <c r="C120" s="353" t="s">
        <v>171</v>
      </c>
      <c r="D120" s="353"/>
      <c r="E120" s="353"/>
      <c r="F120" s="353"/>
      <c r="G120" s="353"/>
      <c r="H120" s="353"/>
      <c r="I120" s="65" t="s">
        <v>172</v>
      </c>
      <c r="J120" s="125" t="s">
        <v>170</v>
      </c>
    </row>
    <row r="121" spans="1:21" ht="14.5" customHeight="1" x14ac:dyDescent="0.2">
      <c r="A121" s="121">
        <v>44649</v>
      </c>
      <c r="B121" s="91" t="s">
        <v>161</v>
      </c>
      <c r="C121" s="354" t="s">
        <v>201</v>
      </c>
      <c r="D121" s="354"/>
      <c r="E121" s="354"/>
      <c r="F121" s="354"/>
      <c r="G121" s="354"/>
      <c r="H121" s="354"/>
      <c r="I121" s="92" t="s">
        <v>169</v>
      </c>
      <c r="J121" s="122" t="s">
        <v>191</v>
      </c>
    </row>
    <row r="122" spans="1:21" ht="14.5" customHeight="1" x14ac:dyDescent="0.2">
      <c r="A122" s="109">
        <f>+A119+1</f>
        <v>44650</v>
      </c>
      <c r="B122" s="110" t="s">
        <v>162</v>
      </c>
      <c r="C122" s="355" t="s">
        <v>204</v>
      </c>
      <c r="D122" s="355"/>
      <c r="E122" s="355"/>
      <c r="F122" s="355"/>
      <c r="G122" s="355"/>
      <c r="H122" s="355"/>
      <c r="I122" s="111" t="s">
        <v>172</v>
      </c>
      <c r="J122" s="112" t="s">
        <v>191</v>
      </c>
    </row>
    <row r="123" spans="1:21" ht="14.5" customHeight="1" x14ac:dyDescent="0.2">
      <c r="A123" s="113">
        <v>44650</v>
      </c>
      <c r="B123" s="50" t="s">
        <v>162</v>
      </c>
      <c r="C123" s="353" t="s">
        <v>171</v>
      </c>
      <c r="D123" s="353"/>
      <c r="E123" s="353"/>
      <c r="F123" s="353"/>
      <c r="G123" s="353"/>
      <c r="H123" s="353"/>
      <c r="I123" s="65" t="s">
        <v>172</v>
      </c>
      <c r="J123" s="125" t="s">
        <v>170</v>
      </c>
    </row>
    <row r="124" spans="1:21" ht="14.5" customHeight="1" x14ac:dyDescent="0.2">
      <c r="A124" s="115">
        <v>44650</v>
      </c>
      <c r="B124" s="116" t="s">
        <v>162</v>
      </c>
      <c r="C124" s="352" t="s">
        <v>205</v>
      </c>
      <c r="D124" s="352"/>
      <c r="E124" s="352"/>
      <c r="F124" s="352"/>
      <c r="G124" s="352"/>
      <c r="H124" s="352"/>
      <c r="I124" s="117" t="s">
        <v>181</v>
      </c>
      <c r="J124" s="118" t="s">
        <v>174</v>
      </c>
    </row>
    <row r="125" spans="1:21" ht="14.5" customHeight="1" x14ac:dyDescent="0.2">
      <c r="A125" s="123">
        <v>44651</v>
      </c>
      <c r="B125" s="124" t="s">
        <v>163</v>
      </c>
      <c r="C125" s="355" t="s">
        <v>204</v>
      </c>
      <c r="D125" s="355"/>
      <c r="E125" s="355"/>
      <c r="F125" s="355"/>
      <c r="G125" s="355"/>
      <c r="H125" s="355"/>
      <c r="I125" s="111" t="s">
        <v>172</v>
      </c>
      <c r="J125" s="112" t="s">
        <v>191</v>
      </c>
    </row>
    <row r="126" spans="1:21" ht="14.5" customHeight="1" x14ac:dyDescent="0.2">
      <c r="A126" s="113">
        <v>44651</v>
      </c>
      <c r="B126" s="50" t="s">
        <v>163</v>
      </c>
      <c r="C126" s="353" t="s">
        <v>171</v>
      </c>
      <c r="D126" s="353"/>
      <c r="E126" s="353"/>
      <c r="F126" s="353"/>
      <c r="G126" s="353"/>
      <c r="H126" s="353"/>
      <c r="I126" s="65" t="s">
        <v>172</v>
      </c>
      <c r="J126" s="125" t="s">
        <v>170</v>
      </c>
    </row>
    <row r="127" spans="1:21" ht="14.5" customHeight="1" x14ac:dyDescent="0.2">
      <c r="A127" s="115">
        <f>+A122+1</f>
        <v>44651</v>
      </c>
      <c r="B127" s="116" t="s">
        <v>163</v>
      </c>
      <c r="C127" s="352" t="s">
        <v>206</v>
      </c>
      <c r="D127" s="352"/>
      <c r="E127" s="352"/>
      <c r="F127" s="352"/>
      <c r="G127" s="352"/>
      <c r="H127" s="352"/>
      <c r="I127" s="117" t="s">
        <v>169</v>
      </c>
      <c r="J127" s="118" t="s">
        <v>191</v>
      </c>
    </row>
    <row r="128" spans="1:21" x14ac:dyDescent="0.2">
      <c r="A128" s="32"/>
      <c r="I128" s="8"/>
      <c r="J128" s="8"/>
      <c r="R128" s="21"/>
      <c r="S128" s="21"/>
      <c r="T128" s="8"/>
      <c r="U128" s="8"/>
    </row>
    <row r="129" spans="1:21" x14ac:dyDescent="0.2">
      <c r="A129" s="367" t="s">
        <v>207</v>
      </c>
      <c r="B129" s="368"/>
      <c r="C129" s="368"/>
      <c r="D129" s="368"/>
      <c r="I129" s="8"/>
      <c r="J129" s="8"/>
      <c r="R129" s="21"/>
      <c r="S129" s="21"/>
      <c r="T129" s="8"/>
      <c r="U129" s="8"/>
    </row>
    <row r="130" spans="1:21" x14ac:dyDescent="0.2">
      <c r="A130" s="178"/>
      <c r="B130" s="53" t="s">
        <v>208</v>
      </c>
      <c r="C130" s="370" t="s">
        <v>209</v>
      </c>
      <c r="D130" s="370"/>
      <c r="I130" s="8"/>
      <c r="J130" s="8"/>
      <c r="R130" s="21"/>
      <c r="S130" s="21"/>
      <c r="T130" s="8"/>
      <c r="U130" s="8"/>
    </row>
    <row r="131" spans="1:21" x14ac:dyDescent="0.2">
      <c r="A131" s="52">
        <f>COUNTIF($I$61:$I$128,B131)</f>
        <v>21</v>
      </c>
      <c r="B131" s="53" t="s">
        <v>172</v>
      </c>
      <c r="C131" s="370" t="s">
        <v>210</v>
      </c>
      <c r="D131" s="370"/>
      <c r="I131" s="8"/>
      <c r="J131" s="8"/>
      <c r="R131" s="21"/>
      <c r="S131" s="21"/>
      <c r="T131" s="8"/>
      <c r="U131" s="8"/>
    </row>
    <row r="132" spans="1:21" x14ac:dyDescent="0.2">
      <c r="A132" s="52">
        <f>COUNTIF($I$61:$I$128,B132)</f>
        <v>18</v>
      </c>
      <c r="B132" s="53" t="s">
        <v>169</v>
      </c>
      <c r="C132" s="370" t="s">
        <v>211</v>
      </c>
      <c r="D132" s="370"/>
      <c r="I132" s="8"/>
      <c r="J132" s="8"/>
      <c r="R132" s="21"/>
      <c r="S132" s="21"/>
      <c r="T132" s="8"/>
      <c r="U132" s="8"/>
    </row>
    <row r="133" spans="1:21" x14ac:dyDescent="0.2">
      <c r="A133" s="52">
        <f>COUNTIF($I$61:$I$128,B133)</f>
        <v>6</v>
      </c>
      <c r="B133" s="53" t="s">
        <v>181</v>
      </c>
      <c r="C133" s="370" t="s">
        <v>212</v>
      </c>
      <c r="D133" s="370"/>
      <c r="I133" s="8"/>
      <c r="J133" s="8"/>
      <c r="R133" s="21"/>
      <c r="S133" s="21"/>
      <c r="T133" s="8"/>
      <c r="U133" s="8"/>
    </row>
    <row r="134" spans="1:21" x14ac:dyDescent="0.2">
      <c r="A134" s="52">
        <f>COUNTIF($I$61:$I$128,B134)</f>
        <v>4</v>
      </c>
      <c r="B134" s="53" t="s">
        <v>183</v>
      </c>
      <c r="C134" s="370" t="s">
        <v>213</v>
      </c>
      <c r="D134" s="370"/>
      <c r="I134" s="8"/>
      <c r="J134" s="8"/>
      <c r="R134" s="21"/>
      <c r="S134" s="21"/>
      <c r="T134" s="8"/>
      <c r="U134" s="8"/>
    </row>
    <row r="135" spans="1:21" x14ac:dyDescent="0.2">
      <c r="A135" s="178"/>
      <c r="B135" s="53" t="s">
        <v>214</v>
      </c>
      <c r="C135" s="370" t="s">
        <v>215</v>
      </c>
      <c r="D135" s="370"/>
      <c r="I135" s="8"/>
      <c r="J135" s="8"/>
      <c r="R135" s="21"/>
      <c r="S135" s="21"/>
      <c r="T135" s="8"/>
      <c r="U135" s="8"/>
    </row>
    <row r="136" spans="1:21" x14ac:dyDescent="0.2">
      <c r="A136" s="178"/>
      <c r="B136" s="53" t="s">
        <v>216</v>
      </c>
      <c r="C136" s="370" t="s">
        <v>217</v>
      </c>
      <c r="D136" s="370"/>
      <c r="I136" s="8"/>
      <c r="J136" s="8"/>
      <c r="R136" s="21"/>
      <c r="S136" s="21"/>
      <c r="T136" s="8"/>
      <c r="U136" s="8"/>
    </row>
    <row r="137" spans="1:21" x14ac:dyDescent="0.2">
      <c r="A137" s="178"/>
      <c r="B137" s="53" t="s">
        <v>218</v>
      </c>
      <c r="C137" s="371" t="s">
        <v>219</v>
      </c>
      <c r="D137" s="372"/>
      <c r="I137" s="8"/>
      <c r="J137" s="8"/>
      <c r="R137" s="21"/>
      <c r="S137" s="21"/>
      <c r="T137" s="8"/>
      <c r="U137" s="8"/>
    </row>
    <row r="138" spans="1:21" x14ac:dyDescent="0.2">
      <c r="A138" s="178"/>
      <c r="B138" s="53" t="s">
        <v>220</v>
      </c>
      <c r="C138" s="370" t="s">
        <v>221</v>
      </c>
      <c r="D138" s="370"/>
      <c r="I138" s="8"/>
      <c r="J138" s="8"/>
    </row>
    <row r="139" spans="1:21" x14ac:dyDescent="0.2">
      <c r="A139" s="52">
        <f>COUNTIF($I$61:$I$128,B139)</f>
        <v>1</v>
      </c>
      <c r="B139" s="53" t="s">
        <v>178</v>
      </c>
      <c r="C139" s="370" t="s">
        <v>222</v>
      </c>
      <c r="D139" s="370"/>
      <c r="I139" s="8"/>
      <c r="J139" s="8"/>
    </row>
    <row r="140" spans="1:21" x14ac:dyDescent="0.2">
      <c r="A140" s="178"/>
      <c r="B140" s="53" t="s">
        <v>223</v>
      </c>
      <c r="C140" s="370" t="s">
        <v>224</v>
      </c>
      <c r="D140" s="370"/>
      <c r="I140" s="8"/>
      <c r="J140" s="8"/>
    </row>
    <row r="141" spans="1:21" x14ac:dyDescent="0.2">
      <c r="A141" s="54"/>
      <c r="B141" s="55"/>
      <c r="C141" s="56"/>
      <c r="D141" s="56"/>
      <c r="I141" s="8"/>
      <c r="J141" s="8"/>
    </row>
    <row r="142" spans="1:21" x14ac:dyDescent="0.2">
      <c r="A142" s="54"/>
      <c r="B142" s="55"/>
      <c r="C142" s="56"/>
      <c r="D142" s="56"/>
      <c r="I142" s="8"/>
      <c r="J142" s="8"/>
    </row>
    <row r="143" spans="1:21" x14ac:dyDescent="0.2">
      <c r="A143" s="54"/>
      <c r="B143" s="55"/>
      <c r="C143" s="56"/>
      <c r="D143" s="56"/>
      <c r="I143" s="8"/>
      <c r="J143" s="8"/>
    </row>
    <row r="144" spans="1:21" x14ac:dyDescent="0.2">
      <c r="A144" s="54"/>
      <c r="B144" s="55"/>
      <c r="C144" s="56"/>
      <c r="D144" s="56"/>
      <c r="I144" s="8"/>
      <c r="J144" s="8"/>
    </row>
    <row r="145" spans="1:10" x14ac:dyDescent="0.2">
      <c r="A145" s="32"/>
      <c r="I145" s="8"/>
      <c r="J145" s="8"/>
    </row>
    <row r="146" spans="1:10" x14ac:dyDescent="0.2">
      <c r="A146" s="367" t="s">
        <v>225</v>
      </c>
      <c r="B146" s="368"/>
      <c r="C146" s="368"/>
      <c r="D146" s="368"/>
      <c r="I146" s="8"/>
      <c r="J146" s="8"/>
    </row>
    <row r="147" spans="1:10" x14ac:dyDescent="0.2">
      <c r="A147" s="52">
        <f>COUNTIF($J$61:$J$128,B147)</f>
        <v>23</v>
      </c>
      <c r="B147" s="52" t="s">
        <v>170</v>
      </c>
      <c r="C147" s="356" t="s">
        <v>226</v>
      </c>
      <c r="D147" s="356"/>
      <c r="I147" s="8"/>
      <c r="J147" s="8"/>
    </row>
    <row r="148" spans="1:10" x14ac:dyDescent="0.2">
      <c r="A148" s="52">
        <f>COUNTIF($J$61:$J$128,B148)</f>
        <v>11</v>
      </c>
      <c r="B148" s="52" t="s">
        <v>191</v>
      </c>
      <c r="C148" s="356" t="s">
        <v>227</v>
      </c>
      <c r="D148" s="356"/>
      <c r="I148" s="8"/>
      <c r="J148" s="8"/>
    </row>
    <row r="149" spans="1:10" x14ac:dyDescent="0.2">
      <c r="A149" s="52">
        <f>COUNTIF($J$61:$J$128,B149)</f>
        <v>1</v>
      </c>
      <c r="B149" s="52" t="s">
        <v>179</v>
      </c>
      <c r="C149" s="356" t="s">
        <v>228</v>
      </c>
      <c r="D149" s="356"/>
      <c r="I149" s="8"/>
      <c r="J149" s="8"/>
    </row>
    <row r="150" spans="1:10" x14ac:dyDescent="0.2">
      <c r="A150" s="178"/>
      <c r="B150" s="52" t="s">
        <v>229</v>
      </c>
      <c r="C150" s="356" t="s">
        <v>230</v>
      </c>
      <c r="D150" s="356"/>
      <c r="I150" s="8"/>
      <c r="J150" s="8"/>
    </row>
    <row r="151" spans="1:10" x14ac:dyDescent="0.2">
      <c r="A151" s="52">
        <f>COUNTIF($J$61:$J$128,B151)</f>
        <v>10</v>
      </c>
      <c r="B151" s="52" t="s">
        <v>174</v>
      </c>
      <c r="C151" s="356" t="s">
        <v>231</v>
      </c>
      <c r="D151" s="356"/>
      <c r="I151" s="8"/>
      <c r="J151" s="8"/>
    </row>
    <row r="152" spans="1:10" x14ac:dyDescent="0.2">
      <c r="A152" s="178"/>
      <c r="B152" s="52" t="s">
        <v>232</v>
      </c>
      <c r="C152" s="356" t="s">
        <v>233</v>
      </c>
      <c r="D152" s="356"/>
      <c r="I152" s="8"/>
      <c r="J152" s="8"/>
    </row>
    <row r="153" spans="1:10" x14ac:dyDescent="0.2">
      <c r="A153" s="52">
        <f>COUNTIF($J$61:$J$128,B153)</f>
        <v>3</v>
      </c>
      <c r="B153" s="52" t="s">
        <v>187</v>
      </c>
      <c r="C153" s="356" t="s">
        <v>234</v>
      </c>
      <c r="D153" s="356"/>
      <c r="I153" s="8"/>
      <c r="J153" s="8"/>
    </row>
    <row r="154" spans="1:10" x14ac:dyDescent="0.2">
      <c r="A154" s="178"/>
      <c r="B154" s="52" t="s">
        <v>235</v>
      </c>
      <c r="C154" s="356" t="s">
        <v>236</v>
      </c>
      <c r="D154" s="356"/>
      <c r="I154" s="8"/>
      <c r="J154" s="8"/>
    </row>
    <row r="155" spans="1:10" x14ac:dyDescent="0.2">
      <c r="A155" s="52">
        <f>COUNTIF($J$61:$J$128,B155)</f>
        <v>2</v>
      </c>
      <c r="B155" s="52" t="s">
        <v>185</v>
      </c>
      <c r="C155" s="356" t="s">
        <v>237</v>
      </c>
      <c r="D155" s="356"/>
      <c r="I155" s="8"/>
      <c r="J155" s="8"/>
    </row>
    <row r="156" spans="1:10" x14ac:dyDescent="0.2">
      <c r="A156" s="178"/>
      <c r="B156" s="52" t="s">
        <v>238</v>
      </c>
      <c r="C156" s="356" t="s">
        <v>239</v>
      </c>
      <c r="D156" s="356"/>
      <c r="I156" s="8"/>
      <c r="J156" s="8"/>
    </row>
    <row r="157" spans="1:10" x14ac:dyDescent="0.2">
      <c r="A157" s="178"/>
      <c r="B157" s="52" t="s">
        <v>240</v>
      </c>
      <c r="C157" s="356" t="s">
        <v>241</v>
      </c>
      <c r="D157" s="356"/>
      <c r="I157" s="8"/>
      <c r="J157" s="8"/>
    </row>
    <row r="158" spans="1:10" x14ac:dyDescent="0.2">
      <c r="A158" s="178"/>
      <c r="B158" s="52" t="s">
        <v>242</v>
      </c>
      <c r="C158" s="356" t="s">
        <v>243</v>
      </c>
      <c r="D158" s="356"/>
      <c r="I158" s="8"/>
      <c r="J158" s="8"/>
    </row>
    <row r="159" spans="1:10" x14ac:dyDescent="0.2">
      <c r="A159" s="178"/>
      <c r="B159" s="52" t="s">
        <v>244</v>
      </c>
      <c r="C159" s="356" t="s">
        <v>245</v>
      </c>
      <c r="D159" s="356"/>
      <c r="I159" s="8"/>
      <c r="J159" s="8"/>
    </row>
    <row r="160" spans="1:10" x14ac:dyDescent="0.2">
      <c r="A160" s="32"/>
      <c r="I160" s="8"/>
      <c r="J160" s="8"/>
    </row>
    <row r="161" spans="1:14" x14ac:dyDescent="0.2">
      <c r="A161" s="32"/>
      <c r="I161" s="8"/>
      <c r="J161" s="8"/>
    </row>
    <row r="162" spans="1:14" x14ac:dyDescent="0.2">
      <c r="A162" s="32"/>
      <c r="I162" s="8"/>
      <c r="J162" s="8"/>
    </row>
    <row r="163" spans="1:14" x14ac:dyDescent="0.2">
      <c r="A163" s="32"/>
      <c r="I163" s="8"/>
      <c r="J163" s="8"/>
    </row>
    <row r="164" spans="1:14" x14ac:dyDescent="0.2">
      <c r="A164" s="32"/>
      <c r="I164" s="8"/>
      <c r="J164" s="8"/>
    </row>
    <row r="165" spans="1:14" ht="16" thickBot="1" x14ac:dyDescent="0.25">
      <c r="A165" s="32"/>
      <c r="I165" s="8"/>
      <c r="J165" s="8"/>
    </row>
    <row r="166" spans="1:14" ht="20" thickBot="1" x14ac:dyDescent="0.25">
      <c r="C166" s="349" t="s">
        <v>86</v>
      </c>
      <c r="D166" s="350"/>
      <c r="E166" s="350"/>
      <c r="F166" s="350"/>
      <c r="G166" s="351"/>
      <c r="H166"/>
      <c r="I166"/>
      <c r="J166"/>
      <c r="K166"/>
      <c r="L166"/>
      <c r="M166"/>
      <c r="N166"/>
    </row>
    <row r="167" spans="1:14" ht="33" customHeight="1" thickBot="1" x14ac:dyDescent="0.25">
      <c r="C167" s="68" t="s">
        <v>87</v>
      </c>
      <c r="D167" s="64" t="s">
        <v>88</v>
      </c>
      <c r="E167" s="64" t="s">
        <v>89</v>
      </c>
      <c r="F167" s="64" t="s">
        <v>90</v>
      </c>
      <c r="G167" s="66" t="s">
        <v>91</v>
      </c>
      <c r="H167"/>
      <c r="I167"/>
      <c r="J167"/>
      <c r="K167"/>
      <c r="L167"/>
      <c r="M167"/>
      <c r="N167"/>
    </row>
    <row r="168" spans="1:14" x14ac:dyDescent="0.2">
      <c r="C168" s="65">
        <v>272</v>
      </c>
      <c r="D168" s="65">
        <v>652</v>
      </c>
      <c r="E168" s="65">
        <v>135</v>
      </c>
      <c r="F168" s="65">
        <v>0</v>
      </c>
      <c r="G168" s="67">
        <f>SUM(B168:F168)</f>
        <v>1059</v>
      </c>
      <c r="H168"/>
      <c r="I168"/>
      <c r="J168"/>
      <c r="K168"/>
      <c r="L168"/>
      <c r="M168"/>
      <c r="N168"/>
    </row>
    <row r="169" spans="1:14" x14ac:dyDescent="0.2">
      <c r="A169" s="32"/>
      <c r="G169"/>
      <c r="H169"/>
      <c r="I169"/>
      <c r="J169"/>
      <c r="K169"/>
      <c r="L169"/>
      <c r="M169"/>
      <c r="N169"/>
    </row>
    <row r="170" spans="1:14" x14ac:dyDescent="0.2">
      <c r="A170" s="32"/>
      <c r="I170" s="8"/>
      <c r="J170" s="8"/>
    </row>
    <row r="171" spans="1:14" x14ac:dyDescent="0.2">
      <c r="A171" s="32"/>
      <c r="I171" s="8"/>
      <c r="J171" s="8"/>
    </row>
    <row r="172" spans="1:14" x14ac:dyDescent="0.2">
      <c r="A172" s="32"/>
      <c r="I172" s="8"/>
      <c r="J172" s="8"/>
    </row>
    <row r="173" spans="1:14" x14ac:dyDescent="0.2">
      <c r="A173" s="32"/>
      <c r="I173" s="8"/>
      <c r="J173" s="8"/>
    </row>
    <row r="174" spans="1:14" x14ac:dyDescent="0.2">
      <c r="A174" s="32"/>
      <c r="I174" s="8"/>
      <c r="J174" s="8"/>
    </row>
    <row r="175" spans="1:14" x14ac:dyDescent="0.2">
      <c r="A175" s="32"/>
      <c r="I175" s="8"/>
      <c r="J175" s="8"/>
    </row>
    <row r="176" spans="1:14"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c r="I223" s="8"/>
      <c r="J223" s="8"/>
    </row>
    <row r="224" spans="1:10" x14ac:dyDescent="0.2">
      <c r="A224" s="32"/>
      <c r="I224" s="8"/>
      <c r="J224" s="8"/>
    </row>
    <row r="225" spans="1:10" x14ac:dyDescent="0.2">
      <c r="A225" s="32"/>
      <c r="I225" s="8"/>
      <c r="J225" s="8"/>
    </row>
    <row r="226" spans="1:10" x14ac:dyDescent="0.2">
      <c r="A226" s="32"/>
      <c r="I226" s="8"/>
      <c r="J226" s="8"/>
    </row>
    <row r="227" spans="1:10" x14ac:dyDescent="0.2">
      <c r="A227" s="32"/>
      <c r="I227" s="8"/>
      <c r="J227" s="8"/>
    </row>
    <row r="228" spans="1:10" x14ac:dyDescent="0.2">
      <c r="A228" s="32"/>
      <c r="I228" s="8"/>
      <c r="J228" s="8"/>
    </row>
    <row r="229" spans="1:10" x14ac:dyDescent="0.2">
      <c r="A229" s="32"/>
      <c r="I229" s="8"/>
      <c r="J229" s="8"/>
    </row>
    <row r="230" spans="1:10" x14ac:dyDescent="0.2">
      <c r="A230" s="32"/>
      <c r="I230" s="8"/>
      <c r="J230" s="8"/>
    </row>
    <row r="231" spans="1:10" x14ac:dyDescent="0.2">
      <c r="A231" s="32"/>
      <c r="I231" s="8"/>
      <c r="J231" s="8"/>
    </row>
    <row r="232" spans="1:10" x14ac:dyDescent="0.2">
      <c r="A232" s="32"/>
      <c r="I232" s="8"/>
      <c r="J232" s="8"/>
    </row>
    <row r="233" spans="1:10" x14ac:dyDescent="0.2">
      <c r="A233" s="32"/>
      <c r="I233" s="8"/>
      <c r="J233" s="8"/>
    </row>
    <row r="234" spans="1:10" x14ac:dyDescent="0.2">
      <c r="A234" s="32"/>
      <c r="I234" s="8"/>
      <c r="J234" s="8"/>
    </row>
    <row r="235" spans="1:10" x14ac:dyDescent="0.2">
      <c r="A235" s="32"/>
      <c r="I235" s="8"/>
      <c r="J235" s="8"/>
    </row>
    <row r="236" spans="1:10" x14ac:dyDescent="0.2">
      <c r="A236" s="32"/>
      <c r="I236" s="8"/>
      <c r="J236" s="8"/>
    </row>
    <row r="237" spans="1:10" x14ac:dyDescent="0.2">
      <c r="A237" s="32"/>
      <c r="I237" s="8"/>
      <c r="J237" s="8"/>
    </row>
    <row r="238" spans="1:10" x14ac:dyDescent="0.2">
      <c r="A238" s="32"/>
      <c r="I238" s="8"/>
      <c r="J238" s="8"/>
    </row>
    <row r="239" spans="1:10" x14ac:dyDescent="0.2">
      <c r="A239" s="32"/>
      <c r="I239" s="8"/>
      <c r="J239" s="8"/>
    </row>
    <row r="240" spans="1:10" x14ac:dyDescent="0.2">
      <c r="A240" s="32"/>
      <c r="I240" s="8"/>
      <c r="J240" s="8"/>
    </row>
    <row r="241" spans="1:10" x14ac:dyDescent="0.2">
      <c r="A241" s="32"/>
      <c r="I241" s="8"/>
      <c r="J241" s="8"/>
    </row>
    <row r="242" spans="1:10" x14ac:dyDescent="0.2">
      <c r="A242" s="32"/>
      <c r="I242" s="8"/>
      <c r="J242" s="8"/>
    </row>
    <row r="243" spans="1:10" x14ac:dyDescent="0.2">
      <c r="A243" s="32"/>
      <c r="I243" s="8"/>
      <c r="J243" s="8"/>
    </row>
    <row r="244" spans="1:10" x14ac:dyDescent="0.2">
      <c r="A244" s="32"/>
    </row>
    <row r="245" spans="1:10" x14ac:dyDescent="0.2">
      <c r="A245" s="32"/>
    </row>
    <row r="246" spans="1:10" x14ac:dyDescent="0.2">
      <c r="A246" s="32"/>
    </row>
    <row r="247" spans="1:10" x14ac:dyDescent="0.2">
      <c r="A247" s="32"/>
    </row>
    <row r="248" spans="1:10" x14ac:dyDescent="0.2">
      <c r="A248" s="32"/>
    </row>
    <row r="249" spans="1:10" x14ac:dyDescent="0.2">
      <c r="A249" s="32"/>
    </row>
    <row r="250" spans="1:10" x14ac:dyDescent="0.2">
      <c r="A250" s="32"/>
    </row>
    <row r="251" spans="1:10" x14ac:dyDescent="0.2">
      <c r="A251" s="32"/>
    </row>
    <row r="252" spans="1:10" x14ac:dyDescent="0.2">
      <c r="A252" s="32"/>
    </row>
    <row r="253" spans="1:10" x14ac:dyDescent="0.2">
      <c r="A253" s="32"/>
    </row>
    <row r="254" spans="1:10" x14ac:dyDescent="0.2">
      <c r="A254" s="32"/>
    </row>
    <row r="255" spans="1:10" x14ac:dyDescent="0.2">
      <c r="A255" s="32"/>
    </row>
    <row r="256" spans="1:10" x14ac:dyDescent="0.2">
      <c r="A256" s="32"/>
    </row>
    <row r="257" spans="1:1" x14ac:dyDescent="0.2">
      <c r="A257" s="32"/>
    </row>
    <row r="258" spans="1:1" x14ac:dyDescent="0.2">
      <c r="A258" s="32"/>
    </row>
    <row r="259" spans="1:1" x14ac:dyDescent="0.2">
      <c r="A259" s="32"/>
    </row>
    <row r="260" spans="1:1" x14ac:dyDescent="0.2">
      <c r="A260" s="32"/>
    </row>
    <row r="261" spans="1:1" x14ac:dyDescent="0.2">
      <c r="A261" s="32"/>
    </row>
    <row r="262" spans="1:1" x14ac:dyDescent="0.2">
      <c r="A262" s="32"/>
    </row>
    <row r="263" spans="1:1" x14ac:dyDescent="0.2">
      <c r="A263" s="32"/>
    </row>
    <row r="264" spans="1:1" x14ac:dyDescent="0.2">
      <c r="A264" s="32"/>
    </row>
    <row r="265" spans="1:1" x14ac:dyDescent="0.2">
      <c r="A265" s="32"/>
    </row>
    <row r="266" spans="1:1" x14ac:dyDescent="0.2">
      <c r="A266" s="32"/>
    </row>
    <row r="267" spans="1:1" x14ac:dyDescent="0.2">
      <c r="A267" s="32"/>
    </row>
    <row r="268" spans="1:1" x14ac:dyDescent="0.2">
      <c r="A268" s="32"/>
    </row>
    <row r="269" spans="1:1" x14ac:dyDescent="0.2">
      <c r="A269" s="32"/>
    </row>
  </sheetData>
  <autoFilter ref="A1:BE1" xr:uid="{00000000-0001-0000-0800-000000000000}"/>
  <mergeCells count="98">
    <mergeCell ref="C107:H107"/>
    <mergeCell ref="C108:H108"/>
    <mergeCell ref="C137:D137"/>
    <mergeCell ref="C134:D134"/>
    <mergeCell ref="C116:H116"/>
    <mergeCell ref="C119:H119"/>
    <mergeCell ref="C132:D132"/>
    <mergeCell ref="C133:D133"/>
    <mergeCell ref="C113:H113"/>
    <mergeCell ref="C114:H114"/>
    <mergeCell ref="C115:H115"/>
    <mergeCell ref="C110:H110"/>
    <mergeCell ref="C111:H111"/>
    <mergeCell ref="C112:H112"/>
    <mergeCell ref="C117:H117"/>
    <mergeCell ref="C118:H118"/>
    <mergeCell ref="C166:G166"/>
    <mergeCell ref="C122:H122"/>
    <mergeCell ref="C127:H127"/>
    <mergeCell ref="C130:D130"/>
    <mergeCell ref="C131:D131"/>
    <mergeCell ref="C154:D154"/>
    <mergeCell ref="C155:D155"/>
    <mergeCell ref="C156:D156"/>
    <mergeCell ref="C138:D138"/>
    <mergeCell ref="C140:D140"/>
    <mergeCell ref="C135:D135"/>
    <mergeCell ref="C136:D136"/>
    <mergeCell ref="A129:D129"/>
    <mergeCell ref="C147:D147"/>
    <mergeCell ref="C159:D159"/>
    <mergeCell ref="C149:D149"/>
    <mergeCell ref="C148:D148"/>
    <mergeCell ref="A146:D146"/>
    <mergeCell ref="C68:H68"/>
    <mergeCell ref="C69:H69"/>
    <mergeCell ref="C70:H70"/>
    <mergeCell ref="C71:H71"/>
    <mergeCell ref="C74:H74"/>
    <mergeCell ref="C78:H78"/>
    <mergeCell ref="C77:H77"/>
    <mergeCell ref="C80:H80"/>
    <mergeCell ref="C76:H76"/>
    <mergeCell ref="C82:H82"/>
    <mergeCell ref="C83:H83"/>
    <mergeCell ref="C85:H85"/>
    <mergeCell ref="C139:D139"/>
    <mergeCell ref="C109:H109"/>
    <mergeCell ref="C67:H67"/>
    <mergeCell ref="C49:D49"/>
    <mergeCell ref="H51:I51"/>
    <mergeCell ref="C64:H64"/>
    <mergeCell ref="C65:H65"/>
    <mergeCell ref="C66:H66"/>
    <mergeCell ref="C105:H105"/>
    <mergeCell ref="C106:H106"/>
    <mergeCell ref="C103:H103"/>
    <mergeCell ref="C93:H93"/>
    <mergeCell ref="C100:H100"/>
    <mergeCell ref="C104:H104"/>
    <mergeCell ref="C95:H95"/>
    <mergeCell ref="C101:H101"/>
    <mergeCell ref="C102:H102"/>
    <mergeCell ref="C94:H94"/>
    <mergeCell ref="C89:H89"/>
    <mergeCell ref="C98:H98"/>
    <mergeCell ref="C92:H92"/>
    <mergeCell ref="C91:H91"/>
    <mergeCell ref="C96:H96"/>
    <mergeCell ref="C97:H97"/>
    <mergeCell ref="C90:H90"/>
    <mergeCell ref="M50:O50"/>
    <mergeCell ref="C61:H61"/>
    <mergeCell ref="C62:H62"/>
    <mergeCell ref="C63:H63"/>
    <mergeCell ref="A60:H60"/>
    <mergeCell ref="C158:D158"/>
    <mergeCell ref="C72:H72"/>
    <mergeCell ref="C73:H73"/>
    <mergeCell ref="C75:H75"/>
    <mergeCell ref="C79:H79"/>
    <mergeCell ref="C88:H88"/>
    <mergeCell ref="C84:H84"/>
    <mergeCell ref="C81:H81"/>
    <mergeCell ref="C87:H87"/>
    <mergeCell ref="C150:D150"/>
    <mergeCell ref="C151:D151"/>
    <mergeCell ref="C152:D152"/>
    <mergeCell ref="C153:D153"/>
    <mergeCell ref="C157:D157"/>
    <mergeCell ref="C86:H86"/>
    <mergeCell ref="C99:H99"/>
    <mergeCell ref="C124:H124"/>
    <mergeCell ref="C126:H126"/>
    <mergeCell ref="C120:H120"/>
    <mergeCell ref="C121:H121"/>
    <mergeCell ref="C125:H125"/>
    <mergeCell ref="C123:H123"/>
  </mergeCells>
  <dataValidations count="2">
    <dataValidation type="list" allowBlank="1" showInputMessage="1" showErrorMessage="1" sqref="J61:J127" xr:uid="{D7023E4D-7DF8-4CFF-8EBA-84A2705FF555}">
      <formula1>$B$146:$B$159</formula1>
    </dataValidation>
    <dataValidation type="list" allowBlank="1" showInputMessage="1" showErrorMessage="1" sqref="I61:I127" xr:uid="{024BB2A7-0B45-41CE-A49C-B0998D4301E8}">
      <formula1>$B$130:$B$140</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DD630-A3C3-4B8F-9C46-F9A60F7AAB97}">
  <sheetPr codeName="Hoja6">
    <tabColor rgb="FFFF0000"/>
    <pageSetUpPr fitToPage="1"/>
  </sheetPr>
  <dimension ref="A1:BE265"/>
  <sheetViews>
    <sheetView zoomScale="85" zoomScaleNormal="85" workbookViewId="0">
      <pane xSplit="11" ySplit="1" topLeftCell="L44"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1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4.83203125" style="1" bestFit="1" customWidth="1"/>
    <col min="17" max="17" width="4.6640625" style="1" customWidth="1"/>
    <col min="18" max="18" width="15.33203125" style="1" customWidth="1"/>
    <col min="19" max="19" width="4.6640625" style="1" customWidth="1"/>
    <col min="20" max="20" width="14.83203125" style="1" bestFit="1" customWidth="1"/>
    <col min="21" max="21" width="4.6640625" style="1" customWidth="1"/>
    <col min="22" max="22" width="14.83203125" style="1" bestFit="1" customWidth="1"/>
    <col min="23" max="23" width="4.6640625" style="1" customWidth="1"/>
    <col min="24" max="24" width="13.5" style="1" customWidth="1"/>
    <col min="25" max="25" width="4.6640625" style="1" customWidth="1"/>
    <col min="26" max="26" width="13.5" style="1" customWidth="1"/>
    <col min="27" max="27" width="4.6640625" style="1" customWidth="1"/>
    <col min="28" max="28" width="13.5" style="1" customWidth="1"/>
    <col min="29" max="29" width="4.6640625" style="1" customWidth="1"/>
    <col min="30" max="30" width="27.83203125" style="1" customWidth="1"/>
    <col min="31" max="31" width="13.33203125" style="1" customWidth="1"/>
    <col min="32" max="32" width="13.1640625" style="1" bestFit="1" customWidth="1"/>
    <col min="33" max="33" width="11.5" style="8"/>
    <col min="34" max="34" width="11.5" style="1"/>
    <col min="35" max="35" width="14.83203125" style="8" bestFit="1" customWidth="1"/>
    <col min="36" max="39" width="11.5" style="1"/>
    <col min="40" max="40" width="11.5" style="141"/>
    <col min="41" max="43" width="11.5" style="8"/>
    <col min="44" max="44" width="15.5" style="8" bestFit="1" customWidth="1"/>
    <col min="45" max="49" width="11.5" style="8"/>
    <col min="50" max="50" width="18.6640625" style="8" bestFit="1" customWidth="1"/>
    <col min="51" max="51" width="11.5" style="8"/>
    <col min="52" max="52" width="19.5" style="8" bestFit="1" customWidth="1"/>
    <col min="53" max="55" width="11.5" style="8"/>
    <col min="56" max="56" width="21.5" style="8" bestFit="1" customWidth="1"/>
    <col min="57" max="16384" width="11.5" style="1"/>
  </cols>
  <sheetData>
    <row r="1" spans="1:57" s="8" customFormat="1"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44" t="s">
        <v>15</v>
      </c>
      <c r="Q1" s="44" t="s">
        <v>119</v>
      </c>
      <c r="R1" s="44" t="s">
        <v>16</v>
      </c>
      <c r="S1" s="44" t="s">
        <v>119</v>
      </c>
      <c r="T1" s="44" t="s">
        <v>17</v>
      </c>
      <c r="U1" s="44" t="s">
        <v>119</v>
      </c>
      <c r="V1" s="44" t="s">
        <v>18</v>
      </c>
      <c r="W1" s="44" t="s">
        <v>119</v>
      </c>
      <c r="X1" s="44" t="s">
        <v>19</v>
      </c>
      <c r="Y1" s="44" t="s">
        <v>119</v>
      </c>
      <c r="Z1" s="44" t="s">
        <v>20</v>
      </c>
      <c r="AA1" s="44" t="s">
        <v>119</v>
      </c>
      <c r="AB1" s="44" t="s">
        <v>21</v>
      </c>
      <c r="AC1" s="138" t="s">
        <v>119</v>
      </c>
      <c r="AD1" s="150" t="s">
        <v>120</v>
      </c>
      <c r="AE1" s="150" t="s">
        <v>246</v>
      </c>
      <c r="AF1" s="150" t="s">
        <v>121</v>
      </c>
      <c r="AG1" s="150" t="s">
        <v>246</v>
      </c>
      <c r="AH1" s="150" t="s">
        <v>122</v>
      </c>
      <c r="AI1" s="150" t="s">
        <v>246</v>
      </c>
      <c r="AJ1" s="150" t="s">
        <v>123</v>
      </c>
      <c r="AK1" s="150" t="s">
        <v>124</v>
      </c>
      <c r="AL1" s="150" t="s">
        <v>125</v>
      </c>
      <c r="AM1" s="150" t="s">
        <v>126</v>
      </c>
      <c r="AN1" s="143" t="s">
        <v>247</v>
      </c>
      <c r="AO1" s="139" t="s">
        <v>248</v>
      </c>
      <c r="AP1" s="139" t="s">
        <v>249</v>
      </c>
      <c r="AQ1" s="139" t="s">
        <v>248</v>
      </c>
      <c r="AR1" s="139" t="s">
        <v>250</v>
      </c>
      <c r="AS1" s="139" t="s">
        <v>248</v>
      </c>
      <c r="AT1" s="139" t="s">
        <v>251</v>
      </c>
      <c r="AU1" s="139" t="s">
        <v>248</v>
      </c>
      <c r="AV1" s="139" t="s">
        <v>252</v>
      </c>
      <c r="AW1" s="139" t="s">
        <v>248</v>
      </c>
      <c r="AX1" s="139" t="s">
        <v>253</v>
      </c>
      <c r="AY1" s="139" t="s">
        <v>248</v>
      </c>
      <c r="AZ1" s="139" t="s">
        <v>254</v>
      </c>
      <c r="BA1" s="139" t="s">
        <v>246</v>
      </c>
      <c r="BB1" s="139" t="s">
        <v>255</v>
      </c>
      <c r="BC1" s="139" t="s">
        <v>256</v>
      </c>
      <c r="BD1" s="139" t="s">
        <v>257</v>
      </c>
    </row>
    <row r="2" spans="1:57" s="48" customFormat="1" x14ac:dyDescent="0.15">
      <c r="A2" s="206" t="s">
        <v>127</v>
      </c>
      <c r="B2" s="206">
        <v>1191</v>
      </c>
      <c r="C2" s="206" t="s">
        <v>22</v>
      </c>
      <c r="D2" s="206" t="s">
        <v>37</v>
      </c>
      <c r="E2" s="206" t="s">
        <v>38</v>
      </c>
      <c r="F2" s="206" t="s">
        <v>39</v>
      </c>
      <c r="G2" s="206" t="s">
        <v>40</v>
      </c>
      <c r="H2" s="206" t="s">
        <v>41</v>
      </c>
      <c r="I2" s="206">
        <v>1232</v>
      </c>
      <c r="J2" s="42">
        <v>19500000</v>
      </c>
      <c r="K2" s="208">
        <v>1</v>
      </c>
      <c r="L2" s="206">
        <v>3</v>
      </c>
      <c r="M2" s="206" t="s">
        <v>27</v>
      </c>
      <c r="N2" s="196">
        <v>44673</v>
      </c>
      <c r="O2" s="195">
        <v>1</v>
      </c>
      <c r="P2" s="240" t="s">
        <v>27</v>
      </c>
      <c r="Q2" s="241" t="s">
        <v>128</v>
      </c>
      <c r="R2" s="242" t="s">
        <v>27</v>
      </c>
      <c r="S2" s="242">
        <v>2.5</v>
      </c>
      <c r="T2" s="242" t="s">
        <v>27</v>
      </c>
      <c r="U2" s="242">
        <v>4</v>
      </c>
      <c r="V2" s="242" t="s">
        <v>27</v>
      </c>
      <c r="W2" s="242">
        <v>3</v>
      </c>
      <c r="X2" s="242" t="s">
        <v>27</v>
      </c>
      <c r="Y2" s="242">
        <v>1</v>
      </c>
      <c r="Z2" s="242" t="s">
        <v>27</v>
      </c>
      <c r="AA2" s="242">
        <v>1</v>
      </c>
      <c r="AB2" s="242" t="s">
        <v>27</v>
      </c>
      <c r="AC2" s="242">
        <v>1</v>
      </c>
      <c r="AD2" s="103" t="s">
        <v>258</v>
      </c>
      <c r="AE2" s="103" t="s">
        <v>240</v>
      </c>
      <c r="AF2" s="104" t="s">
        <v>259</v>
      </c>
      <c r="AG2" s="297" t="s">
        <v>240</v>
      </c>
      <c r="AH2" s="193" t="s">
        <v>260</v>
      </c>
      <c r="AI2" s="194" t="s">
        <v>261</v>
      </c>
      <c r="AJ2" s="106"/>
      <c r="AK2" s="106"/>
      <c r="AL2" s="106"/>
      <c r="AM2" s="106"/>
      <c r="AN2" s="144"/>
      <c r="AO2" s="140"/>
      <c r="AP2" s="140"/>
      <c r="AQ2" s="140"/>
      <c r="AR2" s="140"/>
      <c r="AS2" s="140"/>
      <c r="AT2" s="140"/>
      <c r="AU2" s="140"/>
      <c r="AV2" s="140"/>
      <c r="AW2" s="140"/>
      <c r="AX2" s="140"/>
      <c r="AY2" s="140"/>
      <c r="AZ2" s="140"/>
      <c r="BA2" s="140"/>
      <c r="BB2" s="140" t="s">
        <v>262</v>
      </c>
      <c r="BC2" s="140" t="s">
        <v>263</v>
      </c>
      <c r="BD2" s="140" t="s">
        <v>264</v>
      </c>
    </row>
    <row r="3" spans="1:57" s="48" customFormat="1" ht="13.5" customHeight="1" x14ac:dyDescent="0.15">
      <c r="A3" s="206" t="s">
        <v>127</v>
      </c>
      <c r="B3" s="206">
        <v>1192</v>
      </c>
      <c r="C3" s="206" t="s">
        <v>22</v>
      </c>
      <c r="D3" s="206" t="s">
        <v>37</v>
      </c>
      <c r="E3" s="206" t="s">
        <v>38</v>
      </c>
      <c r="F3" s="206" t="s">
        <v>39</v>
      </c>
      <c r="G3" s="206" t="s">
        <v>40</v>
      </c>
      <c r="H3" s="206" t="s">
        <v>41</v>
      </c>
      <c r="I3" s="206">
        <v>1222</v>
      </c>
      <c r="J3" s="42">
        <v>19500000</v>
      </c>
      <c r="K3" s="208">
        <v>1</v>
      </c>
      <c r="L3" s="206">
        <v>4</v>
      </c>
      <c r="M3" s="206" t="s">
        <v>27</v>
      </c>
      <c r="N3" s="196">
        <v>44676</v>
      </c>
      <c r="O3" s="195">
        <v>1</v>
      </c>
      <c r="P3" s="261" t="s">
        <v>27</v>
      </c>
      <c r="Q3" s="243" t="s">
        <v>128</v>
      </c>
      <c r="R3" s="262" t="s">
        <v>27</v>
      </c>
      <c r="S3" s="262">
        <v>2.5</v>
      </c>
      <c r="T3" s="262" t="s">
        <v>27</v>
      </c>
      <c r="U3" s="262">
        <v>7</v>
      </c>
      <c r="V3" s="262" t="s">
        <v>27</v>
      </c>
      <c r="W3" s="262">
        <v>3.5</v>
      </c>
      <c r="X3" s="262" t="s">
        <v>27</v>
      </c>
      <c r="Y3" s="262">
        <v>1</v>
      </c>
      <c r="Z3" s="262" t="s">
        <v>27</v>
      </c>
      <c r="AA3" s="262">
        <v>1</v>
      </c>
      <c r="AB3" s="262" t="s">
        <v>27</v>
      </c>
      <c r="AC3" s="262">
        <v>1</v>
      </c>
      <c r="AD3" s="103" t="s">
        <v>258</v>
      </c>
      <c r="AE3" s="103" t="s">
        <v>240</v>
      </c>
      <c r="AF3" s="104" t="s">
        <v>259</v>
      </c>
      <c r="AG3" s="297" t="s">
        <v>240</v>
      </c>
      <c r="AH3" s="193" t="s">
        <v>260</v>
      </c>
      <c r="AI3" s="194" t="s">
        <v>265</v>
      </c>
      <c r="AJ3" s="106"/>
      <c r="AK3" s="106"/>
      <c r="AL3" s="106"/>
      <c r="AM3" s="106"/>
      <c r="AN3" s="144"/>
      <c r="AO3" s="140"/>
      <c r="AP3" s="140"/>
      <c r="AQ3" s="140"/>
      <c r="AR3" s="140"/>
      <c r="AS3" s="140"/>
      <c r="AT3" s="140"/>
      <c r="AU3" s="140"/>
      <c r="AV3" s="140"/>
      <c r="AW3" s="140"/>
      <c r="AX3" s="140"/>
      <c r="AY3" s="140"/>
      <c r="AZ3" s="140"/>
      <c r="BA3" s="140"/>
      <c r="BB3" s="140" t="s">
        <v>262</v>
      </c>
      <c r="BC3" s="140" t="s">
        <v>263</v>
      </c>
      <c r="BD3" s="140" t="s">
        <v>264</v>
      </c>
    </row>
    <row r="4" spans="1:57" s="48" customFormat="1" x14ac:dyDescent="0.15">
      <c r="A4" s="206" t="s">
        <v>127</v>
      </c>
      <c r="B4" s="206">
        <v>1152</v>
      </c>
      <c r="C4" s="206" t="s">
        <v>22</v>
      </c>
      <c r="D4" s="206" t="s">
        <v>42</v>
      </c>
      <c r="E4" s="206" t="s">
        <v>38</v>
      </c>
      <c r="F4" s="206" t="s">
        <v>97</v>
      </c>
      <c r="G4" s="206" t="s">
        <v>44</v>
      </c>
      <c r="H4" s="206">
        <v>31330</v>
      </c>
      <c r="I4" s="206">
        <v>47670</v>
      </c>
      <c r="J4" s="42">
        <v>9800000</v>
      </c>
      <c r="K4" s="208">
        <v>1</v>
      </c>
      <c r="L4" s="206">
        <v>1</v>
      </c>
      <c r="M4" s="206" t="s">
        <v>27</v>
      </c>
      <c r="N4" s="196">
        <v>44657</v>
      </c>
      <c r="O4" s="195">
        <v>1</v>
      </c>
      <c r="P4" s="261" t="s">
        <v>27</v>
      </c>
      <c r="Q4" s="298">
        <v>1</v>
      </c>
      <c r="R4" s="262" t="s">
        <v>27</v>
      </c>
      <c r="S4" s="262">
        <v>1</v>
      </c>
      <c r="T4" s="262" t="s">
        <v>27</v>
      </c>
      <c r="U4" s="262">
        <v>3.5</v>
      </c>
      <c r="V4" s="262" t="s">
        <v>27</v>
      </c>
      <c r="W4" s="262">
        <v>3</v>
      </c>
      <c r="X4" s="262" t="s">
        <v>27</v>
      </c>
      <c r="Y4" s="262">
        <v>0.5</v>
      </c>
      <c r="Z4" s="262" t="s">
        <v>27</v>
      </c>
      <c r="AA4" s="262">
        <v>1</v>
      </c>
      <c r="AB4" s="262" t="s">
        <v>27</v>
      </c>
      <c r="AC4" s="262">
        <v>1</v>
      </c>
      <c r="AD4" s="103" t="s">
        <v>266</v>
      </c>
      <c r="AE4" s="103" t="s">
        <v>240</v>
      </c>
      <c r="AF4" s="104" t="s">
        <v>267</v>
      </c>
      <c r="AG4" s="297" t="s">
        <v>240</v>
      </c>
      <c r="AH4" s="193" t="s">
        <v>268</v>
      </c>
      <c r="AI4" s="194" t="s">
        <v>261</v>
      </c>
      <c r="AJ4" s="106"/>
      <c r="AK4" s="106"/>
      <c r="AL4" s="106"/>
      <c r="AM4" s="106"/>
      <c r="AN4" s="144"/>
      <c r="AO4" s="140"/>
      <c r="AP4" s="140"/>
      <c r="AQ4" s="140"/>
      <c r="AR4" s="140"/>
      <c r="AS4" s="140"/>
      <c r="AT4" s="140"/>
      <c r="AU4" s="140"/>
      <c r="AV4" s="140"/>
      <c r="AW4" s="140"/>
      <c r="AX4" s="140"/>
      <c r="AY4" s="140"/>
      <c r="AZ4" s="140"/>
      <c r="BA4" s="140"/>
      <c r="BB4" s="140" t="s">
        <v>269</v>
      </c>
      <c r="BC4" s="140" t="s">
        <v>263</v>
      </c>
      <c r="BD4" s="140" t="s">
        <v>264</v>
      </c>
    </row>
    <row r="5" spans="1:57" s="48" customFormat="1" x14ac:dyDescent="0.15">
      <c r="A5" s="206" t="s">
        <v>127</v>
      </c>
      <c r="B5" s="206">
        <v>1344</v>
      </c>
      <c r="C5" s="206" t="s">
        <v>29</v>
      </c>
      <c r="D5" s="206" t="s">
        <v>270</v>
      </c>
      <c r="E5" s="206" t="s">
        <v>38</v>
      </c>
      <c r="F5" s="206" t="s">
        <v>97</v>
      </c>
      <c r="G5" s="206" t="s">
        <v>44</v>
      </c>
      <c r="H5" s="206">
        <v>31330</v>
      </c>
      <c r="I5" s="206">
        <v>37058</v>
      </c>
      <c r="J5" s="42">
        <v>10490000</v>
      </c>
      <c r="K5" s="208">
        <v>1</v>
      </c>
      <c r="L5" s="206">
        <v>2</v>
      </c>
      <c r="M5" s="206" t="s">
        <v>27</v>
      </c>
      <c r="N5" s="196">
        <v>44665</v>
      </c>
      <c r="O5" s="195">
        <v>1</v>
      </c>
      <c r="P5" s="261" t="s">
        <v>27</v>
      </c>
      <c r="Q5" s="298">
        <v>1</v>
      </c>
      <c r="R5" s="262" t="s">
        <v>27</v>
      </c>
      <c r="S5" s="262">
        <v>1.5</v>
      </c>
      <c r="T5" s="262" t="s">
        <v>27</v>
      </c>
      <c r="U5" s="262">
        <v>2</v>
      </c>
      <c r="V5" s="262" t="s">
        <v>27</v>
      </c>
      <c r="W5" s="262">
        <v>2.5</v>
      </c>
      <c r="X5" s="262" t="s">
        <v>27</v>
      </c>
      <c r="Y5" s="262">
        <v>0.5</v>
      </c>
      <c r="Z5" s="262" t="s">
        <v>27</v>
      </c>
      <c r="AA5" s="262">
        <v>1</v>
      </c>
      <c r="AB5" s="262" t="s">
        <v>27</v>
      </c>
      <c r="AC5" s="262">
        <v>1</v>
      </c>
      <c r="AD5" s="103" t="s">
        <v>258</v>
      </c>
      <c r="AE5" s="103" t="s">
        <v>240</v>
      </c>
      <c r="AF5" s="104" t="s">
        <v>267</v>
      </c>
      <c r="AG5" s="297" t="s">
        <v>240</v>
      </c>
      <c r="AH5" s="193" t="s">
        <v>268</v>
      </c>
      <c r="AI5" s="194" t="s">
        <v>271</v>
      </c>
      <c r="AJ5" s="106"/>
      <c r="AK5" s="106"/>
      <c r="AL5" s="106"/>
      <c r="AM5" s="106"/>
      <c r="AN5" s="144"/>
      <c r="AO5" s="140"/>
      <c r="AP5" s="140"/>
      <c r="AQ5" s="140"/>
      <c r="AR5" s="140"/>
      <c r="AS5" s="140"/>
      <c r="AT5" s="140"/>
      <c r="AU5" s="140"/>
      <c r="AV5" s="140"/>
      <c r="AW5" s="140"/>
      <c r="AX5" s="140"/>
      <c r="AY5" s="140"/>
      <c r="AZ5" s="140"/>
      <c r="BA5" s="140"/>
      <c r="BB5" s="140" t="s">
        <v>269</v>
      </c>
      <c r="BC5" s="140" t="s">
        <v>264</v>
      </c>
      <c r="BD5" s="140" t="s">
        <v>264</v>
      </c>
    </row>
    <row r="6" spans="1:57" s="48" customFormat="1" x14ac:dyDescent="0.15">
      <c r="A6" s="206" t="s">
        <v>127</v>
      </c>
      <c r="B6" s="206">
        <v>1345</v>
      </c>
      <c r="C6" s="206" t="s">
        <v>29</v>
      </c>
      <c r="D6" s="206" t="s">
        <v>270</v>
      </c>
      <c r="E6" s="206" t="s">
        <v>38</v>
      </c>
      <c r="F6" s="206" t="s">
        <v>97</v>
      </c>
      <c r="G6" s="206" t="s">
        <v>44</v>
      </c>
      <c r="H6" s="206">
        <v>31330</v>
      </c>
      <c r="I6" s="206">
        <v>38199</v>
      </c>
      <c r="J6" s="42">
        <v>10490000</v>
      </c>
      <c r="K6" s="208">
        <v>1</v>
      </c>
      <c r="L6" s="206">
        <v>2</v>
      </c>
      <c r="M6" s="206" t="s">
        <v>27</v>
      </c>
      <c r="N6" s="196">
        <v>44665</v>
      </c>
      <c r="O6" s="195">
        <v>1</v>
      </c>
      <c r="P6" s="261" t="s">
        <v>27</v>
      </c>
      <c r="Q6" s="298">
        <v>1</v>
      </c>
      <c r="R6" s="262" t="s">
        <v>27</v>
      </c>
      <c r="S6" s="262">
        <v>1.5</v>
      </c>
      <c r="T6" s="262" t="s">
        <v>27</v>
      </c>
      <c r="U6" s="262">
        <v>2.5</v>
      </c>
      <c r="V6" s="262" t="s">
        <v>27</v>
      </c>
      <c r="W6" s="262">
        <v>3</v>
      </c>
      <c r="X6" s="262" t="s">
        <v>27</v>
      </c>
      <c r="Y6" s="262">
        <v>1</v>
      </c>
      <c r="Z6" s="262" t="s">
        <v>27</v>
      </c>
      <c r="AA6" s="262">
        <v>1.5</v>
      </c>
      <c r="AB6" s="262" t="s">
        <v>27</v>
      </c>
      <c r="AC6" s="262">
        <v>1</v>
      </c>
      <c r="AD6" s="103" t="s">
        <v>258</v>
      </c>
      <c r="AE6" s="103" t="s">
        <v>240</v>
      </c>
      <c r="AF6" s="104" t="s">
        <v>267</v>
      </c>
      <c r="AG6" s="297" t="s">
        <v>240</v>
      </c>
      <c r="AH6" s="193" t="s">
        <v>268</v>
      </c>
      <c r="AI6" s="194" t="s">
        <v>271</v>
      </c>
      <c r="AJ6" s="106"/>
      <c r="AK6" s="106"/>
      <c r="AL6" s="106"/>
      <c r="AM6" s="106"/>
      <c r="AN6" s="144"/>
      <c r="AO6" s="140"/>
      <c r="AP6" s="140"/>
      <c r="AQ6" s="140"/>
      <c r="AR6" s="140"/>
      <c r="AS6" s="140"/>
      <c r="AT6" s="140"/>
      <c r="AU6" s="140"/>
      <c r="AV6" s="140"/>
      <c r="AW6" s="140"/>
      <c r="AX6" s="140"/>
      <c r="AY6" s="140"/>
      <c r="AZ6" s="140"/>
      <c r="BA6" s="140"/>
      <c r="BB6" s="140" t="s">
        <v>269</v>
      </c>
      <c r="BC6" s="140" t="s">
        <v>264</v>
      </c>
      <c r="BD6" s="140" t="s">
        <v>264</v>
      </c>
    </row>
    <row r="7" spans="1:57" s="48" customFormat="1" x14ac:dyDescent="0.15">
      <c r="A7" s="206" t="s">
        <v>127</v>
      </c>
      <c r="B7" s="206">
        <v>1346</v>
      </c>
      <c r="C7" s="206" t="s">
        <v>29</v>
      </c>
      <c r="D7" s="206" t="s">
        <v>270</v>
      </c>
      <c r="E7" s="206" t="s">
        <v>38</v>
      </c>
      <c r="F7" s="206" t="s">
        <v>97</v>
      </c>
      <c r="G7" s="206" t="s">
        <v>44</v>
      </c>
      <c r="H7" s="206">
        <v>32360</v>
      </c>
      <c r="I7" s="206">
        <v>38808</v>
      </c>
      <c r="J7" s="42">
        <v>10490000</v>
      </c>
      <c r="K7" s="208">
        <v>1</v>
      </c>
      <c r="L7" s="206">
        <v>2</v>
      </c>
      <c r="M7" s="206" t="s">
        <v>27</v>
      </c>
      <c r="N7" s="196">
        <v>44665</v>
      </c>
      <c r="O7" s="195">
        <v>1</v>
      </c>
      <c r="P7" s="261" t="s">
        <v>27</v>
      </c>
      <c r="Q7" s="298">
        <v>1</v>
      </c>
      <c r="R7" s="262" t="s">
        <v>27</v>
      </c>
      <c r="S7" s="262">
        <v>1.5</v>
      </c>
      <c r="T7" s="262" t="s">
        <v>27</v>
      </c>
      <c r="U7" s="262">
        <v>2.5</v>
      </c>
      <c r="V7" s="262" t="s">
        <v>27</v>
      </c>
      <c r="W7" s="262">
        <v>3</v>
      </c>
      <c r="X7" s="262" t="s">
        <v>27</v>
      </c>
      <c r="Y7" s="262">
        <v>1</v>
      </c>
      <c r="Z7" s="262" t="s">
        <v>27</v>
      </c>
      <c r="AA7" s="262">
        <v>1.5</v>
      </c>
      <c r="AB7" s="262" t="s">
        <v>27</v>
      </c>
      <c r="AC7" s="262">
        <v>1</v>
      </c>
      <c r="AD7" s="103" t="s">
        <v>258</v>
      </c>
      <c r="AE7" s="103" t="s">
        <v>240</v>
      </c>
      <c r="AF7" s="104" t="s">
        <v>267</v>
      </c>
      <c r="AG7" s="297" t="s">
        <v>240</v>
      </c>
      <c r="AH7" s="193" t="s">
        <v>268</v>
      </c>
      <c r="AI7" s="194" t="s">
        <v>271</v>
      </c>
      <c r="AJ7" s="106"/>
      <c r="AK7" s="106"/>
      <c r="AL7" s="106"/>
      <c r="AM7" s="106"/>
      <c r="AN7" s="144"/>
      <c r="AO7" s="140"/>
      <c r="AP7" s="140"/>
      <c r="AQ7" s="140"/>
      <c r="AR7" s="140"/>
      <c r="AS7" s="140"/>
      <c r="AT7" s="140"/>
      <c r="AU7" s="140"/>
      <c r="AV7" s="140"/>
      <c r="AW7" s="140"/>
      <c r="AX7" s="140"/>
      <c r="AY7" s="140"/>
      <c r="AZ7" s="140"/>
      <c r="BA7" s="140"/>
      <c r="BB7" s="140" t="s">
        <v>269</v>
      </c>
      <c r="BC7" s="140" t="s">
        <v>264</v>
      </c>
      <c r="BD7" s="140" t="s">
        <v>264</v>
      </c>
    </row>
    <row r="8" spans="1:57" s="48" customFormat="1" x14ac:dyDescent="0.15">
      <c r="A8" s="206" t="s">
        <v>127</v>
      </c>
      <c r="B8" s="206">
        <v>1337</v>
      </c>
      <c r="C8" s="206" t="s">
        <v>22</v>
      </c>
      <c r="D8" s="206" t="s">
        <v>132</v>
      </c>
      <c r="E8" s="206" t="s">
        <v>38</v>
      </c>
      <c r="F8" s="206" t="s">
        <v>96</v>
      </c>
      <c r="G8" s="206" t="s">
        <v>44</v>
      </c>
      <c r="H8" s="206">
        <v>32360</v>
      </c>
      <c r="I8" s="206">
        <v>38098</v>
      </c>
      <c r="J8" s="42">
        <v>14900000</v>
      </c>
      <c r="K8" s="208">
        <v>1</v>
      </c>
      <c r="L8" s="206">
        <v>5</v>
      </c>
      <c r="M8" s="206" t="s">
        <v>27</v>
      </c>
      <c r="N8" s="196">
        <v>44685</v>
      </c>
      <c r="O8" s="195">
        <v>1</v>
      </c>
      <c r="P8" s="261" t="s">
        <v>27</v>
      </c>
      <c r="Q8" s="243" t="s">
        <v>128</v>
      </c>
      <c r="R8" s="262" t="s">
        <v>27</v>
      </c>
      <c r="S8" s="262">
        <v>2</v>
      </c>
      <c r="T8" s="262" t="s">
        <v>27</v>
      </c>
      <c r="U8" s="262">
        <v>4.5</v>
      </c>
      <c r="V8" s="262" t="s">
        <v>27</v>
      </c>
      <c r="W8" s="262">
        <v>4.5</v>
      </c>
      <c r="X8" s="262" t="s">
        <v>27</v>
      </c>
      <c r="Y8" s="262">
        <v>1</v>
      </c>
      <c r="Z8" s="262" t="s">
        <v>27</v>
      </c>
      <c r="AA8" s="262">
        <v>1</v>
      </c>
      <c r="AB8" s="262" t="s">
        <v>27</v>
      </c>
      <c r="AC8" s="262">
        <v>1</v>
      </c>
      <c r="AD8" s="103" t="s">
        <v>266</v>
      </c>
      <c r="AE8" s="103" t="s">
        <v>240</v>
      </c>
      <c r="AF8" s="104" t="s">
        <v>267</v>
      </c>
      <c r="AG8" s="297" t="s">
        <v>240</v>
      </c>
      <c r="AH8" s="192" t="s">
        <v>272</v>
      </c>
      <c r="AI8" s="194" t="s">
        <v>261</v>
      </c>
      <c r="AJ8" s="106"/>
      <c r="AK8" s="106"/>
      <c r="AL8" s="106"/>
      <c r="AM8" s="106"/>
      <c r="AN8" s="144"/>
      <c r="AO8" s="140"/>
      <c r="AP8" s="140"/>
      <c r="AQ8" s="140"/>
      <c r="AR8" s="140"/>
      <c r="AS8" s="140"/>
      <c r="AT8" s="140"/>
      <c r="AU8" s="140"/>
      <c r="AV8" s="140"/>
      <c r="AW8" s="140"/>
      <c r="AX8" s="140"/>
      <c r="AY8" s="140"/>
      <c r="AZ8" s="140"/>
      <c r="BA8" s="140"/>
      <c r="BB8" s="140" t="s">
        <v>269</v>
      </c>
      <c r="BC8" s="140" t="s">
        <v>264</v>
      </c>
      <c r="BD8" s="140" t="s">
        <v>264</v>
      </c>
    </row>
    <row r="9" spans="1:57" s="48" customFormat="1" x14ac:dyDescent="0.15">
      <c r="A9" s="200" t="s">
        <v>127</v>
      </c>
      <c r="B9" s="206">
        <v>1338</v>
      </c>
      <c r="C9" s="200" t="s">
        <v>22</v>
      </c>
      <c r="D9" s="200" t="s">
        <v>132</v>
      </c>
      <c r="E9" s="200" t="s">
        <v>38</v>
      </c>
      <c r="F9" s="200" t="s">
        <v>96</v>
      </c>
      <c r="G9" s="200" t="s">
        <v>44</v>
      </c>
      <c r="H9" s="200">
        <v>32360</v>
      </c>
      <c r="I9" s="200">
        <v>37971</v>
      </c>
      <c r="J9" s="42">
        <v>14900000</v>
      </c>
      <c r="K9" s="201">
        <v>1</v>
      </c>
      <c r="L9" s="206">
        <v>5</v>
      </c>
      <c r="M9" s="206" t="s">
        <v>27</v>
      </c>
      <c r="N9" s="196">
        <v>44686</v>
      </c>
      <c r="O9" s="195">
        <v>1</v>
      </c>
      <c r="P9" s="261" t="s">
        <v>27</v>
      </c>
      <c r="Q9" s="243" t="s">
        <v>128</v>
      </c>
      <c r="R9" s="262" t="s">
        <v>27</v>
      </c>
      <c r="S9" s="262">
        <v>2</v>
      </c>
      <c r="T9" s="262" t="s">
        <v>27</v>
      </c>
      <c r="U9" s="262">
        <v>3.5</v>
      </c>
      <c r="V9" s="262" t="s">
        <v>27</v>
      </c>
      <c r="W9" s="262">
        <v>4.5</v>
      </c>
      <c r="X9" s="262" t="s">
        <v>27</v>
      </c>
      <c r="Y9" s="262">
        <v>1</v>
      </c>
      <c r="Z9" s="262" t="s">
        <v>27</v>
      </c>
      <c r="AA9" s="262">
        <v>1</v>
      </c>
      <c r="AB9" s="262" t="s">
        <v>27</v>
      </c>
      <c r="AC9" s="262">
        <v>1</v>
      </c>
      <c r="AD9" s="103" t="s">
        <v>266</v>
      </c>
      <c r="AE9" s="103" t="s">
        <v>240</v>
      </c>
      <c r="AF9" s="104" t="s">
        <v>267</v>
      </c>
      <c r="AG9" s="297" t="s">
        <v>240</v>
      </c>
      <c r="AH9" s="192" t="s">
        <v>272</v>
      </c>
      <c r="AI9" s="194" t="s">
        <v>261</v>
      </c>
      <c r="AJ9" s="106"/>
      <c r="AK9" s="106"/>
      <c r="AL9" s="106"/>
      <c r="AM9" s="106"/>
      <c r="AN9" s="144"/>
      <c r="AO9" s="140"/>
      <c r="AP9" s="140"/>
      <c r="AQ9" s="140"/>
      <c r="AR9" s="140"/>
      <c r="AS9" s="140"/>
      <c r="AT9" s="140"/>
      <c r="AU9" s="140"/>
      <c r="AV9" s="140"/>
      <c r="AW9" s="140"/>
      <c r="AX9" s="140"/>
      <c r="AY9" s="140"/>
      <c r="AZ9" s="140"/>
      <c r="BA9" s="140"/>
      <c r="BB9" s="140" t="s">
        <v>269</v>
      </c>
      <c r="BC9" s="140" t="s">
        <v>264</v>
      </c>
      <c r="BD9" s="140" t="s">
        <v>264</v>
      </c>
    </row>
    <row r="10" spans="1:57" s="48" customFormat="1" x14ac:dyDescent="0.15">
      <c r="A10" s="206" t="s">
        <v>127</v>
      </c>
      <c r="B10" s="206">
        <v>1363</v>
      </c>
      <c r="C10" s="206" t="s">
        <v>29</v>
      </c>
      <c r="D10" s="206" t="s">
        <v>57</v>
      </c>
      <c r="E10" s="206" t="s">
        <v>38</v>
      </c>
      <c r="F10" s="206" t="s">
        <v>58</v>
      </c>
      <c r="G10" s="206" t="s">
        <v>23</v>
      </c>
      <c r="H10" s="206" t="s">
        <v>26</v>
      </c>
      <c r="I10" s="206">
        <v>180538</v>
      </c>
      <c r="J10" s="42">
        <v>12000000</v>
      </c>
      <c r="K10" s="208">
        <v>1</v>
      </c>
      <c r="L10" s="206">
        <v>3</v>
      </c>
      <c r="M10" s="206" t="s">
        <v>27</v>
      </c>
      <c r="N10" s="196">
        <v>44670</v>
      </c>
      <c r="O10" s="195">
        <v>1</v>
      </c>
      <c r="P10" s="261" t="s">
        <v>27</v>
      </c>
      <c r="Q10" s="243" t="s">
        <v>128</v>
      </c>
      <c r="R10" s="262" t="s">
        <v>27</v>
      </c>
      <c r="S10" s="262">
        <v>2</v>
      </c>
      <c r="T10" s="262" t="s">
        <v>27</v>
      </c>
      <c r="U10" s="262">
        <v>2</v>
      </c>
      <c r="V10" s="262" t="s">
        <v>27</v>
      </c>
      <c r="W10" s="262">
        <v>2.5</v>
      </c>
      <c r="X10" s="262" t="s">
        <v>27</v>
      </c>
      <c r="Y10" s="262">
        <v>1</v>
      </c>
      <c r="Z10" s="262" t="s">
        <v>27</v>
      </c>
      <c r="AA10" s="262">
        <v>1</v>
      </c>
      <c r="AB10" s="262" t="s">
        <v>27</v>
      </c>
      <c r="AC10" s="262">
        <v>1</v>
      </c>
      <c r="AD10" s="103" t="s">
        <v>258</v>
      </c>
      <c r="AE10" s="103" t="s">
        <v>240</v>
      </c>
      <c r="AF10" s="104" t="s">
        <v>273</v>
      </c>
      <c r="AG10" s="297" t="s">
        <v>240</v>
      </c>
      <c r="AH10" s="193" t="s">
        <v>272</v>
      </c>
      <c r="AI10" s="194" t="s">
        <v>261</v>
      </c>
      <c r="AJ10" s="106"/>
      <c r="AK10" s="106"/>
      <c r="AL10" s="106"/>
      <c r="AM10" s="106"/>
      <c r="AN10" s="144"/>
      <c r="AO10" s="140"/>
      <c r="AP10" s="140"/>
      <c r="AQ10" s="140"/>
      <c r="AR10" s="140"/>
      <c r="AS10" s="140"/>
      <c r="AT10" s="140"/>
      <c r="AU10" s="140"/>
      <c r="AV10" s="140"/>
      <c r="AW10" s="140"/>
      <c r="AX10" s="140"/>
      <c r="AY10" s="140"/>
      <c r="AZ10" s="140"/>
      <c r="BA10" s="140"/>
      <c r="BB10" s="140" t="s">
        <v>269</v>
      </c>
      <c r="BC10" s="140" t="s">
        <v>264</v>
      </c>
      <c r="BD10" s="179" t="s">
        <v>264</v>
      </c>
      <c r="BE10" s="180"/>
    </row>
    <row r="11" spans="1:57" s="48" customFormat="1" x14ac:dyDescent="0.15">
      <c r="A11" s="206" t="s">
        <v>127</v>
      </c>
      <c r="B11" s="210">
        <v>1410</v>
      </c>
      <c r="C11" s="206" t="s">
        <v>29</v>
      </c>
      <c r="D11" s="206" t="s">
        <v>57</v>
      </c>
      <c r="E11" s="206" t="s">
        <v>38</v>
      </c>
      <c r="F11" s="206" t="s">
        <v>58</v>
      </c>
      <c r="G11" s="206" t="s">
        <v>23</v>
      </c>
      <c r="H11" s="206" t="s">
        <v>26</v>
      </c>
      <c r="I11" s="206">
        <v>180539</v>
      </c>
      <c r="J11" s="42">
        <v>12000000</v>
      </c>
      <c r="K11" s="208">
        <v>1</v>
      </c>
      <c r="L11" s="206">
        <v>3</v>
      </c>
      <c r="M11" s="206" t="s">
        <v>27</v>
      </c>
      <c r="N11" s="196">
        <v>44671</v>
      </c>
      <c r="O11" s="195">
        <v>1</v>
      </c>
      <c r="P11" s="261" t="s">
        <v>27</v>
      </c>
      <c r="Q11" s="243" t="s">
        <v>128</v>
      </c>
      <c r="R11" s="262" t="s">
        <v>27</v>
      </c>
      <c r="S11" s="262">
        <v>2</v>
      </c>
      <c r="T11" s="262" t="s">
        <v>27</v>
      </c>
      <c r="U11" s="262">
        <v>3</v>
      </c>
      <c r="V11" s="262" t="s">
        <v>27</v>
      </c>
      <c r="W11" s="262">
        <v>4</v>
      </c>
      <c r="X11" s="262" t="s">
        <v>27</v>
      </c>
      <c r="Y11" s="262">
        <v>1.5</v>
      </c>
      <c r="Z11" s="262" t="s">
        <v>27</v>
      </c>
      <c r="AA11" s="262">
        <v>1</v>
      </c>
      <c r="AB11" s="262" t="s">
        <v>27</v>
      </c>
      <c r="AC11" s="262">
        <v>1</v>
      </c>
      <c r="AD11" s="103" t="s">
        <v>258</v>
      </c>
      <c r="AE11" s="103" t="s">
        <v>240</v>
      </c>
      <c r="AF11" s="104" t="s">
        <v>273</v>
      </c>
      <c r="AG11" s="297" t="s">
        <v>240</v>
      </c>
      <c r="AH11" s="193" t="s">
        <v>272</v>
      </c>
      <c r="AI11" s="194" t="s">
        <v>261</v>
      </c>
      <c r="AJ11" s="106"/>
      <c r="AK11" s="106"/>
      <c r="AL11" s="106"/>
      <c r="AM11" s="106"/>
      <c r="AN11" s="144"/>
      <c r="AO11" s="140"/>
      <c r="AP11" s="140"/>
      <c r="AQ11" s="140"/>
      <c r="AR11" s="140"/>
      <c r="AS11" s="140"/>
      <c r="AT11" s="140"/>
      <c r="AU11" s="140"/>
      <c r="AV11" s="140"/>
      <c r="AW11" s="140"/>
      <c r="AX11" s="140"/>
      <c r="AY11" s="140"/>
      <c r="AZ11" s="140"/>
      <c r="BA11" s="140"/>
      <c r="BB11" s="140" t="s">
        <v>269</v>
      </c>
      <c r="BC11" s="140" t="s">
        <v>264</v>
      </c>
      <c r="BD11" s="179" t="s">
        <v>264</v>
      </c>
      <c r="BE11" s="180"/>
    </row>
    <row r="12" spans="1:57" s="48" customFormat="1" x14ac:dyDescent="0.15">
      <c r="A12" s="206" t="s">
        <v>127</v>
      </c>
      <c r="B12" s="206">
        <v>1352</v>
      </c>
      <c r="C12" s="206" t="s">
        <v>29</v>
      </c>
      <c r="D12" s="206" t="s">
        <v>52</v>
      </c>
      <c r="E12" s="206" t="s">
        <v>38</v>
      </c>
      <c r="F12" s="206" t="s">
        <v>53</v>
      </c>
      <c r="G12" s="206" t="s">
        <v>44</v>
      </c>
      <c r="H12" s="206">
        <v>32360</v>
      </c>
      <c r="I12" s="206">
        <v>11202</v>
      </c>
      <c r="J12" s="42">
        <v>10400000</v>
      </c>
      <c r="K12" s="208">
        <v>1</v>
      </c>
      <c r="L12" s="206">
        <v>4</v>
      </c>
      <c r="M12" s="206" t="s">
        <v>27</v>
      </c>
      <c r="N12" s="196">
        <v>44680</v>
      </c>
      <c r="O12" s="195">
        <v>1</v>
      </c>
      <c r="P12" s="261" t="s">
        <v>27</v>
      </c>
      <c r="Q12" s="243" t="s">
        <v>128</v>
      </c>
      <c r="R12" s="262" t="s">
        <v>27</v>
      </c>
      <c r="S12" s="262">
        <v>2</v>
      </c>
      <c r="T12" s="262" t="s">
        <v>27</v>
      </c>
      <c r="U12" s="262">
        <v>2.5</v>
      </c>
      <c r="V12" s="262" t="s">
        <v>27</v>
      </c>
      <c r="W12" s="262">
        <v>2.5</v>
      </c>
      <c r="X12" s="262" t="s">
        <v>27</v>
      </c>
      <c r="Y12" s="262">
        <v>1</v>
      </c>
      <c r="Z12" s="262" t="s">
        <v>27</v>
      </c>
      <c r="AA12" s="262">
        <v>1</v>
      </c>
      <c r="AB12" s="262" t="s">
        <v>27</v>
      </c>
      <c r="AC12" s="262">
        <v>1</v>
      </c>
      <c r="AD12" s="103" t="s">
        <v>266</v>
      </c>
      <c r="AE12" s="103" t="s">
        <v>240</v>
      </c>
      <c r="AF12" s="104" t="s">
        <v>267</v>
      </c>
      <c r="AG12" s="297" t="s">
        <v>240</v>
      </c>
      <c r="AH12" s="192" t="s">
        <v>268</v>
      </c>
      <c r="AI12" s="103" t="s">
        <v>274</v>
      </c>
      <c r="AJ12" s="106"/>
      <c r="AK12" s="106"/>
      <c r="AL12" s="106"/>
      <c r="AM12" s="106"/>
      <c r="AN12" s="144"/>
      <c r="AO12" s="140"/>
      <c r="AP12" s="140"/>
      <c r="AQ12" s="140"/>
      <c r="AR12" s="140"/>
      <c r="AS12" s="140"/>
      <c r="AT12" s="140"/>
      <c r="AU12" s="140"/>
      <c r="AV12" s="140"/>
      <c r="AW12" s="140"/>
      <c r="AX12" s="140"/>
      <c r="AY12" s="140"/>
      <c r="AZ12" s="140"/>
      <c r="BA12" s="140"/>
      <c r="BB12" s="140" t="s">
        <v>275</v>
      </c>
      <c r="BC12" s="140" t="s">
        <v>264</v>
      </c>
      <c r="BD12" s="179" t="s">
        <v>264</v>
      </c>
    </row>
    <row r="13" spans="1:57" s="48" customFormat="1" x14ac:dyDescent="0.15">
      <c r="A13" s="206" t="s">
        <v>127</v>
      </c>
      <c r="B13" s="210">
        <v>1408</v>
      </c>
      <c r="C13" s="206" t="s">
        <v>29</v>
      </c>
      <c r="D13" s="206" t="s">
        <v>276</v>
      </c>
      <c r="E13" s="206" t="s">
        <v>38</v>
      </c>
      <c r="F13" s="206" t="s">
        <v>55</v>
      </c>
      <c r="G13" s="206" t="s">
        <v>44</v>
      </c>
      <c r="H13" s="206">
        <v>31360</v>
      </c>
      <c r="I13" s="206">
        <v>10654</v>
      </c>
      <c r="J13" s="42">
        <v>11000000</v>
      </c>
      <c r="K13" s="208">
        <v>1</v>
      </c>
      <c r="L13" s="206">
        <v>4</v>
      </c>
      <c r="M13" s="206" t="s">
        <v>27</v>
      </c>
      <c r="N13" s="196">
        <v>44678</v>
      </c>
      <c r="O13" s="195">
        <v>1</v>
      </c>
      <c r="P13" s="261" t="s">
        <v>27</v>
      </c>
      <c r="Q13" s="243" t="s">
        <v>128</v>
      </c>
      <c r="R13" s="262" t="s">
        <v>27</v>
      </c>
      <c r="S13" s="262">
        <v>1.5</v>
      </c>
      <c r="T13" s="262" t="s">
        <v>27</v>
      </c>
      <c r="U13" s="262">
        <v>2</v>
      </c>
      <c r="V13" s="262" t="s">
        <v>27</v>
      </c>
      <c r="W13" s="262">
        <v>2.5</v>
      </c>
      <c r="X13" s="262" t="s">
        <v>27</v>
      </c>
      <c r="Y13" s="262">
        <v>1</v>
      </c>
      <c r="Z13" s="262" t="s">
        <v>27</v>
      </c>
      <c r="AA13" s="262">
        <v>1</v>
      </c>
      <c r="AB13" s="262" t="s">
        <v>27</v>
      </c>
      <c r="AC13" s="262">
        <v>1</v>
      </c>
      <c r="AD13" s="103" t="s">
        <v>266</v>
      </c>
      <c r="AE13" s="103" t="s">
        <v>240</v>
      </c>
      <c r="AF13" s="104" t="s">
        <v>267</v>
      </c>
      <c r="AG13" s="297" t="s">
        <v>240</v>
      </c>
      <c r="AH13" s="192" t="s">
        <v>268</v>
      </c>
      <c r="AI13" s="103" t="s">
        <v>274</v>
      </c>
      <c r="AJ13" s="106"/>
      <c r="AK13" s="106"/>
      <c r="AL13" s="106"/>
      <c r="AM13" s="106"/>
      <c r="AN13" s="144"/>
      <c r="AO13" s="140"/>
      <c r="AP13" s="140"/>
      <c r="AQ13" s="140"/>
      <c r="AR13" s="140"/>
      <c r="AS13" s="140"/>
      <c r="AT13" s="140"/>
      <c r="AU13" s="140"/>
      <c r="AV13" s="140"/>
      <c r="AW13" s="140"/>
      <c r="AX13" s="140"/>
      <c r="AY13" s="140"/>
      <c r="AZ13" s="140"/>
      <c r="BA13" s="140"/>
      <c r="BB13" s="140" t="s">
        <v>269</v>
      </c>
      <c r="BC13" s="179" t="s">
        <v>264</v>
      </c>
      <c r="BD13" s="179" t="s">
        <v>264</v>
      </c>
    </row>
    <row r="14" spans="1:57" s="48" customFormat="1" x14ac:dyDescent="0.15">
      <c r="A14" s="206" t="s">
        <v>127</v>
      </c>
      <c r="B14" s="210">
        <v>1409</v>
      </c>
      <c r="C14" s="206" t="s">
        <v>29</v>
      </c>
      <c r="D14" s="206" t="s">
        <v>276</v>
      </c>
      <c r="E14" s="206" t="s">
        <v>38</v>
      </c>
      <c r="F14" s="206" t="s">
        <v>277</v>
      </c>
      <c r="G14" s="206" t="s">
        <v>44</v>
      </c>
      <c r="H14" s="206">
        <v>26280</v>
      </c>
      <c r="I14" s="206">
        <v>10964</v>
      </c>
      <c r="J14" s="42">
        <v>11000000</v>
      </c>
      <c r="K14" s="208">
        <v>1</v>
      </c>
      <c r="L14" s="206">
        <v>5</v>
      </c>
      <c r="M14" s="206" t="s">
        <v>27</v>
      </c>
      <c r="N14" s="196">
        <v>44684</v>
      </c>
      <c r="O14" s="195">
        <v>1</v>
      </c>
      <c r="P14" s="261" t="s">
        <v>27</v>
      </c>
      <c r="Q14" s="243" t="s">
        <v>128</v>
      </c>
      <c r="R14" s="262" t="s">
        <v>27</v>
      </c>
      <c r="S14" s="262">
        <v>1.5</v>
      </c>
      <c r="T14" s="262" t="s">
        <v>27</v>
      </c>
      <c r="U14" s="262">
        <v>2</v>
      </c>
      <c r="V14" s="262" t="s">
        <v>27</v>
      </c>
      <c r="W14" s="262">
        <v>3</v>
      </c>
      <c r="X14" s="262" t="s">
        <v>27</v>
      </c>
      <c r="Y14" s="262">
        <v>1</v>
      </c>
      <c r="Z14" s="262" t="s">
        <v>27</v>
      </c>
      <c r="AA14" s="262">
        <v>1</v>
      </c>
      <c r="AB14" s="262" t="s">
        <v>27</v>
      </c>
      <c r="AC14" s="262">
        <v>1</v>
      </c>
      <c r="AD14" s="103" t="s">
        <v>278</v>
      </c>
      <c r="AE14" s="103"/>
      <c r="AF14" s="104" t="s">
        <v>267</v>
      </c>
      <c r="AG14" s="297" t="s">
        <v>240</v>
      </c>
      <c r="AH14" s="105" t="s">
        <v>279</v>
      </c>
      <c r="AI14" s="103"/>
      <c r="AJ14" s="106"/>
      <c r="AK14" s="106"/>
      <c r="AL14" s="106"/>
      <c r="AM14" s="106"/>
      <c r="AN14" s="144"/>
      <c r="AO14" s="140"/>
      <c r="AP14" s="140"/>
      <c r="AQ14" s="140"/>
      <c r="AR14" s="140"/>
      <c r="AS14" s="140"/>
      <c r="AT14" s="140"/>
      <c r="AU14" s="140"/>
      <c r="AV14" s="140"/>
      <c r="AW14" s="140"/>
      <c r="AX14" s="140"/>
      <c r="AY14" s="140"/>
      <c r="AZ14" s="140"/>
      <c r="BA14" s="140"/>
      <c r="BB14" s="140" t="s">
        <v>269</v>
      </c>
      <c r="BC14" s="179" t="s">
        <v>264</v>
      </c>
      <c r="BD14" s="179" t="s">
        <v>264</v>
      </c>
    </row>
    <row r="15" spans="1:57" s="48" customFormat="1" x14ac:dyDescent="0.15">
      <c r="A15" s="206" t="s">
        <v>127</v>
      </c>
      <c r="B15" s="206">
        <v>1376</v>
      </c>
      <c r="C15" s="206" t="s">
        <v>22</v>
      </c>
      <c r="D15" s="206" t="s">
        <v>280</v>
      </c>
      <c r="E15" s="206" t="s">
        <v>38</v>
      </c>
      <c r="F15" s="206" t="s">
        <v>137</v>
      </c>
      <c r="G15" s="206" t="s">
        <v>23</v>
      </c>
      <c r="H15" s="206" t="s">
        <v>26</v>
      </c>
      <c r="I15" s="206">
        <v>181167</v>
      </c>
      <c r="J15" s="42">
        <v>13700000</v>
      </c>
      <c r="K15" s="208">
        <v>1</v>
      </c>
      <c r="L15" s="206">
        <v>4</v>
      </c>
      <c r="M15" s="206" t="s">
        <v>27</v>
      </c>
      <c r="N15" s="196">
        <v>44677</v>
      </c>
      <c r="O15" s="195">
        <v>1</v>
      </c>
      <c r="P15" s="261" t="s">
        <v>27</v>
      </c>
      <c r="Q15" s="243" t="s">
        <v>128</v>
      </c>
      <c r="R15" s="262" t="s">
        <v>27</v>
      </c>
      <c r="S15" s="262">
        <v>2</v>
      </c>
      <c r="T15" s="262" t="s">
        <v>27</v>
      </c>
      <c r="U15" s="262">
        <v>2</v>
      </c>
      <c r="V15" s="262" t="s">
        <v>27</v>
      </c>
      <c r="W15" s="262">
        <v>2.5</v>
      </c>
      <c r="X15" s="262" t="s">
        <v>27</v>
      </c>
      <c r="Y15" s="262">
        <v>1</v>
      </c>
      <c r="Z15" s="262" t="s">
        <v>27</v>
      </c>
      <c r="AA15" s="262">
        <v>1</v>
      </c>
      <c r="AB15" s="262" t="s">
        <v>27</v>
      </c>
      <c r="AC15" s="262">
        <v>1</v>
      </c>
      <c r="AD15" s="103" t="s">
        <v>258</v>
      </c>
      <c r="AE15" s="103" t="s">
        <v>240</v>
      </c>
      <c r="AF15" s="104" t="s">
        <v>273</v>
      </c>
      <c r="AG15" s="297" t="s">
        <v>240</v>
      </c>
      <c r="AH15" s="192" t="s">
        <v>268</v>
      </c>
      <c r="AI15" s="103" t="s">
        <v>271</v>
      </c>
      <c r="AJ15" s="106"/>
      <c r="AK15" s="106"/>
      <c r="AL15" s="106"/>
      <c r="AM15" s="106"/>
      <c r="AN15" s="144"/>
      <c r="AO15" s="140"/>
      <c r="AP15" s="140"/>
      <c r="AQ15" s="140"/>
      <c r="AR15" s="140"/>
      <c r="AS15" s="140"/>
      <c r="AT15" s="140"/>
      <c r="AU15" s="140"/>
      <c r="AV15" s="140"/>
      <c r="AW15" s="140"/>
      <c r="AX15" s="140"/>
      <c r="AY15" s="140"/>
      <c r="AZ15" s="140"/>
      <c r="BA15" s="140"/>
      <c r="BB15" s="140" t="s">
        <v>269</v>
      </c>
      <c r="BC15" s="179" t="s">
        <v>264</v>
      </c>
      <c r="BD15" s="179" t="s">
        <v>264</v>
      </c>
    </row>
    <row r="16" spans="1:57" s="48" customFormat="1" x14ac:dyDescent="0.2">
      <c r="A16" s="206" t="s">
        <v>127</v>
      </c>
      <c r="B16" s="206">
        <v>1375</v>
      </c>
      <c r="C16" s="206" t="s">
        <v>29</v>
      </c>
      <c r="D16" s="206" t="s">
        <v>281</v>
      </c>
      <c r="E16" s="206" t="s">
        <v>24</v>
      </c>
      <c r="F16" s="206" t="s">
        <v>282</v>
      </c>
      <c r="G16" s="206" t="s">
        <v>44</v>
      </c>
      <c r="H16" s="206">
        <v>31330</v>
      </c>
      <c r="I16" s="206">
        <v>47577</v>
      </c>
      <c r="J16" s="42">
        <v>19000000</v>
      </c>
      <c r="K16" s="208">
        <v>1</v>
      </c>
      <c r="L16" s="206">
        <v>3</v>
      </c>
      <c r="M16" s="206" t="s">
        <v>27</v>
      </c>
      <c r="N16" s="196">
        <v>44671</v>
      </c>
      <c r="O16" s="195">
        <v>1</v>
      </c>
      <c r="P16" s="261" t="s">
        <v>27</v>
      </c>
      <c r="Q16" s="243" t="s">
        <v>128</v>
      </c>
      <c r="R16" s="262" t="s">
        <v>27</v>
      </c>
      <c r="S16" s="262">
        <v>1</v>
      </c>
      <c r="T16" s="262" t="s">
        <v>27</v>
      </c>
      <c r="U16" s="262">
        <v>5.5</v>
      </c>
      <c r="V16" s="262" t="s">
        <v>27</v>
      </c>
      <c r="W16" s="262">
        <v>4</v>
      </c>
      <c r="X16" s="262" t="s">
        <v>27</v>
      </c>
      <c r="Y16" s="262">
        <v>1</v>
      </c>
      <c r="Z16" s="262" t="s">
        <v>27</v>
      </c>
      <c r="AA16" s="262">
        <v>4</v>
      </c>
      <c r="AB16" s="262" t="s">
        <v>27</v>
      </c>
      <c r="AC16" s="262">
        <v>2</v>
      </c>
      <c r="AD16" s="103" t="s">
        <v>283</v>
      </c>
      <c r="AE16" s="103" t="s">
        <v>240</v>
      </c>
      <c r="AF16" s="105" t="s">
        <v>283</v>
      </c>
      <c r="AG16" s="103" t="s">
        <v>240</v>
      </c>
      <c r="AH16" s="105"/>
      <c r="AI16" s="103"/>
      <c r="AJ16" s="106"/>
      <c r="AK16" s="106" t="s">
        <v>240</v>
      </c>
      <c r="AL16" s="106" t="s">
        <v>240</v>
      </c>
      <c r="AM16" s="106"/>
      <c r="AN16" s="144"/>
      <c r="AO16" s="140"/>
      <c r="AP16" s="140"/>
      <c r="AQ16" s="140"/>
      <c r="AR16" s="140"/>
      <c r="AS16" s="140"/>
      <c r="AT16" s="140"/>
      <c r="AU16" s="140"/>
      <c r="AV16" s="140"/>
      <c r="AW16" s="140"/>
      <c r="AX16" s="140"/>
      <c r="AY16" s="140"/>
      <c r="AZ16" s="140"/>
      <c r="BA16" s="140"/>
      <c r="BB16" s="140" t="s">
        <v>284</v>
      </c>
      <c r="BC16" s="179" t="s">
        <v>285</v>
      </c>
      <c r="BD16" s="179" t="s">
        <v>264</v>
      </c>
    </row>
    <row r="17" spans="1:57" s="48" customFormat="1" x14ac:dyDescent="0.2">
      <c r="A17" s="206" t="s">
        <v>127</v>
      </c>
      <c r="B17" s="206">
        <v>1202</v>
      </c>
      <c r="C17" s="206" t="s">
        <v>29</v>
      </c>
      <c r="D17" s="206" t="s">
        <v>286</v>
      </c>
      <c r="E17" s="206" t="s">
        <v>66</v>
      </c>
      <c r="F17" s="206" t="s">
        <v>287</v>
      </c>
      <c r="G17" s="206" t="s">
        <v>23</v>
      </c>
      <c r="H17" s="206" t="s">
        <v>26</v>
      </c>
      <c r="I17" s="206">
        <v>175514</v>
      </c>
      <c r="J17" s="42">
        <v>37990000</v>
      </c>
      <c r="K17" s="208">
        <v>1</v>
      </c>
      <c r="L17" s="206">
        <v>5</v>
      </c>
      <c r="M17" s="206" t="s">
        <v>27</v>
      </c>
      <c r="N17" s="196">
        <v>44684</v>
      </c>
      <c r="O17" s="195">
        <v>1</v>
      </c>
      <c r="P17" s="261" t="s">
        <v>27</v>
      </c>
      <c r="Q17" s="243" t="s">
        <v>128</v>
      </c>
      <c r="R17" s="262" t="s">
        <v>27</v>
      </c>
      <c r="S17" s="244" t="s">
        <v>128</v>
      </c>
      <c r="T17" s="262" t="s">
        <v>27</v>
      </c>
      <c r="U17" s="262">
        <v>4</v>
      </c>
      <c r="V17" s="262" t="s">
        <v>27</v>
      </c>
      <c r="W17" s="262">
        <v>9.5</v>
      </c>
      <c r="X17" s="262" t="s">
        <v>27</v>
      </c>
      <c r="Y17" s="262">
        <v>2.5</v>
      </c>
      <c r="Z17" s="262" t="s">
        <v>27</v>
      </c>
      <c r="AA17" s="262">
        <v>19</v>
      </c>
      <c r="AB17" s="262" t="s">
        <v>27</v>
      </c>
      <c r="AC17" s="262">
        <v>2.5</v>
      </c>
      <c r="AD17" s="103"/>
      <c r="AE17" s="103"/>
      <c r="AF17" s="105"/>
      <c r="AG17" s="103"/>
      <c r="AH17" s="105"/>
      <c r="AI17" s="103"/>
      <c r="AJ17" s="106"/>
      <c r="AK17" s="106"/>
      <c r="AL17" s="106"/>
      <c r="AM17" s="106"/>
      <c r="AN17" s="145"/>
      <c r="AO17" s="147"/>
      <c r="AP17" s="147"/>
      <c r="AQ17" s="147"/>
      <c r="AR17" s="147"/>
      <c r="AS17" s="147"/>
      <c r="AT17" s="142"/>
      <c r="AU17" s="147"/>
      <c r="AV17" s="147"/>
      <c r="AW17" s="147"/>
      <c r="AX17" s="147"/>
      <c r="AY17" s="147"/>
      <c r="AZ17" s="147"/>
      <c r="BA17" s="147"/>
      <c r="BB17" s="142"/>
      <c r="BC17" s="149"/>
      <c r="BD17" s="186"/>
      <c r="BE17" s="148"/>
    </row>
    <row r="18" spans="1:57" s="48" customFormat="1" x14ac:dyDescent="0.2">
      <c r="A18" s="206" t="s">
        <v>127</v>
      </c>
      <c r="B18" s="210">
        <v>1424</v>
      </c>
      <c r="C18" s="206" t="s">
        <v>29</v>
      </c>
      <c r="D18" s="206" t="s">
        <v>288</v>
      </c>
      <c r="E18" s="206" t="s">
        <v>38</v>
      </c>
      <c r="F18" s="206" t="s">
        <v>289</v>
      </c>
      <c r="G18" s="206" t="s">
        <v>44</v>
      </c>
      <c r="H18" s="206">
        <v>32360</v>
      </c>
      <c r="I18" s="206">
        <v>2784</v>
      </c>
      <c r="J18" s="42">
        <v>13950000</v>
      </c>
      <c r="K18" s="208">
        <v>1</v>
      </c>
      <c r="L18" s="206">
        <v>3</v>
      </c>
      <c r="M18" s="206" t="s">
        <v>27</v>
      </c>
      <c r="N18" s="196">
        <v>44672</v>
      </c>
      <c r="O18" s="195">
        <v>1</v>
      </c>
      <c r="P18" s="261" t="s">
        <v>27</v>
      </c>
      <c r="Q18" s="243" t="s">
        <v>128</v>
      </c>
      <c r="R18" s="262" t="s">
        <v>27</v>
      </c>
      <c r="S18" s="262">
        <v>2</v>
      </c>
      <c r="T18" s="262" t="s">
        <v>27</v>
      </c>
      <c r="U18" s="262">
        <v>2</v>
      </c>
      <c r="V18" s="262" t="s">
        <v>27</v>
      </c>
      <c r="W18" s="262">
        <v>5.5</v>
      </c>
      <c r="X18" s="262" t="s">
        <v>27</v>
      </c>
      <c r="Y18" s="262">
        <v>1</v>
      </c>
      <c r="Z18" s="262" t="s">
        <v>27</v>
      </c>
      <c r="AA18" s="262">
        <v>1</v>
      </c>
      <c r="AB18" s="262" t="s">
        <v>27</v>
      </c>
      <c r="AC18" s="262">
        <v>1</v>
      </c>
      <c r="AD18" s="103" t="s">
        <v>266</v>
      </c>
      <c r="AE18" s="103" t="s">
        <v>240</v>
      </c>
      <c r="AF18" s="105" t="s">
        <v>267</v>
      </c>
      <c r="AG18" s="103" t="s">
        <v>240</v>
      </c>
      <c r="AH18" s="193" t="s">
        <v>268</v>
      </c>
      <c r="AI18" s="103" t="s">
        <v>271</v>
      </c>
      <c r="AJ18" s="106"/>
      <c r="AK18" s="106"/>
      <c r="AL18" s="106"/>
      <c r="AM18" s="106"/>
      <c r="AN18" s="144"/>
      <c r="AO18" s="140"/>
      <c r="AP18" s="140"/>
      <c r="AQ18" s="140"/>
      <c r="AR18" s="140"/>
      <c r="AS18" s="140"/>
      <c r="AT18" s="140"/>
      <c r="AU18" s="140"/>
      <c r="AV18" s="140"/>
      <c r="AW18" s="140"/>
      <c r="AX18" s="140"/>
      <c r="AY18" s="140"/>
      <c r="AZ18" s="140"/>
      <c r="BA18" s="140"/>
      <c r="BB18" s="140" t="s">
        <v>269</v>
      </c>
      <c r="BC18" s="179"/>
      <c r="BD18" s="179" t="s">
        <v>264</v>
      </c>
    </row>
    <row r="19" spans="1:57" s="48" customFormat="1" x14ac:dyDescent="0.2">
      <c r="A19" s="206" t="s">
        <v>127</v>
      </c>
      <c r="B19" s="206">
        <v>1377</v>
      </c>
      <c r="C19" s="206" t="s">
        <v>22</v>
      </c>
      <c r="D19" s="206" t="s">
        <v>280</v>
      </c>
      <c r="E19" s="206" t="s">
        <v>38</v>
      </c>
      <c r="F19" s="206" t="s">
        <v>137</v>
      </c>
      <c r="G19" s="206" t="s">
        <v>23</v>
      </c>
      <c r="H19" s="206" t="s">
        <v>26</v>
      </c>
      <c r="I19" s="206">
        <v>181243</v>
      </c>
      <c r="J19" s="42">
        <v>13700000</v>
      </c>
      <c r="K19" s="208">
        <v>1</v>
      </c>
      <c r="L19" s="206">
        <v>4</v>
      </c>
      <c r="M19" s="206" t="s">
        <v>27</v>
      </c>
      <c r="N19" s="196">
        <v>44678</v>
      </c>
      <c r="O19" s="195">
        <v>1</v>
      </c>
      <c r="P19" s="261" t="s">
        <v>27</v>
      </c>
      <c r="Q19" s="243" t="s">
        <v>128</v>
      </c>
      <c r="R19" s="262" t="s">
        <v>27</v>
      </c>
      <c r="S19" s="262">
        <v>2</v>
      </c>
      <c r="T19" s="262" t="s">
        <v>27</v>
      </c>
      <c r="U19" s="262">
        <v>2.5</v>
      </c>
      <c r="V19" s="262" t="s">
        <v>27</v>
      </c>
      <c r="W19" s="262">
        <v>3.5</v>
      </c>
      <c r="X19" s="262" t="s">
        <v>27</v>
      </c>
      <c r="Y19" s="262">
        <v>1</v>
      </c>
      <c r="Z19" s="262" t="s">
        <v>27</v>
      </c>
      <c r="AA19" s="262">
        <v>1</v>
      </c>
      <c r="AB19" s="262" t="s">
        <v>27</v>
      </c>
      <c r="AC19" s="262">
        <v>1</v>
      </c>
      <c r="AD19" s="103" t="s">
        <v>258</v>
      </c>
      <c r="AE19" s="103" t="s">
        <v>240</v>
      </c>
      <c r="AF19" s="105" t="s">
        <v>273</v>
      </c>
      <c r="AG19" s="103" t="s">
        <v>240</v>
      </c>
      <c r="AH19" s="192" t="s">
        <v>268</v>
      </c>
      <c r="AI19" s="103" t="s">
        <v>271</v>
      </c>
      <c r="AJ19" s="106"/>
      <c r="AK19" s="106"/>
      <c r="AL19" s="106"/>
      <c r="AM19" s="106"/>
      <c r="AN19" s="145"/>
      <c r="AO19" s="147"/>
      <c r="AP19" s="147"/>
      <c r="AQ19" s="147"/>
      <c r="AR19" s="147"/>
      <c r="AS19" s="147"/>
      <c r="AT19" s="142"/>
      <c r="AU19" s="147"/>
      <c r="AV19" s="147"/>
      <c r="AW19" s="147"/>
      <c r="AX19" s="147"/>
      <c r="AY19" s="147"/>
      <c r="AZ19" s="147"/>
      <c r="BA19" s="147"/>
      <c r="BB19" s="142"/>
      <c r="BC19" s="149"/>
      <c r="BD19" s="179" t="s">
        <v>264</v>
      </c>
      <c r="BE19" s="148"/>
    </row>
    <row r="20" spans="1:57" s="48" customFormat="1" x14ac:dyDescent="0.2">
      <c r="A20" s="200" t="s">
        <v>127</v>
      </c>
      <c r="B20" s="200">
        <v>1374</v>
      </c>
      <c r="C20" s="200" t="s">
        <v>29</v>
      </c>
      <c r="D20" s="200" t="s">
        <v>290</v>
      </c>
      <c r="E20" s="200" t="s">
        <v>34</v>
      </c>
      <c r="F20" s="200" t="s">
        <v>35</v>
      </c>
      <c r="G20" s="200" t="s">
        <v>23</v>
      </c>
      <c r="H20" s="200" t="s">
        <v>26</v>
      </c>
      <c r="I20" s="200">
        <v>180880</v>
      </c>
      <c r="J20" s="42">
        <v>6500000</v>
      </c>
      <c r="K20" s="201">
        <v>1</v>
      </c>
      <c r="L20" s="215">
        <v>5</v>
      </c>
      <c r="M20" s="215" t="s">
        <v>27</v>
      </c>
      <c r="N20" s="196">
        <v>44687</v>
      </c>
      <c r="O20" s="195">
        <v>1</v>
      </c>
      <c r="P20" s="261" t="s">
        <v>27</v>
      </c>
      <c r="Q20" s="243" t="s">
        <v>128</v>
      </c>
      <c r="R20" s="262" t="s">
        <v>27</v>
      </c>
      <c r="S20" s="262">
        <v>1.5</v>
      </c>
      <c r="T20" s="262" t="s">
        <v>27</v>
      </c>
      <c r="U20" s="262">
        <v>2</v>
      </c>
      <c r="V20" s="262" t="s">
        <v>27</v>
      </c>
      <c r="W20" s="262">
        <v>3.5</v>
      </c>
      <c r="X20" s="262" t="s">
        <v>27</v>
      </c>
      <c r="Y20" s="262">
        <v>1</v>
      </c>
      <c r="Z20" s="244" t="s">
        <v>128</v>
      </c>
      <c r="AA20" s="244" t="s">
        <v>128</v>
      </c>
      <c r="AB20" s="262" t="s">
        <v>27</v>
      </c>
      <c r="AC20" s="244">
        <v>1</v>
      </c>
      <c r="AD20" s="103"/>
      <c r="AE20" s="103"/>
      <c r="AF20" s="105"/>
      <c r="AG20" s="103"/>
      <c r="AH20" s="105"/>
      <c r="AI20" s="103"/>
      <c r="AJ20" s="106"/>
      <c r="AK20" s="106"/>
      <c r="AL20" s="106"/>
      <c r="AM20" s="106"/>
      <c r="AN20" s="144"/>
      <c r="AO20" s="140"/>
      <c r="AP20" s="140"/>
      <c r="AQ20" s="140"/>
      <c r="AR20" s="140"/>
      <c r="AS20" s="140"/>
      <c r="AT20" s="140"/>
      <c r="AU20" s="140"/>
      <c r="AV20" s="140"/>
      <c r="AW20" s="140"/>
      <c r="AX20" s="140"/>
      <c r="AY20" s="140"/>
      <c r="AZ20" s="140"/>
      <c r="BA20" s="140"/>
      <c r="BB20" s="140" t="s">
        <v>291</v>
      </c>
      <c r="BC20" s="140" t="s">
        <v>264</v>
      </c>
      <c r="BD20" s="140" t="s">
        <v>264</v>
      </c>
    </row>
    <row r="21" spans="1:57" s="48" customFormat="1" x14ac:dyDescent="0.2">
      <c r="A21" s="206" t="s">
        <v>127</v>
      </c>
      <c r="B21" s="206">
        <v>1246</v>
      </c>
      <c r="C21" s="206" t="s">
        <v>22</v>
      </c>
      <c r="D21" s="206" t="s">
        <v>48</v>
      </c>
      <c r="E21" s="206" t="s">
        <v>46</v>
      </c>
      <c r="F21" s="206" t="s">
        <v>292</v>
      </c>
      <c r="G21" s="206" t="s">
        <v>23</v>
      </c>
      <c r="H21" s="206" t="s">
        <v>26</v>
      </c>
      <c r="I21" s="198" t="s">
        <v>128</v>
      </c>
      <c r="J21" s="42">
        <v>42500000</v>
      </c>
      <c r="K21" s="208">
        <v>1</v>
      </c>
      <c r="L21" s="206">
        <v>3</v>
      </c>
      <c r="M21" s="206" t="s">
        <v>27</v>
      </c>
      <c r="N21" s="196">
        <v>44665</v>
      </c>
      <c r="O21" s="195">
        <v>1</v>
      </c>
      <c r="P21" s="261" t="s">
        <v>27</v>
      </c>
      <c r="Q21" s="243" t="s">
        <v>128</v>
      </c>
      <c r="R21" s="262" t="s">
        <v>27</v>
      </c>
      <c r="S21" s="262">
        <v>2</v>
      </c>
      <c r="T21" s="262" t="s">
        <v>27</v>
      </c>
      <c r="U21" s="244" t="s">
        <v>128</v>
      </c>
      <c r="V21" s="262" t="s">
        <v>27</v>
      </c>
      <c r="W21" s="244" t="s">
        <v>128</v>
      </c>
      <c r="X21" s="262" t="s">
        <v>27</v>
      </c>
      <c r="Y21" s="244" t="s">
        <v>128</v>
      </c>
      <c r="Z21" s="262" t="s">
        <v>27</v>
      </c>
      <c r="AA21" s="244" t="s">
        <v>128</v>
      </c>
      <c r="AB21" s="262" t="s">
        <v>27</v>
      </c>
      <c r="AC21" s="244" t="s">
        <v>128</v>
      </c>
      <c r="AD21" s="103"/>
      <c r="AE21" s="103"/>
      <c r="AF21" s="105"/>
      <c r="AG21" s="103"/>
      <c r="AH21" s="105"/>
      <c r="AI21" s="103"/>
      <c r="AJ21" s="106"/>
      <c r="AK21" s="106"/>
      <c r="AL21" s="106"/>
      <c r="AM21" s="106"/>
      <c r="AN21" s="145"/>
      <c r="AO21" s="147"/>
      <c r="AP21" s="147"/>
      <c r="AQ21" s="147"/>
      <c r="AR21" s="147"/>
      <c r="AS21" s="147"/>
      <c r="AT21" s="142"/>
      <c r="AU21" s="147"/>
      <c r="AV21" s="147"/>
      <c r="AW21" s="147"/>
      <c r="AX21" s="147"/>
      <c r="AY21" s="147"/>
      <c r="AZ21" s="147"/>
      <c r="BA21" s="147"/>
      <c r="BB21" s="142"/>
      <c r="BC21" s="149"/>
      <c r="BD21" s="167" t="s">
        <v>264</v>
      </c>
      <c r="BE21" s="148"/>
    </row>
    <row r="23" spans="1:57" s="48" customFormat="1" hidden="1" x14ac:dyDescent="0.2">
      <c r="A23" s="8"/>
      <c r="B23" s="8"/>
      <c r="C23" s="8"/>
      <c r="D23" s="8"/>
      <c r="E23" s="8"/>
      <c r="F23" s="8"/>
      <c r="G23" s="8"/>
      <c r="H23" s="8"/>
      <c r="I23" s="8"/>
      <c r="J23" s="35"/>
      <c r="K23" s="19"/>
      <c r="L23" s="33"/>
      <c r="M23" s="19"/>
      <c r="N23" s="29"/>
      <c r="O23" s="46"/>
      <c r="P23" s="45" t="s">
        <v>128</v>
      </c>
      <c r="Q23" s="45"/>
      <c r="R23" s="45" t="s">
        <v>128</v>
      </c>
      <c r="S23" s="45"/>
      <c r="T23" s="45" t="s">
        <v>128</v>
      </c>
      <c r="U23" s="45"/>
      <c r="V23" s="45" t="s">
        <v>128</v>
      </c>
      <c r="W23" s="45"/>
      <c r="X23" s="45" t="s">
        <v>128</v>
      </c>
      <c r="Y23" s="45"/>
      <c r="Z23" s="45" t="s">
        <v>128</v>
      </c>
      <c r="AA23" s="45"/>
      <c r="AB23" s="45" t="s">
        <v>128</v>
      </c>
      <c r="AC23" s="107"/>
      <c r="AD23" s="103"/>
      <c r="AE23" s="103"/>
      <c r="AF23" s="105"/>
      <c r="AG23" s="103"/>
      <c r="AH23" s="105"/>
      <c r="AI23" s="103"/>
      <c r="AJ23" s="106"/>
      <c r="AK23" s="106"/>
      <c r="AL23" s="106"/>
      <c r="AM23" s="106"/>
      <c r="AN23" s="145"/>
      <c r="AO23" s="147"/>
      <c r="AP23" s="147"/>
      <c r="AQ23" s="147"/>
      <c r="AR23" s="147"/>
      <c r="AS23" s="147"/>
      <c r="AT23" s="142"/>
      <c r="AU23" s="147"/>
      <c r="AV23" s="147"/>
      <c r="AW23" s="147"/>
      <c r="AX23" s="147"/>
      <c r="AY23" s="147"/>
      <c r="AZ23" s="147"/>
      <c r="BA23" s="147"/>
      <c r="BB23" s="142"/>
      <c r="BC23" s="149"/>
      <c r="BD23" s="167"/>
      <c r="BE23" s="148"/>
    </row>
    <row r="24" spans="1:57" s="48" customFormat="1" hidden="1" x14ac:dyDescent="0.2">
      <c r="A24" s="22"/>
      <c r="B24" s="22"/>
      <c r="C24" s="22"/>
      <c r="D24" s="22"/>
      <c r="E24" s="22"/>
      <c r="F24" s="22"/>
      <c r="G24" s="22"/>
      <c r="H24" s="22"/>
      <c r="I24" s="22"/>
      <c r="J24" s="36"/>
      <c r="K24" s="19"/>
      <c r="L24" s="33"/>
      <c r="M24" s="19"/>
      <c r="N24" s="29"/>
      <c r="O24" s="46"/>
      <c r="P24" s="45" t="s">
        <v>128</v>
      </c>
      <c r="Q24" s="45"/>
      <c r="R24" s="45" t="s">
        <v>128</v>
      </c>
      <c r="S24" s="45"/>
      <c r="T24" s="45" t="s">
        <v>128</v>
      </c>
      <c r="U24" s="45"/>
      <c r="V24" s="45" t="s">
        <v>128</v>
      </c>
      <c r="W24" s="45"/>
      <c r="X24" s="45" t="s">
        <v>128</v>
      </c>
      <c r="Y24" s="45"/>
      <c r="Z24" s="45" t="s">
        <v>128</v>
      </c>
      <c r="AA24" s="45"/>
      <c r="AB24" s="45" t="s">
        <v>128</v>
      </c>
      <c r="AC24" s="107"/>
      <c r="AD24" s="103"/>
      <c r="AE24" s="103"/>
      <c r="AF24" s="105"/>
      <c r="AG24" s="103"/>
      <c r="AH24" s="105"/>
      <c r="AI24" s="103"/>
      <c r="AJ24" s="106"/>
      <c r="AK24" s="106"/>
      <c r="AL24" s="106"/>
      <c r="AM24" s="106"/>
      <c r="AN24" s="144"/>
      <c r="AO24" s="140"/>
      <c r="AP24" s="140"/>
      <c r="AQ24" s="140"/>
      <c r="AR24" s="140"/>
      <c r="AS24" s="140"/>
      <c r="AT24" s="140"/>
      <c r="AU24" s="140"/>
      <c r="AV24" s="140"/>
      <c r="AW24" s="140"/>
      <c r="AX24" s="140"/>
      <c r="AY24" s="140"/>
      <c r="AZ24" s="140"/>
      <c r="BA24" s="140"/>
      <c r="BB24" s="140"/>
      <c r="BC24" s="140"/>
      <c r="BD24" s="140"/>
    </row>
    <row r="25" spans="1:57" s="48" customFormat="1" hidden="1" x14ac:dyDescent="0.2">
      <c r="A25" s="8"/>
      <c r="B25" s="8"/>
      <c r="C25" s="8"/>
      <c r="D25" s="8"/>
      <c r="E25" s="8"/>
      <c r="F25" s="8"/>
      <c r="G25" s="8"/>
      <c r="H25" s="8"/>
      <c r="I25" s="8"/>
      <c r="J25" s="35"/>
      <c r="K25" s="19"/>
      <c r="L25" s="33"/>
      <c r="M25" s="19"/>
      <c r="N25" s="29"/>
      <c r="O25" s="46"/>
      <c r="P25" s="45" t="s">
        <v>128</v>
      </c>
      <c r="Q25" s="45"/>
      <c r="R25" s="45" t="s">
        <v>128</v>
      </c>
      <c r="S25" s="45"/>
      <c r="T25" s="45" t="s">
        <v>128</v>
      </c>
      <c r="U25" s="45"/>
      <c r="V25" s="45" t="s">
        <v>128</v>
      </c>
      <c r="W25" s="45"/>
      <c r="X25" s="45" t="s">
        <v>128</v>
      </c>
      <c r="Y25" s="45"/>
      <c r="Z25" s="45" t="s">
        <v>128</v>
      </c>
      <c r="AA25" s="45"/>
      <c r="AB25" s="45" t="s">
        <v>128</v>
      </c>
      <c r="AC25" s="107"/>
      <c r="AD25" s="103"/>
      <c r="AE25" s="103"/>
      <c r="AF25" s="105"/>
      <c r="AG25" s="103"/>
      <c r="AH25" s="105"/>
      <c r="AI25" s="103"/>
      <c r="AJ25" s="106"/>
      <c r="AK25" s="106"/>
      <c r="AL25" s="106"/>
      <c r="AM25" s="106"/>
      <c r="AN25" s="145"/>
      <c r="AO25" s="147"/>
      <c r="AP25" s="147"/>
      <c r="AQ25" s="147"/>
      <c r="AR25" s="147"/>
      <c r="AS25" s="147"/>
      <c r="AT25" s="142"/>
      <c r="AU25" s="147"/>
      <c r="AV25" s="147"/>
      <c r="AW25" s="147"/>
      <c r="AX25" s="147"/>
      <c r="AY25" s="147"/>
      <c r="AZ25" s="147"/>
      <c r="BA25" s="147"/>
      <c r="BB25" s="142"/>
      <c r="BC25" s="149"/>
      <c r="BD25" s="167"/>
      <c r="BE25" s="148"/>
    </row>
    <row r="26" spans="1:57" s="48" customFormat="1" hidden="1" x14ac:dyDescent="0.2">
      <c r="A26" s="22"/>
      <c r="B26" s="22"/>
      <c r="C26" s="22"/>
      <c r="D26" s="22"/>
      <c r="E26" s="22"/>
      <c r="F26" s="22"/>
      <c r="G26" s="22"/>
      <c r="H26" s="22"/>
      <c r="I26" s="22"/>
      <c r="J26" s="36"/>
      <c r="K26" s="19"/>
      <c r="L26" s="33"/>
      <c r="M26" s="19"/>
      <c r="N26" s="29"/>
      <c r="O26" s="46"/>
      <c r="P26" s="45" t="s">
        <v>128</v>
      </c>
      <c r="Q26" s="45"/>
      <c r="R26" s="45" t="s">
        <v>128</v>
      </c>
      <c r="S26" s="45"/>
      <c r="T26" s="45" t="s">
        <v>128</v>
      </c>
      <c r="U26" s="45"/>
      <c r="V26" s="45" t="s">
        <v>128</v>
      </c>
      <c r="W26" s="45"/>
      <c r="X26" s="45" t="s">
        <v>128</v>
      </c>
      <c r="Y26" s="45"/>
      <c r="Z26" s="45" t="s">
        <v>128</v>
      </c>
      <c r="AA26" s="45"/>
      <c r="AB26" s="45" t="s">
        <v>128</v>
      </c>
      <c r="AC26" s="107"/>
      <c r="AD26" s="103"/>
      <c r="AE26" s="103"/>
      <c r="AF26" s="105"/>
      <c r="AG26" s="103"/>
      <c r="AH26" s="105"/>
      <c r="AI26" s="103"/>
      <c r="AJ26" s="106"/>
      <c r="AK26" s="106"/>
      <c r="AL26" s="106"/>
      <c r="AM26" s="106"/>
      <c r="AN26" s="144"/>
      <c r="AO26" s="140"/>
      <c r="AP26" s="140"/>
      <c r="AQ26" s="140"/>
      <c r="AR26" s="140"/>
      <c r="AS26" s="140"/>
      <c r="AT26" s="140"/>
      <c r="AU26" s="140"/>
      <c r="AV26" s="140"/>
      <c r="AW26" s="140"/>
      <c r="AX26" s="140"/>
      <c r="AY26" s="140"/>
      <c r="AZ26" s="140"/>
      <c r="BA26" s="140"/>
      <c r="BB26" s="140"/>
      <c r="BC26" s="140"/>
      <c r="BD26" s="140"/>
    </row>
    <row r="27" spans="1:57" s="48" customFormat="1" hidden="1" x14ac:dyDescent="0.2">
      <c r="A27" s="8"/>
      <c r="B27" s="8"/>
      <c r="C27" s="8"/>
      <c r="D27" s="8"/>
      <c r="E27" s="8"/>
      <c r="F27" s="8"/>
      <c r="G27" s="8"/>
      <c r="H27" s="8"/>
      <c r="I27" s="8"/>
      <c r="J27" s="35"/>
      <c r="K27" s="19"/>
      <c r="L27" s="33"/>
      <c r="M27" s="19"/>
      <c r="N27" s="29"/>
      <c r="O27" s="46"/>
      <c r="P27" s="45" t="s">
        <v>128</v>
      </c>
      <c r="Q27" s="45"/>
      <c r="R27" s="45" t="s">
        <v>128</v>
      </c>
      <c r="S27" s="45"/>
      <c r="T27" s="45" t="s">
        <v>128</v>
      </c>
      <c r="U27" s="45"/>
      <c r="V27" s="45" t="s">
        <v>128</v>
      </c>
      <c r="W27" s="45"/>
      <c r="X27" s="45" t="s">
        <v>128</v>
      </c>
      <c r="Y27" s="45"/>
      <c r="Z27" s="45" t="s">
        <v>128</v>
      </c>
      <c r="AA27" s="45"/>
      <c r="AB27" s="45" t="s">
        <v>128</v>
      </c>
      <c r="AC27" s="107"/>
      <c r="AD27" s="103"/>
      <c r="AE27" s="103"/>
      <c r="AF27" s="105"/>
      <c r="AG27" s="103"/>
      <c r="AH27" s="105"/>
      <c r="AI27" s="103"/>
      <c r="AJ27" s="106"/>
      <c r="AK27" s="106"/>
      <c r="AL27" s="106"/>
      <c r="AM27" s="106"/>
      <c r="AN27" s="145"/>
      <c r="AO27" s="147"/>
      <c r="AP27" s="147"/>
      <c r="AQ27" s="147"/>
      <c r="AR27" s="147"/>
      <c r="AS27" s="147"/>
      <c r="AT27" s="142"/>
      <c r="AU27" s="147"/>
      <c r="AV27" s="147"/>
      <c r="AW27" s="147"/>
      <c r="AX27" s="147"/>
      <c r="AY27" s="147"/>
      <c r="AZ27" s="147"/>
      <c r="BA27" s="147"/>
      <c r="BB27" s="142"/>
      <c r="BC27" s="149"/>
      <c r="BD27" s="167"/>
      <c r="BE27" s="148"/>
    </row>
    <row r="28" spans="1:57" s="48" customFormat="1" hidden="1" x14ac:dyDescent="0.2">
      <c r="A28" s="22"/>
      <c r="B28" s="22"/>
      <c r="C28" s="22"/>
      <c r="D28" s="22"/>
      <c r="E28" s="22"/>
      <c r="F28" s="22"/>
      <c r="G28" s="22"/>
      <c r="H28" s="22"/>
      <c r="I28" s="22"/>
      <c r="J28" s="36"/>
      <c r="K28" s="19"/>
      <c r="L28" s="33"/>
      <c r="M28" s="19"/>
      <c r="N28" s="29"/>
      <c r="O28" s="46"/>
      <c r="P28" s="45" t="s">
        <v>128</v>
      </c>
      <c r="Q28" s="45"/>
      <c r="R28" s="45" t="s">
        <v>128</v>
      </c>
      <c r="S28" s="45"/>
      <c r="T28" s="45" t="s">
        <v>128</v>
      </c>
      <c r="U28" s="45"/>
      <c r="V28" s="45" t="s">
        <v>128</v>
      </c>
      <c r="W28" s="45"/>
      <c r="X28" s="45" t="s">
        <v>128</v>
      </c>
      <c r="Y28" s="45"/>
      <c r="Z28" s="45" t="s">
        <v>128</v>
      </c>
      <c r="AA28" s="45"/>
      <c r="AB28" s="45" t="s">
        <v>128</v>
      </c>
      <c r="AC28" s="107"/>
      <c r="AD28" s="103"/>
      <c r="AE28" s="103"/>
      <c r="AF28" s="105"/>
      <c r="AG28" s="103"/>
      <c r="AH28" s="105"/>
      <c r="AI28" s="103"/>
      <c r="AJ28" s="106"/>
      <c r="AK28" s="106"/>
      <c r="AL28" s="106"/>
      <c r="AM28" s="106"/>
      <c r="AN28" s="144"/>
      <c r="AO28" s="140"/>
      <c r="AP28" s="140"/>
      <c r="AQ28" s="140"/>
      <c r="AR28" s="140"/>
      <c r="AS28" s="140"/>
      <c r="AT28" s="140"/>
      <c r="AU28" s="140"/>
      <c r="AV28" s="140"/>
      <c r="AW28" s="140"/>
      <c r="AX28" s="140"/>
      <c r="AY28" s="140"/>
      <c r="AZ28" s="140"/>
      <c r="BA28" s="140"/>
      <c r="BB28" s="140"/>
      <c r="BC28" s="140"/>
      <c r="BD28" s="140"/>
    </row>
    <row r="29" spans="1:57" s="48" customFormat="1" hidden="1" x14ac:dyDescent="0.2">
      <c r="A29" s="8"/>
      <c r="B29" s="8"/>
      <c r="C29" s="8"/>
      <c r="D29" s="8"/>
      <c r="E29" s="8"/>
      <c r="F29" s="8"/>
      <c r="G29" s="8"/>
      <c r="H29" s="8"/>
      <c r="I29" s="8"/>
      <c r="J29" s="35"/>
      <c r="K29" s="19"/>
      <c r="L29" s="33"/>
      <c r="M29" s="19"/>
      <c r="N29" s="29"/>
      <c r="O29" s="46"/>
      <c r="P29" s="45" t="s">
        <v>128</v>
      </c>
      <c r="Q29" s="45"/>
      <c r="R29" s="45" t="s">
        <v>128</v>
      </c>
      <c r="S29" s="45"/>
      <c r="T29" s="45" t="s">
        <v>128</v>
      </c>
      <c r="U29" s="45"/>
      <c r="V29" s="45" t="s">
        <v>128</v>
      </c>
      <c r="W29" s="45"/>
      <c r="X29" s="45" t="s">
        <v>128</v>
      </c>
      <c r="Y29" s="45"/>
      <c r="Z29" s="45" t="s">
        <v>128</v>
      </c>
      <c r="AA29" s="45"/>
      <c r="AB29" s="45" t="s">
        <v>128</v>
      </c>
      <c r="AC29" s="107"/>
      <c r="AD29" s="103"/>
      <c r="AE29" s="103"/>
      <c r="AF29" s="105"/>
      <c r="AG29" s="103"/>
      <c r="AH29" s="105"/>
      <c r="AI29" s="103"/>
      <c r="AJ29" s="106"/>
      <c r="AK29" s="106"/>
      <c r="AL29" s="106"/>
      <c r="AM29" s="106"/>
      <c r="AN29" s="145"/>
      <c r="AO29" s="147"/>
      <c r="AP29" s="147"/>
      <c r="AQ29" s="147"/>
      <c r="AR29" s="147"/>
      <c r="AS29" s="147"/>
      <c r="AT29" s="142"/>
      <c r="AU29" s="147"/>
      <c r="AV29" s="147"/>
      <c r="AW29" s="147"/>
      <c r="AX29" s="147"/>
      <c r="AY29" s="147"/>
      <c r="AZ29" s="147"/>
      <c r="BA29" s="147"/>
      <c r="BB29" s="142"/>
      <c r="BC29" s="149"/>
      <c r="BD29" s="167"/>
      <c r="BE29" s="148"/>
    </row>
    <row r="30" spans="1:57" s="48" customFormat="1" hidden="1" x14ac:dyDescent="0.2">
      <c r="A30" s="22"/>
      <c r="B30" s="22"/>
      <c r="C30" s="22"/>
      <c r="D30" s="22"/>
      <c r="E30" s="22"/>
      <c r="F30" s="22"/>
      <c r="G30" s="22"/>
      <c r="H30" s="22"/>
      <c r="I30" s="22"/>
      <c r="J30" s="36"/>
      <c r="K30" s="19"/>
      <c r="L30" s="33"/>
      <c r="M30" s="19"/>
      <c r="N30" s="29"/>
      <c r="O30" s="46"/>
      <c r="P30" s="45" t="s">
        <v>128</v>
      </c>
      <c r="Q30" s="45"/>
      <c r="R30" s="45" t="s">
        <v>128</v>
      </c>
      <c r="S30" s="45"/>
      <c r="T30" s="45" t="s">
        <v>128</v>
      </c>
      <c r="U30" s="45"/>
      <c r="V30" s="45" t="s">
        <v>128</v>
      </c>
      <c r="W30" s="45"/>
      <c r="X30" s="45" t="s">
        <v>128</v>
      </c>
      <c r="Y30" s="45"/>
      <c r="Z30" s="45" t="s">
        <v>128</v>
      </c>
      <c r="AA30" s="45"/>
      <c r="AB30" s="45" t="s">
        <v>128</v>
      </c>
      <c r="AC30" s="107"/>
      <c r="AD30" s="103"/>
      <c r="AE30" s="103"/>
      <c r="AF30" s="105"/>
      <c r="AG30" s="103"/>
      <c r="AH30" s="105"/>
      <c r="AI30" s="103"/>
      <c r="AJ30" s="106"/>
      <c r="AK30" s="106"/>
      <c r="AL30" s="106"/>
      <c r="AM30" s="106"/>
      <c r="AN30" s="144"/>
      <c r="AO30" s="140"/>
      <c r="AP30" s="140"/>
      <c r="AQ30" s="140"/>
      <c r="AR30" s="140"/>
      <c r="AS30" s="140"/>
      <c r="AT30" s="140"/>
      <c r="AU30" s="140"/>
      <c r="AV30" s="140"/>
      <c r="AW30" s="140"/>
      <c r="AX30" s="140"/>
      <c r="AY30" s="140"/>
      <c r="AZ30" s="140"/>
      <c r="BA30" s="140"/>
      <c r="BB30" s="140"/>
      <c r="BC30" s="140"/>
      <c r="BD30" s="140"/>
    </row>
    <row r="31" spans="1:57" s="48" customFormat="1" hidden="1" x14ac:dyDescent="0.2">
      <c r="A31" s="8"/>
      <c r="B31" s="8"/>
      <c r="C31" s="8"/>
      <c r="D31" s="8"/>
      <c r="E31" s="8"/>
      <c r="F31" s="8"/>
      <c r="G31" s="8"/>
      <c r="H31" s="8"/>
      <c r="I31" s="8"/>
      <c r="J31" s="35"/>
      <c r="K31" s="19"/>
      <c r="L31" s="33"/>
      <c r="M31" s="19"/>
      <c r="N31" s="29"/>
      <c r="O31" s="46"/>
      <c r="P31" s="45" t="s">
        <v>128</v>
      </c>
      <c r="Q31" s="45"/>
      <c r="R31" s="45" t="s">
        <v>128</v>
      </c>
      <c r="S31" s="45"/>
      <c r="T31" s="45" t="s">
        <v>128</v>
      </c>
      <c r="U31" s="45"/>
      <c r="V31" s="45" t="s">
        <v>128</v>
      </c>
      <c r="W31" s="45"/>
      <c r="X31" s="45" t="s">
        <v>128</v>
      </c>
      <c r="Y31" s="45"/>
      <c r="Z31" s="45" t="s">
        <v>128</v>
      </c>
      <c r="AA31" s="45"/>
      <c r="AB31" s="45" t="s">
        <v>128</v>
      </c>
      <c r="AC31" s="107"/>
      <c r="AD31" s="103"/>
      <c r="AE31" s="103"/>
      <c r="AF31" s="105"/>
      <c r="AG31" s="103"/>
      <c r="AH31" s="105"/>
      <c r="AI31" s="103"/>
      <c r="AJ31" s="106"/>
      <c r="AK31" s="106"/>
      <c r="AL31" s="106"/>
      <c r="AM31" s="106"/>
      <c r="AN31" s="145"/>
      <c r="AO31" s="147"/>
      <c r="AP31" s="147"/>
      <c r="AQ31" s="147"/>
      <c r="AR31" s="147"/>
      <c r="AS31" s="147"/>
      <c r="AT31" s="142"/>
      <c r="AU31" s="147"/>
      <c r="AV31" s="147"/>
      <c r="AW31" s="147"/>
      <c r="AX31" s="147"/>
      <c r="AY31" s="147"/>
      <c r="AZ31" s="147"/>
      <c r="BA31" s="147"/>
      <c r="BB31" s="142"/>
      <c r="BC31" s="149"/>
      <c r="BD31" s="167"/>
      <c r="BE31" s="148"/>
    </row>
    <row r="32" spans="1:57" s="48" customFormat="1" hidden="1" x14ac:dyDescent="0.2">
      <c r="A32" s="22"/>
      <c r="B32" s="22"/>
      <c r="C32" s="22"/>
      <c r="D32" s="22"/>
      <c r="E32" s="22"/>
      <c r="F32" s="22"/>
      <c r="G32" s="22"/>
      <c r="H32" s="22"/>
      <c r="I32" s="22"/>
      <c r="J32" s="36"/>
      <c r="K32" s="19"/>
      <c r="L32" s="33"/>
      <c r="M32" s="19"/>
      <c r="N32" s="29"/>
      <c r="O32" s="46"/>
      <c r="P32" s="45" t="s">
        <v>128</v>
      </c>
      <c r="Q32" s="45"/>
      <c r="R32" s="45" t="s">
        <v>128</v>
      </c>
      <c r="S32" s="45"/>
      <c r="T32" s="45" t="s">
        <v>128</v>
      </c>
      <c r="U32" s="45"/>
      <c r="V32" s="45" t="s">
        <v>128</v>
      </c>
      <c r="W32" s="45"/>
      <c r="X32" s="45" t="s">
        <v>128</v>
      </c>
      <c r="Y32" s="45"/>
      <c r="Z32" s="45" t="s">
        <v>128</v>
      </c>
      <c r="AA32" s="45"/>
      <c r="AB32" s="45" t="s">
        <v>128</v>
      </c>
      <c r="AC32" s="107"/>
      <c r="AD32" s="103"/>
      <c r="AE32" s="103"/>
      <c r="AF32" s="105"/>
      <c r="AG32" s="103"/>
      <c r="AH32" s="105"/>
      <c r="AI32" s="103"/>
      <c r="AJ32" s="106"/>
      <c r="AK32" s="106"/>
      <c r="AL32" s="106"/>
      <c r="AM32" s="106"/>
      <c r="AN32" s="144"/>
      <c r="AO32" s="140"/>
      <c r="AP32" s="140"/>
      <c r="AQ32" s="140"/>
      <c r="AR32" s="140"/>
      <c r="AS32" s="140"/>
      <c r="AT32" s="140"/>
      <c r="AU32" s="140"/>
      <c r="AV32" s="140"/>
      <c r="AW32" s="140"/>
      <c r="AX32" s="140"/>
      <c r="AY32" s="140"/>
      <c r="AZ32" s="140"/>
      <c r="BA32" s="140"/>
      <c r="BB32" s="140"/>
      <c r="BC32" s="140"/>
      <c r="BD32" s="140"/>
    </row>
    <row r="33" spans="1:57" s="48" customFormat="1" hidden="1" x14ac:dyDescent="0.2">
      <c r="A33" s="8"/>
      <c r="B33" s="8"/>
      <c r="C33" s="8"/>
      <c r="D33" s="8"/>
      <c r="E33" s="8"/>
      <c r="F33" s="8"/>
      <c r="G33" s="8"/>
      <c r="H33" s="8"/>
      <c r="I33" s="8"/>
      <c r="J33" s="35"/>
      <c r="K33" s="19"/>
      <c r="L33" s="33"/>
      <c r="M33" s="19"/>
      <c r="N33" s="29"/>
      <c r="O33" s="46"/>
      <c r="P33" s="45" t="s">
        <v>128</v>
      </c>
      <c r="Q33" s="45"/>
      <c r="R33" s="45" t="s">
        <v>128</v>
      </c>
      <c r="S33" s="45"/>
      <c r="T33" s="45" t="s">
        <v>128</v>
      </c>
      <c r="U33" s="45"/>
      <c r="V33" s="45" t="s">
        <v>128</v>
      </c>
      <c r="W33" s="45"/>
      <c r="X33" s="45" t="s">
        <v>128</v>
      </c>
      <c r="Y33" s="45"/>
      <c r="Z33" s="45" t="s">
        <v>128</v>
      </c>
      <c r="AA33" s="45"/>
      <c r="AB33" s="45" t="s">
        <v>128</v>
      </c>
      <c r="AC33" s="107"/>
      <c r="AD33" s="103"/>
      <c r="AE33" s="103"/>
      <c r="AF33" s="105"/>
      <c r="AG33" s="103"/>
      <c r="AH33" s="105"/>
      <c r="AI33" s="103"/>
      <c r="AJ33" s="106"/>
      <c r="AK33" s="106"/>
      <c r="AL33" s="106"/>
      <c r="AM33" s="106"/>
      <c r="AN33" s="145"/>
      <c r="AO33" s="147"/>
      <c r="AP33" s="147"/>
      <c r="AQ33" s="147"/>
      <c r="AR33" s="147"/>
      <c r="AS33" s="147"/>
      <c r="AT33" s="142"/>
      <c r="AU33" s="147"/>
      <c r="AV33" s="147"/>
      <c r="AW33" s="147"/>
      <c r="AX33" s="147"/>
      <c r="AY33" s="147"/>
      <c r="AZ33" s="147"/>
      <c r="BA33" s="147"/>
      <c r="BB33" s="142"/>
      <c r="BC33" s="149"/>
      <c r="BD33" s="167"/>
      <c r="BE33" s="148"/>
    </row>
    <row r="34" spans="1:57" s="48" customFormat="1" hidden="1" x14ac:dyDescent="0.2">
      <c r="A34" s="22"/>
      <c r="B34" s="22"/>
      <c r="C34" s="22"/>
      <c r="D34" s="22"/>
      <c r="E34" s="22"/>
      <c r="F34" s="22"/>
      <c r="G34" s="22"/>
      <c r="H34" s="22"/>
      <c r="I34" s="22"/>
      <c r="J34" s="36"/>
      <c r="K34" s="19"/>
      <c r="L34" s="33"/>
      <c r="M34" s="19"/>
      <c r="N34" s="29"/>
      <c r="O34" s="46"/>
      <c r="P34" s="45" t="s">
        <v>128</v>
      </c>
      <c r="Q34" s="45"/>
      <c r="R34" s="45" t="s">
        <v>128</v>
      </c>
      <c r="S34" s="45"/>
      <c r="T34" s="45" t="s">
        <v>128</v>
      </c>
      <c r="U34" s="45"/>
      <c r="V34" s="45" t="s">
        <v>128</v>
      </c>
      <c r="W34" s="45"/>
      <c r="X34" s="45" t="s">
        <v>128</v>
      </c>
      <c r="Y34" s="45"/>
      <c r="Z34" s="45" t="s">
        <v>128</v>
      </c>
      <c r="AA34" s="45"/>
      <c r="AB34" s="45" t="s">
        <v>128</v>
      </c>
      <c r="AC34" s="107"/>
      <c r="AD34" s="103"/>
      <c r="AE34" s="103"/>
      <c r="AF34" s="105"/>
      <c r="AG34" s="103"/>
      <c r="AH34" s="105"/>
      <c r="AI34" s="103"/>
      <c r="AJ34" s="106"/>
      <c r="AK34" s="106"/>
      <c r="AL34" s="106"/>
      <c r="AM34" s="106"/>
      <c r="AN34" s="144"/>
      <c r="AO34" s="140"/>
      <c r="AP34" s="140"/>
      <c r="AQ34" s="140"/>
      <c r="AR34" s="140"/>
      <c r="AS34" s="140"/>
      <c r="AT34" s="140"/>
      <c r="AU34" s="140"/>
      <c r="AV34" s="140"/>
      <c r="AW34" s="140"/>
      <c r="AX34" s="140"/>
      <c r="AY34" s="140"/>
      <c r="AZ34" s="140"/>
      <c r="BA34" s="140"/>
      <c r="BB34" s="140"/>
      <c r="BC34" s="140"/>
      <c r="BD34" s="140"/>
    </row>
    <row r="35" spans="1:57" x14ac:dyDescent="0.2">
      <c r="C35" s="8"/>
      <c r="D35" s="23"/>
      <c r="E35" s="8"/>
      <c r="F35" s="8"/>
      <c r="G35" s="8"/>
      <c r="H35" s="8"/>
      <c r="I35" s="8"/>
      <c r="J35" s="35"/>
      <c r="K35" s="19"/>
      <c r="L35" s="33"/>
      <c r="M35" s="19"/>
      <c r="N35"/>
      <c r="O35"/>
      <c r="P35"/>
      <c r="Q35"/>
      <c r="R35"/>
      <c r="S35"/>
      <c r="T35"/>
      <c r="U35"/>
      <c r="V35"/>
      <c r="W35"/>
      <c r="X35"/>
      <c r="Y35"/>
      <c r="Z35"/>
      <c r="AA35"/>
      <c r="AB35"/>
      <c r="AC35"/>
    </row>
    <row r="36" spans="1:57" s="8" customFormat="1" x14ac:dyDescent="0.2">
      <c r="C36" s="366" t="s">
        <v>83</v>
      </c>
      <c r="D36" s="366"/>
      <c r="E36" s="43" t="s">
        <v>4</v>
      </c>
      <c r="F36" s="1"/>
      <c r="G36" s="1"/>
      <c r="H36" s="31" t="s">
        <v>293</v>
      </c>
      <c r="I36" s="43">
        <f>SUM(O2:O34)</f>
        <v>20</v>
      </c>
      <c r="J36" s="20">
        <f>SUM(J2:J34)</f>
        <v>313810000</v>
      </c>
      <c r="K36" s="24">
        <f>SUM(P36:AB36)</f>
        <v>1</v>
      </c>
      <c r="L36" s="1"/>
      <c r="M36" s="1"/>
      <c r="N36" s="21"/>
      <c r="P36" s="19">
        <v>0.03</v>
      </c>
      <c r="Q36" s="19"/>
      <c r="R36" s="19">
        <v>0.1</v>
      </c>
      <c r="S36" s="19"/>
      <c r="T36" s="19">
        <v>0.3</v>
      </c>
      <c r="U36" s="19"/>
      <c r="V36" s="19">
        <v>0.3</v>
      </c>
      <c r="W36" s="19"/>
      <c r="X36" s="19">
        <v>0.1</v>
      </c>
      <c r="Y36" s="19"/>
      <c r="Z36" s="19">
        <v>0.12</v>
      </c>
      <c r="AA36" s="19"/>
      <c r="AB36" s="19">
        <v>0.05</v>
      </c>
      <c r="AC36" s="19"/>
      <c r="AN36" s="141"/>
    </row>
    <row r="37" spans="1:57" x14ac:dyDescent="0.2">
      <c r="C37" s="23" t="s">
        <v>24</v>
      </c>
      <c r="D37" s="8">
        <f t="shared" ref="D37:D43" si="0">SUMIF($E$2:$E$34,C37,$O$2:$O$34)</f>
        <v>1</v>
      </c>
      <c r="E37" s="23" t="s">
        <v>29</v>
      </c>
      <c r="F37" s="8">
        <f>SUMIF($C$2:$C$34,E37,$O$2:$O$38)</f>
        <v>12</v>
      </c>
      <c r="M37" s="360" t="s">
        <v>150</v>
      </c>
      <c r="N37" s="360"/>
      <c r="O37" s="360"/>
    </row>
    <row r="38" spans="1:57" s="8" customFormat="1" x14ac:dyDescent="0.2">
      <c r="C38" s="23" t="s">
        <v>66</v>
      </c>
      <c r="D38" s="8">
        <f t="shared" si="0"/>
        <v>1</v>
      </c>
      <c r="E38" s="23" t="s">
        <v>22</v>
      </c>
      <c r="F38" s="8">
        <f>SUMIF($C$2:$C$34,E38,$O$2:$O$38)</f>
        <v>8</v>
      </c>
      <c r="G38" s="1"/>
      <c r="H38" s="348" t="s">
        <v>75</v>
      </c>
      <c r="I38" s="348"/>
      <c r="J38" s="20">
        <f>SUMIF(K2:K34,K38,J2:J34)</f>
        <v>313810000</v>
      </c>
      <c r="K38" s="24">
        <v>1</v>
      </c>
      <c r="L38" s="1"/>
      <c r="M38" s="48"/>
      <c r="N38" s="43">
        <f>SUMIF($K$2:$K$34,K38,$O$2:$O$34)</f>
        <v>20</v>
      </c>
      <c r="O38" s="43"/>
      <c r="P38" s="1"/>
      <c r="Q38" s="1"/>
      <c r="R38" s="1"/>
      <c r="S38" s="1"/>
      <c r="T38" s="1"/>
      <c r="U38" s="1"/>
      <c r="V38" s="1"/>
      <c r="W38" s="1"/>
      <c r="X38" s="1"/>
      <c r="Y38" s="1"/>
      <c r="Z38" s="1"/>
      <c r="AA38" s="1"/>
      <c r="AB38" s="1"/>
      <c r="AC38" s="1"/>
      <c r="AN38" s="141"/>
    </row>
    <row r="39" spans="1:57" s="8" customFormat="1" x14ac:dyDescent="0.2">
      <c r="C39" s="1" t="s">
        <v>34</v>
      </c>
      <c r="D39" s="8">
        <f t="shared" si="0"/>
        <v>1</v>
      </c>
      <c r="E39" s="1"/>
      <c r="F39" s="1"/>
      <c r="G39" s="1"/>
      <c r="H39" s="1" t="s">
        <v>76</v>
      </c>
      <c r="I39" s="2" t="s">
        <v>294</v>
      </c>
      <c r="J39" s="20">
        <f>SUMIF($L$2:$L$34,K39,$J$2:$J$34)</f>
        <v>9800000</v>
      </c>
      <c r="K39" s="25">
        <v>1</v>
      </c>
      <c r="L39" s="1"/>
      <c r="M39" s="1"/>
      <c r="N39" s="21"/>
      <c r="P39" s="1"/>
      <c r="Q39" s="1"/>
      <c r="R39" s="1"/>
      <c r="S39" s="1"/>
      <c r="T39" s="1"/>
      <c r="U39" s="1"/>
      <c r="V39" s="1"/>
      <c r="W39" s="1"/>
      <c r="X39" s="1"/>
      <c r="Y39" s="1"/>
      <c r="Z39" s="1"/>
      <c r="AA39" s="1"/>
      <c r="AB39" s="1"/>
      <c r="AC39" s="1"/>
      <c r="AN39" s="141"/>
    </row>
    <row r="40" spans="1:57" s="8" customFormat="1" x14ac:dyDescent="0.2">
      <c r="C40" s="23" t="s">
        <v>31</v>
      </c>
      <c r="D40" s="8">
        <f t="shared" si="0"/>
        <v>0</v>
      </c>
      <c r="E40" s="1">
        <v>1</v>
      </c>
      <c r="F40" s="1"/>
      <c r="G40" s="1"/>
      <c r="H40" s="1" t="s">
        <v>76</v>
      </c>
      <c r="I40" s="2" t="s">
        <v>295</v>
      </c>
      <c r="J40" s="20">
        <f>SUMIF($L$2:$L$34,K40,$J$2:$J$34)</f>
        <v>31470000</v>
      </c>
      <c r="K40" s="25">
        <v>2</v>
      </c>
      <c r="L40" s="1"/>
      <c r="M40" s="1"/>
      <c r="N40" s="21"/>
      <c r="P40" s="1"/>
      <c r="Q40" s="1"/>
      <c r="R40" s="1"/>
      <c r="S40" s="1"/>
      <c r="T40" s="1"/>
      <c r="U40" s="1"/>
      <c r="V40" s="1"/>
      <c r="W40" s="1"/>
      <c r="X40" s="1"/>
      <c r="Y40" s="1"/>
      <c r="Z40" s="1"/>
      <c r="AA40" s="1"/>
      <c r="AB40" s="1"/>
      <c r="AC40" s="1"/>
      <c r="AN40" s="141"/>
    </row>
    <row r="41" spans="1:57" s="8" customFormat="1" x14ac:dyDescent="0.2">
      <c r="C41" s="23" t="s">
        <v>85</v>
      </c>
      <c r="D41" s="8">
        <f t="shared" si="0"/>
        <v>0</v>
      </c>
      <c r="E41" s="1"/>
      <c r="F41" s="1"/>
      <c r="G41" s="1"/>
      <c r="H41" s="1" t="s">
        <v>76</v>
      </c>
      <c r="I41" s="2" t="s">
        <v>296</v>
      </c>
      <c r="J41" s="20">
        <f>SUMIF($L$2:$L$34,K41,$J$2:$J$34)</f>
        <v>118950000</v>
      </c>
      <c r="K41" s="25">
        <v>3</v>
      </c>
      <c r="L41" s="1"/>
      <c r="M41" s="1"/>
      <c r="N41" s="21"/>
      <c r="P41" s="1"/>
      <c r="Q41" s="1"/>
      <c r="R41" s="1"/>
      <c r="S41" s="1"/>
      <c r="T41" s="1"/>
      <c r="U41" s="1"/>
      <c r="V41" s="1"/>
      <c r="W41" s="1"/>
      <c r="X41" s="1"/>
      <c r="Y41" s="1"/>
      <c r="Z41" s="1"/>
      <c r="AA41" s="1"/>
      <c r="AB41" s="1"/>
      <c r="AC41" s="1"/>
      <c r="AN41" s="141"/>
    </row>
    <row r="42" spans="1:57" s="8" customFormat="1" x14ac:dyDescent="0.2">
      <c r="C42" s="23" t="s">
        <v>46</v>
      </c>
      <c r="D42" s="8">
        <f t="shared" si="0"/>
        <v>1</v>
      </c>
      <c r="E42" s="1"/>
      <c r="F42" s="1"/>
      <c r="G42" s="1"/>
      <c r="H42" s="1" t="s">
        <v>76</v>
      </c>
      <c r="I42" s="2" t="s">
        <v>297</v>
      </c>
      <c r="J42" s="20">
        <f>SUMIF($L$2:$L$34,K42,$J$2:$J$34)</f>
        <v>68300000</v>
      </c>
      <c r="K42" s="25">
        <v>4</v>
      </c>
      <c r="L42" s="1"/>
      <c r="M42" s="1"/>
      <c r="N42" s="21"/>
      <c r="P42" s="1"/>
      <c r="Q42" s="1"/>
      <c r="R42" s="1"/>
      <c r="S42" s="1"/>
      <c r="T42" s="1"/>
      <c r="U42" s="1"/>
      <c r="V42" s="1"/>
      <c r="W42" s="1"/>
      <c r="X42" s="1"/>
      <c r="Y42" s="1"/>
      <c r="Z42" s="1"/>
      <c r="AA42" s="1"/>
      <c r="AB42" s="1"/>
      <c r="AC42" s="1"/>
      <c r="AN42" s="141"/>
    </row>
    <row r="43" spans="1:57" x14ac:dyDescent="0.2">
      <c r="C43" s="23" t="s">
        <v>38</v>
      </c>
      <c r="D43" s="8">
        <f t="shared" si="0"/>
        <v>16</v>
      </c>
      <c r="H43" s="38" t="s">
        <v>76</v>
      </c>
      <c r="I43" s="39" t="s">
        <v>298</v>
      </c>
      <c r="J43" s="40">
        <f>SUMIF($L$2:$L$34,K43,$J$2:$J$34)</f>
        <v>85290000</v>
      </c>
      <c r="K43" s="41">
        <v>5</v>
      </c>
    </row>
    <row r="44" spans="1:57" x14ac:dyDescent="0.2">
      <c r="C44" s="23"/>
      <c r="D44" s="8"/>
    </row>
    <row r="45" spans="1:57" x14ac:dyDescent="0.2">
      <c r="L45" s="33"/>
    </row>
    <row r="46" spans="1:57" x14ac:dyDescent="0.2">
      <c r="C46" s="3" t="s">
        <v>157</v>
      </c>
      <c r="D46" s="8">
        <f>SUM(D37:D45)</f>
        <v>20</v>
      </c>
      <c r="E46" s="3" t="s">
        <v>157</v>
      </c>
      <c r="F46" s="8">
        <f>SUM(F37:F45)</f>
        <v>20</v>
      </c>
    </row>
    <row r="47" spans="1:57" s="57" customFormat="1" ht="29.25" customHeight="1" x14ac:dyDescent="0.2">
      <c r="A47" s="383" t="s">
        <v>158</v>
      </c>
      <c r="B47" s="383"/>
      <c r="C47" s="383"/>
      <c r="D47" s="383"/>
      <c r="E47" s="383"/>
      <c r="F47" s="383"/>
      <c r="G47" s="383"/>
      <c r="H47" s="384"/>
      <c r="I47" s="181" t="s">
        <v>159</v>
      </c>
      <c r="J47" s="181" t="s">
        <v>160</v>
      </c>
      <c r="N47" s="59"/>
      <c r="O47" s="7"/>
      <c r="P47" s="170"/>
      <c r="AG47" s="7"/>
      <c r="AI47" s="7"/>
      <c r="AN47" s="146"/>
      <c r="AO47" s="7"/>
      <c r="AP47" s="7"/>
      <c r="AQ47" s="7"/>
      <c r="AR47" s="7"/>
      <c r="AS47" s="7"/>
      <c r="AT47" s="7"/>
      <c r="AU47" s="7"/>
      <c r="AV47" s="7"/>
      <c r="AW47" s="7"/>
      <c r="AX47" s="7"/>
      <c r="AY47" s="7"/>
      <c r="AZ47" s="7"/>
      <c r="BA47" s="7"/>
      <c r="BB47" s="7"/>
      <c r="BC47" s="7"/>
      <c r="BD47" s="7"/>
    </row>
    <row r="48" spans="1:57" x14ac:dyDescent="0.2">
      <c r="A48" s="109">
        <v>44652</v>
      </c>
      <c r="B48" s="110" t="s">
        <v>164</v>
      </c>
      <c r="C48" s="355" t="s">
        <v>299</v>
      </c>
      <c r="D48" s="355"/>
      <c r="E48" s="355"/>
      <c r="F48" s="355"/>
      <c r="G48" s="355"/>
      <c r="H48" s="355"/>
      <c r="I48" s="111" t="s">
        <v>169</v>
      </c>
      <c r="J48" s="112" t="s">
        <v>174</v>
      </c>
    </row>
    <row r="49" spans="1:10" x14ac:dyDescent="0.2">
      <c r="A49" s="113">
        <v>44652</v>
      </c>
      <c r="B49" s="50" t="s">
        <v>164</v>
      </c>
      <c r="C49" s="353" t="s">
        <v>300</v>
      </c>
      <c r="D49" s="353"/>
      <c r="E49" s="353"/>
      <c r="F49" s="353"/>
      <c r="G49" s="353"/>
      <c r="H49" s="353"/>
      <c r="I49" s="51" t="s">
        <v>181</v>
      </c>
      <c r="J49" s="114" t="s">
        <v>174</v>
      </c>
    </row>
    <row r="50" spans="1:10" x14ac:dyDescent="0.2">
      <c r="A50" s="121">
        <v>44652</v>
      </c>
      <c r="B50" s="91" t="s">
        <v>164</v>
      </c>
      <c r="C50" s="354" t="s">
        <v>301</v>
      </c>
      <c r="D50" s="354"/>
      <c r="E50" s="354"/>
      <c r="F50" s="354"/>
      <c r="G50" s="354"/>
      <c r="H50" s="354"/>
      <c r="I50" s="92" t="s">
        <v>172</v>
      </c>
      <c r="J50" s="122" t="s">
        <v>191</v>
      </c>
    </row>
    <row r="51" spans="1:10" x14ac:dyDescent="0.2">
      <c r="A51" s="126">
        <f>+A48+1</f>
        <v>44653</v>
      </c>
      <c r="B51" s="127" t="s">
        <v>165</v>
      </c>
      <c r="C51" s="357"/>
      <c r="D51" s="357"/>
      <c r="E51" s="357"/>
      <c r="F51" s="357"/>
      <c r="G51" s="357"/>
      <c r="H51" s="357"/>
      <c r="I51" s="128"/>
      <c r="J51" s="129"/>
    </row>
    <row r="52" spans="1:10" x14ac:dyDescent="0.2">
      <c r="A52" s="130">
        <f t="shared" ref="A52:A123" si="1">+A51+1</f>
        <v>44654</v>
      </c>
      <c r="B52" s="131" t="s">
        <v>166</v>
      </c>
      <c r="C52" s="358"/>
      <c r="D52" s="358"/>
      <c r="E52" s="358"/>
      <c r="F52" s="358"/>
      <c r="G52" s="358"/>
      <c r="H52" s="358"/>
      <c r="I52" s="132"/>
      <c r="J52" s="133"/>
    </row>
    <row r="53" spans="1:10" x14ac:dyDescent="0.2">
      <c r="A53" s="123">
        <f t="shared" si="1"/>
        <v>44655</v>
      </c>
      <c r="B53" s="124" t="s">
        <v>167</v>
      </c>
      <c r="C53" s="363" t="s">
        <v>302</v>
      </c>
      <c r="D53" s="363"/>
      <c r="E53" s="363"/>
      <c r="F53" s="363"/>
      <c r="G53" s="363"/>
      <c r="H53" s="363"/>
      <c r="I53" s="65" t="s">
        <v>169</v>
      </c>
      <c r="J53" s="125" t="s">
        <v>174</v>
      </c>
    </row>
    <row r="54" spans="1:10" x14ac:dyDescent="0.2">
      <c r="A54" s="113">
        <v>44655</v>
      </c>
      <c r="B54" s="50" t="s">
        <v>167</v>
      </c>
      <c r="C54" s="353" t="s">
        <v>303</v>
      </c>
      <c r="D54" s="353"/>
      <c r="E54" s="353"/>
      <c r="F54" s="353"/>
      <c r="G54" s="353"/>
      <c r="H54" s="353"/>
      <c r="I54" s="51" t="s">
        <v>181</v>
      </c>
      <c r="J54" s="114" t="s">
        <v>174</v>
      </c>
    </row>
    <row r="55" spans="1:10" x14ac:dyDescent="0.2">
      <c r="A55" s="121">
        <v>44655</v>
      </c>
      <c r="B55" s="91" t="s">
        <v>167</v>
      </c>
      <c r="C55" s="354" t="s">
        <v>304</v>
      </c>
      <c r="D55" s="354"/>
      <c r="E55" s="354"/>
      <c r="F55" s="354"/>
      <c r="G55" s="354"/>
      <c r="H55" s="354"/>
      <c r="I55" s="92" t="s">
        <v>172</v>
      </c>
      <c r="J55" s="122" t="s">
        <v>174</v>
      </c>
    </row>
    <row r="56" spans="1:10" x14ac:dyDescent="0.2">
      <c r="A56" s="109">
        <v>44656</v>
      </c>
      <c r="B56" s="110" t="s">
        <v>167</v>
      </c>
      <c r="C56" s="355" t="s">
        <v>305</v>
      </c>
      <c r="D56" s="355"/>
      <c r="E56" s="355"/>
      <c r="F56" s="355"/>
      <c r="G56" s="355"/>
      <c r="H56" s="355"/>
      <c r="I56" s="111" t="s">
        <v>169</v>
      </c>
      <c r="J56" s="112" t="s">
        <v>191</v>
      </c>
    </row>
    <row r="57" spans="1:10" x14ac:dyDescent="0.2">
      <c r="A57" s="121">
        <f>+A53+1</f>
        <v>44656</v>
      </c>
      <c r="B57" s="91" t="s">
        <v>161</v>
      </c>
      <c r="C57" s="354" t="s">
        <v>306</v>
      </c>
      <c r="D57" s="354"/>
      <c r="E57" s="354"/>
      <c r="F57" s="354"/>
      <c r="G57" s="354"/>
      <c r="H57" s="354"/>
      <c r="I57" s="92" t="s">
        <v>172</v>
      </c>
      <c r="J57" s="122" t="s">
        <v>187</v>
      </c>
    </row>
    <row r="58" spans="1:10" x14ac:dyDescent="0.2">
      <c r="A58" s="109">
        <v>44657</v>
      </c>
      <c r="B58" s="110" t="s">
        <v>162</v>
      </c>
      <c r="C58" s="355" t="s">
        <v>307</v>
      </c>
      <c r="D58" s="355"/>
      <c r="E58" s="355"/>
      <c r="F58" s="355"/>
      <c r="G58" s="355"/>
      <c r="H58" s="355"/>
      <c r="I58" s="111" t="s">
        <v>169</v>
      </c>
      <c r="J58" s="112" t="s">
        <v>174</v>
      </c>
    </row>
    <row r="59" spans="1:10" x14ac:dyDescent="0.2">
      <c r="A59" s="113">
        <v>44657</v>
      </c>
      <c r="B59" s="50" t="s">
        <v>162</v>
      </c>
      <c r="C59" s="353" t="s">
        <v>308</v>
      </c>
      <c r="D59" s="353"/>
      <c r="E59" s="353"/>
      <c r="F59" s="353"/>
      <c r="G59" s="353"/>
      <c r="H59" s="353"/>
      <c r="I59" s="51" t="s">
        <v>169</v>
      </c>
      <c r="J59" s="114" t="s">
        <v>187</v>
      </c>
    </row>
    <row r="60" spans="1:10" x14ac:dyDescent="0.2">
      <c r="A60" s="113">
        <v>44657</v>
      </c>
      <c r="B60" s="50" t="s">
        <v>162</v>
      </c>
      <c r="C60" s="353" t="s">
        <v>309</v>
      </c>
      <c r="D60" s="353"/>
      <c r="E60" s="353"/>
      <c r="F60" s="353"/>
      <c r="G60" s="353"/>
      <c r="H60" s="353"/>
      <c r="I60" s="51" t="s">
        <v>181</v>
      </c>
      <c r="J60" s="114" t="s">
        <v>187</v>
      </c>
    </row>
    <row r="61" spans="1:10" x14ac:dyDescent="0.2">
      <c r="A61" s="113">
        <v>44657</v>
      </c>
      <c r="B61" s="50" t="s">
        <v>162</v>
      </c>
      <c r="C61" s="353" t="s">
        <v>310</v>
      </c>
      <c r="D61" s="353"/>
      <c r="E61" s="353"/>
      <c r="F61" s="353"/>
      <c r="G61" s="353"/>
      <c r="H61" s="353"/>
      <c r="I61" s="51" t="s">
        <v>181</v>
      </c>
      <c r="J61" s="114" t="s">
        <v>185</v>
      </c>
    </row>
    <row r="62" spans="1:10" x14ac:dyDescent="0.2">
      <c r="A62" s="121">
        <f>+A57+1</f>
        <v>44657</v>
      </c>
      <c r="B62" s="91" t="s">
        <v>162</v>
      </c>
      <c r="C62" s="354" t="s">
        <v>311</v>
      </c>
      <c r="D62" s="354"/>
      <c r="E62" s="354"/>
      <c r="F62" s="354"/>
      <c r="G62" s="354"/>
      <c r="H62" s="354"/>
      <c r="I62" s="92" t="s">
        <v>181</v>
      </c>
      <c r="J62" s="122" t="s">
        <v>242</v>
      </c>
    </row>
    <row r="63" spans="1:10" x14ac:dyDescent="0.2">
      <c r="A63" s="109">
        <f t="shared" si="1"/>
        <v>44658</v>
      </c>
      <c r="B63" s="110" t="s">
        <v>163</v>
      </c>
      <c r="C63" s="355" t="s">
        <v>312</v>
      </c>
      <c r="D63" s="355"/>
      <c r="E63" s="355"/>
      <c r="F63" s="355"/>
      <c r="G63" s="355"/>
      <c r="H63" s="355"/>
      <c r="I63" s="111" t="s">
        <v>181</v>
      </c>
      <c r="J63" s="112" t="s">
        <v>174</v>
      </c>
    </row>
    <row r="64" spans="1:10" x14ac:dyDescent="0.2">
      <c r="A64" s="113">
        <v>44658</v>
      </c>
      <c r="B64" s="50" t="s">
        <v>163</v>
      </c>
      <c r="C64" s="353" t="s">
        <v>313</v>
      </c>
      <c r="D64" s="353"/>
      <c r="E64" s="353"/>
      <c r="F64" s="353"/>
      <c r="G64" s="353"/>
      <c r="H64" s="353"/>
      <c r="I64" s="51" t="s">
        <v>181</v>
      </c>
      <c r="J64" s="114" t="s">
        <v>185</v>
      </c>
    </row>
    <row r="65" spans="1:10" x14ac:dyDescent="0.2">
      <c r="A65" s="113">
        <v>44658</v>
      </c>
      <c r="B65" s="50" t="s">
        <v>163</v>
      </c>
      <c r="C65" s="353" t="s">
        <v>314</v>
      </c>
      <c r="D65" s="353"/>
      <c r="E65" s="353"/>
      <c r="F65" s="353"/>
      <c r="G65" s="353"/>
      <c r="H65" s="353"/>
      <c r="I65" s="51" t="s">
        <v>181</v>
      </c>
      <c r="J65" s="114" t="s">
        <v>187</v>
      </c>
    </row>
    <row r="66" spans="1:10" x14ac:dyDescent="0.2">
      <c r="A66" s="121">
        <v>44658</v>
      </c>
      <c r="B66" s="91" t="s">
        <v>163</v>
      </c>
      <c r="C66" s="354" t="s">
        <v>315</v>
      </c>
      <c r="D66" s="354"/>
      <c r="E66" s="354"/>
      <c r="F66" s="354"/>
      <c r="G66" s="354"/>
      <c r="H66" s="354"/>
      <c r="I66" s="92" t="s">
        <v>208</v>
      </c>
      <c r="J66" s="122" t="s">
        <v>187</v>
      </c>
    </row>
    <row r="67" spans="1:10" x14ac:dyDescent="0.2">
      <c r="A67" s="121">
        <v>44658</v>
      </c>
      <c r="B67" s="91" t="s">
        <v>163</v>
      </c>
      <c r="C67" s="354" t="s">
        <v>316</v>
      </c>
      <c r="D67" s="354"/>
      <c r="E67" s="354"/>
      <c r="F67" s="354"/>
      <c r="G67" s="354"/>
      <c r="H67" s="354"/>
      <c r="I67" s="92" t="s">
        <v>172</v>
      </c>
      <c r="J67" s="122" t="s">
        <v>187</v>
      </c>
    </row>
    <row r="68" spans="1:10" x14ac:dyDescent="0.2">
      <c r="A68" s="109">
        <f>A63+1</f>
        <v>44659</v>
      </c>
      <c r="B68" s="110" t="s">
        <v>164</v>
      </c>
      <c r="C68" s="355" t="s">
        <v>317</v>
      </c>
      <c r="D68" s="355"/>
      <c r="E68" s="355"/>
      <c r="F68" s="355"/>
      <c r="G68" s="355"/>
      <c r="H68" s="355"/>
      <c r="I68" s="111" t="s">
        <v>181</v>
      </c>
      <c r="J68" s="112" t="s">
        <v>174</v>
      </c>
    </row>
    <row r="69" spans="1:10" x14ac:dyDescent="0.2">
      <c r="A69" s="113">
        <v>44659</v>
      </c>
      <c r="B69" s="50" t="s">
        <v>164</v>
      </c>
      <c r="C69" s="353" t="s">
        <v>318</v>
      </c>
      <c r="D69" s="353"/>
      <c r="E69" s="353"/>
      <c r="F69" s="353"/>
      <c r="G69" s="353"/>
      <c r="H69" s="353"/>
      <c r="I69" s="51"/>
      <c r="J69" s="114" t="s">
        <v>170</v>
      </c>
    </row>
    <row r="70" spans="1:10" x14ac:dyDescent="0.2">
      <c r="A70" s="151">
        <f>+A68+1</f>
        <v>44660</v>
      </c>
      <c r="B70" s="152" t="s">
        <v>165</v>
      </c>
      <c r="C70" s="364"/>
      <c r="D70" s="364"/>
      <c r="E70" s="364"/>
      <c r="F70" s="364"/>
      <c r="G70" s="364"/>
      <c r="H70" s="364"/>
      <c r="I70" s="153"/>
      <c r="J70" s="154"/>
    </row>
    <row r="71" spans="1:10" x14ac:dyDescent="0.2">
      <c r="A71" s="130">
        <f t="shared" si="1"/>
        <v>44661</v>
      </c>
      <c r="B71" s="131" t="s">
        <v>166</v>
      </c>
      <c r="C71" s="358"/>
      <c r="D71" s="358"/>
      <c r="E71" s="358"/>
      <c r="F71" s="358"/>
      <c r="G71" s="358"/>
      <c r="H71" s="358"/>
      <c r="I71" s="132"/>
      <c r="J71" s="133"/>
    </row>
    <row r="72" spans="1:10" x14ac:dyDescent="0.2">
      <c r="A72" s="123">
        <f t="shared" si="1"/>
        <v>44662</v>
      </c>
      <c r="B72" s="124" t="s">
        <v>167</v>
      </c>
      <c r="C72" s="363" t="s">
        <v>319</v>
      </c>
      <c r="D72" s="363"/>
      <c r="E72" s="363"/>
      <c r="F72" s="363"/>
      <c r="G72" s="363"/>
      <c r="H72" s="363"/>
      <c r="I72" s="65" t="s">
        <v>169</v>
      </c>
      <c r="J72" s="125" t="s">
        <v>191</v>
      </c>
    </row>
    <row r="73" spans="1:10" x14ac:dyDescent="0.2">
      <c r="A73" s="113">
        <v>44662</v>
      </c>
      <c r="B73" s="50" t="s">
        <v>167</v>
      </c>
      <c r="C73" s="353" t="s">
        <v>311</v>
      </c>
      <c r="D73" s="353"/>
      <c r="E73" s="353"/>
      <c r="F73" s="353"/>
      <c r="G73" s="353"/>
      <c r="H73" s="353"/>
      <c r="I73" s="51" t="s">
        <v>181</v>
      </c>
      <c r="J73" s="114" t="s">
        <v>242</v>
      </c>
    </row>
    <row r="74" spans="1:10" x14ac:dyDescent="0.2">
      <c r="A74" s="113">
        <v>44662</v>
      </c>
      <c r="B74" s="50" t="s">
        <v>167</v>
      </c>
      <c r="C74" s="353" t="s">
        <v>320</v>
      </c>
      <c r="D74" s="353"/>
      <c r="E74" s="353"/>
      <c r="F74" s="353"/>
      <c r="G74" s="353"/>
      <c r="H74" s="353"/>
      <c r="I74" s="51" t="s">
        <v>183</v>
      </c>
      <c r="J74" s="114" t="s">
        <v>191</v>
      </c>
    </row>
    <row r="75" spans="1:10" x14ac:dyDescent="0.2">
      <c r="A75" s="109">
        <f>+A72+1</f>
        <v>44663</v>
      </c>
      <c r="B75" s="110" t="s">
        <v>161</v>
      </c>
      <c r="C75" s="355" t="s">
        <v>321</v>
      </c>
      <c r="D75" s="355"/>
      <c r="E75" s="355"/>
      <c r="F75" s="355"/>
      <c r="G75" s="355"/>
      <c r="H75" s="355"/>
      <c r="I75" s="111" t="s">
        <v>169</v>
      </c>
      <c r="J75" s="112" t="s">
        <v>174</v>
      </c>
    </row>
    <row r="76" spans="1:10" x14ac:dyDescent="0.2">
      <c r="A76" s="113">
        <v>44663</v>
      </c>
      <c r="B76" s="50" t="s">
        <v>161</v>
      </c>
      <c r="C76" s="353" t="s">
        <v>322</v>
      </c>
      <c r="D76" s="353"/>
      <c r="E76" s="353"/>
      <c r="F76" s="353"/>
      <c r="G76" s="353"/>
      <c r="H76" s="353"/>
      <c r="I76" s="51" t="s">
        <v>181</v>
      </c>
      <c r="J76" s="114" t="s">
        <v>187</v>
      </c>
    </row>
    <row r="77" spans="1:10" x14ac:dyDescent="0.2">
      <c r="A77" s="113">
        <v>44663</v>
      </c>
      <c r="B77" s="50" t="s">
        <v>161</v>
      </c>
      <c r="C77" s="363" t="s">
        <v>319</v>
      </c>
      <c r="D77" s="363"/>
      <c r="E77" s="363"/>
      <c r="F77" s="363"/>
      <c r="G77" s="363"/>
      <c r="H77" s="363"/>
      <c r="I77" s="65" t="s">
        <v>169</v>
      </c>
      <c r="J77" s="125" t="s">
        <v>191</v>
      </c>
    </row>
    <row r="78" spans="1:10" x14ac:dyDescent="0.2">
      <c r="A78" s="121">
        <v>44663</v>
      </c>
      <c r="B78" s="91" t="s">
        <v>161</v>
      </c>
      <c r="C78" s="354" t="s">
        <v>323</v>
      </c>
      <c r="D78" s="354"/>
      <c r="E78" s="354"/>
      <c r="F78" s="354"/>
      <c r="G78" s="354"/>
      <c r="H78" s="354"/>
      <c r="I78" s="92" t="s">
        <v>183</v>
      </c>
      <c r="J78" s="122" t="s">
        <v>191</v>
      </c>
    </row>
    <row r="79" spans="1:10" x14ac:dyDescent="0.2">
      <c r="A79" s="109">
        <f>+A75+1</f>
        <v>44664</v>
      </c>
      <c r="B79" s="110" t="s">
        <v>162</v>
      </c>
      <c r="C79" s="355"/>
      <c r="D79" s="355"/>
      <c r="E79" s="355"/>
      <c r="F79" s="355"/>
      <c r="G79" s="355"/>
      <c r="H79" s="355"/>
      <c r="I79" s="111"/>
      <c r="J79" s="112"/>
    </row>
    <row r="80" spans="1:10" x14ac:dyDescent="0.2">
      <c r="A80" s="113">
        <v>44664</v>
      </c>
      <c r="B80" s="50" t="s">
        <v>162</v>
      </c>
      <c r="C80" s="353"/>
      <c r="D80" s="353"/>
      <c r="E80" s="353"/>
      <c r="F80" s="353"/>
      <c r="G80" s="353"/>
      <c r="H80" s="353"/>
      <c r="I80" s="51"/>
      <c r="J80" s="114"/>
    </row>
    <row r="81" spans="1:10" x14ac:dyDescent="0.2">
      <c r="A81" s="121">
        <v>44664</v>
      </c>
      <c r="B81" s="91" t="s">
        <v>162</v>
      </c>
      <c r="C81" s="354"/>
      <c r="D81" s="354"/>
      <c r="E81" s="354"/>
      <c r="F81" s="354"/>
      <c r="G81" s="354"/>
      <c r="H81" s="354"/>
      <c r="I81" s="92"/>
      <c r="J81" s="122"/>
    </row>
    <row r="82" spans="1:10" x14ac:dyDescent="0.2">
      <c r="A82" s="109">
        <f>+A79+1</f>
        <v>44665</v>
      </c>
      <c r="B82" s="110" t="s">
        <v>163</v>
      </c>
      <c r="C82" s="355" t="s">
        <v>324</v>
      </c>
      <c r="D82" s="355"/>
      <c r="E82" s="355"/>
      <c r="F82" s="355"/>
      <c r="G82" s="355"/>
      <c r="H82" s="355"/>
      <c r="I82" s="111" t="s">
        <v>181</v>
      </c>
      <c r="J82" s="112" t="s">
        <v>174</v>
      </c>
    </row>
    <row r="83" spans="1:10" x14ac:dyDescent="0.2">
      <c r="A83" s="113">
        <v>44665</v>
      </c>
      <c r="B83" s="50" t="s">
        <v>163</v>
      </c>
      <c r="C83" s="353" t="s">
        <v>325</v>
      </c>
      <c r="D83" s="353"/>
      <c r="E83" s="353"/>
      <c r="F83" s="353"/>
      <c r="G83" s="353"/>
      <c r="H83" s="353"/>
      <c r="I83" s="51" t="s">
        <v>169</v>
      </c>
      <c r="J83" s="114" t="s">
        <v>244</v>
      </c>
    </row>
    <row r="84" spans="1:10" x14ac:dyDescent="0.2">
      <c r="A84" s="121">
        <v>44665</v>
      </c>
      <c r="B84" s="91" t="s">
        <v>163</v>
      </c>
      <c r="C84" s="354" t="s">
        <v>326</v>
      </c>
      <c r="D84" s="354"/>
      <c r="E84" s="354"/>
      <c r="F84" s="354"/>
      <c r="G84" s="354"/>
      <c r="H84" s="354"/>
      <c r="I84" s="92" t="s">
        <v>181</v>
      </c>
      <c r="J84" s="122" t="s">
        <v>244</v>
      </c>
    </row>
    <row r="85" spans="1:10" x14ac:dyDescent="0.2">
      <c r="A85" s="126">
        <f>+A82+1</f>
        <v>44666</v>
      </c>
      <c r="B85" s="127" t="s">
        <v>164</v>
      </c>
      <c r="C85" s="385"/>
      <c r="D85" s="385"/>
      <c r="E85" s="385"/>
      <c r="F85" s="385"/>
      <c r="G85" s="385"/>
      <c r="H85" s="385"/>
      <c r="I85" s="187"/>
      <c r="J85" s="188"/>
    </row>
    <row r="86" spans="1:10" x14ac:dyDescent="0.2">
      <c r="A86" s="189">
        <f t="shared" si="1"/>
        <v>44667</v>
      </c>
      <c r="B86" s="175" t="s">
        <v>165</v>
      </c>
      <c r="C86" s="386"/>
      <c r="D86" s="386"/>
      <c r="E86" s="386"/>
      <c r="F86" s="386"/>
      <c r="G86" s="386"/>
      <c r="H86" s="386"/>
      <c r="I86" s="177"/>
      <c r="J86" s="190"/>
    </row>
    <row r="87" spans="1:10" x14ac:dyDescent="0.2">
      <c r="A87" s="130">
        <f t="shared" si="1"/>
        <v>44668</v>
      </c>
      <c r="B87" s="131" t="s">
        <v>166</v>
      </c>
      <c r="C87" s="358"/>
      <c r="D87" s="358"/>
      <c r="E87" s="358"/>
      <c r="F87" s="358"/>
      <c r="G87" s="358"/>
      <c r="H87" s="358"/>
      <c r="I87" s="132"/>
      <c r="J87" s="133"/>
    </row>
    <row r="88" spans="1:10" x14ac:dyDescent="0.2">
      <c r="A88" s="123">
        <f t="shared" si="1"/>
        <v>44669</v>
      </c>
      <c r="B88" s="124" t="s">
        <v>167</v>
      </c>
      <c r="C88" s="387" t="s">
        <v>327</v>
      </c>
      <c r="D88" s="388"/>
      <c r="E88" s="388"/>
      <c r="F88" s="388"/>
      <c r="G88" s="388"/>
      <c r="H88" s="389"/>
      <c r="I88" s="65" t="s">
        <v>169</v>
      </c>
      <c r="J88" s="125" t="s">
        <v>174</v>
      </c>
    </row>
    <row r="89" spans="1:10" x14ac:dyDescent="0.2">
      <c r="A89" s="113">
        <v>44669</v>
      </c>
      <c r="B89" s="50" t="s">
        <v>167</v>
      </c>
      <c r="C89" s="380" t="s">
        <v>328</v>
      </c>
      <c r="D89" s="381"/>
      <c r="E89" s="381"/>
      <c r="F89" s="381"/>
      <c r="G89" s="381"/>
      <c r="H89" s="382"/>
      <c r="I89" s="51" t="s">
        <v>181</v>
      </c>
      <c r="J89" s="114" t="s">
        <v>174</v>
      </c>
    </row>
    <row r="90" spans="1:10" x14ac:dyDescent="0.2">
      <c r="A90" s="113">
        <v>44669</v>
      </c>
      <c r="B90" s="50" t="s">
        <v>167</v>
      </c>
      <c r="C90" s="380" t="s">
        <v>329</v>
      </c>
      <c r="D90" s="381"/>
      <c r="E90" s="381"/>
      <c r="F90" s="381"/>
      <c r="G90" s="381"/>
      <c r="H90" s="382"/>
      <c r="I90" s="51" t="s">
        <v>181</v>
      </c>
      <c r="J90" s="114" t="s">
        <v>174</v>
      </c>
    </row>
    <row r="91" spans="1:10" x14ac:dyDescent="0.2">
      <c r="A91" s="113">
        <v>44669</v>
      </c>
      <c r="B91" s="50" t="s">
        <v>167</v>
      </c>
      <c r="C91" s="380" t="s">
        <v>330</v>
      </c>
      <c r="D91" s="381"/>
      <c r="E91" s="381"/>
      <c r="F91" s="381"/>
      <c r="G91" s="381"/>
      <c r="H91" s="382"/>
      <c r="I91" s="51" t="s">
        <v>181</v>
      </c>
      <c r="J91" s="114" t="s">
        <v>174</v>
      </c>
    </row>
    <row r="92" spans="1:10" x14ac:dyDescent="0.2">
      <c r="A92" s="121">
        <v>44669</v>
      </c>
      <c r="B92" s="91" t="s">
        <v>167</v>
      </c>
      <c r="C92" s="377" t="s">
        <v>331</v>
      </c>
      <c r="D92" s="378"/>
      <c r="E92" s="378"/>
      <c r="F92" s="378"/>
      <c r="G92" s="378"/>
      <c r="H92" s="379"/>
      <c r="I92" s="92" t="s">
        <v>181</v>
      </c>
      <c r="J92" s="122" t="s">
        <v>174</v>
      </c>
    </row>
    <row r="93" spans="1:10" x14ac:dyDescent="0.2">
      <c r="A93" s="109">
        <f>+A88+1</f>
        <v>44670</v>
      </c>
      <c r="B93" s="110" t="s">
        <v>161</v>
      </c>
      <c r="C93" s="355" t="s">
        <v>332</v>
      </c>
      <c r="D93" s="355"/>
      <c r="E93" s="355"/>
      <c r="F93" s="355"/>
      <c r="G93" s="355"/>
      <c r="H93" s="355"/>
      <c r="I93" s="111" t="s">
        <v>169</v>
      </c>
      <c r="J93" s="112" t="s">
        <v>191</v>
      </c>
    </row>
    <row r="94" spans="1:10" x14ac:dyDescent="0.2">
      <c r="A94" s="113">
        <v>44670</v>
      </c>
      <c r="B94" s="50" t="s">
        <v>161</v>
      </c>
      <c r="C94" s="380" t="s">
        <v>330</v>
      </c>
      <c r="D94" s="381"/>
      <c r="E94" s="381"/>
      <c r="F94" s="381"/>
      <c r="G94" s="381"/>
      <c r="H94" s="382"/>
      <c r="I94" s="51" t="s">
        <v>181</v>
      </c>
      <c r="J94" s="114" t="s">
        <v>174</v>
      </c>
    </row>
    <row r="95" spans="1:10" x14ac:dyDescent="0.2">
      <c r="A95" s="121">
        <v>44670</v>
      </c>
      <c r="B95" s="91" t="s">
        <v>161</v>
      </c>
      <c r="C95" s="377" t="s">
        <v>333</v>
      </c>
      <c r="D95" s="378"/>
      <c r="E95" s="378"/>
      <c r="F95" s="378"/>
      <c r="G95" s="378"/>
      <c r="H95" s="379"/>
      <c r="I95" s="92" t="s">
        <v>181</v>
      </c>
      <c r="J95" s="122" t="s">
        <v>174</v>
      </c>
    </row>
    <row r="96" spans="1:10" x14ac:dyDescent="0.2">
      <c r="A96" s="109">
        <f>+A93+1</f>
        <v>44671</v>
      </c>
      <c r="B96" s="110" t="s">
        <v>162</v>
      </c>
      <c r="C96" s="390" t="s">
        <v>334</v>
      </c>
      <c r="D96" s="391"/>
      <c r="E96" s="391"/>
      <c r="F96" s="391"/>
      <c r="G96" s="391"/>
      <c r="H96" s="392"/>
      <c r="I96" s="111" t="s">
        <v>169</v>
      </c>
      <c r="J96" s="112" t="s">
        <v>191</v>
      </c>
    </row>
    <row r="97" spans="1:10" x14ac:dyDescent="0.2">
      <c r="A97" s="113">
        <f>+A94+1</f>
        <v>44671</v>
      </c>
      <c r="B97" s="50" t="s">
        <v>162</v>
      </c>
      <c r="C97" s="353"/>
      <c r="D97" s="353"/>
      <c r="E97" s="353"/>
      <c r="F97" s="353"/>
      <c r="G97" s="353"/>
      <c r="H97" s="353"/>
      <c r="I97" s="51"/>
      <c r="J97" s="114"/>
    </row>
    <row r="98" spans="1:10" x14ac:dyDescent="0.2">
      <c r="A98" s="115">
        <f>+A95+1</f>
        <v>44671</v>
      </c>
      <c r="B98" s="116" t="s">
        <v>162</v>
      </c>
      <c r="C98" s="352"/>
      <c r="D98" s="352"/>
      <c r="E98" s="352"/>
      <c r="F98" s="352"/>
      <c r="G98" s="352"/>
      <c r="H98" s="352"/>
      <c r="I98" s="117"/>
      <c r="J98" s="118"/>
    </row>
    <row r="99" spans="1:10" x14ac:dyDescent="0.2">
      <c r="A99" s="137">
        <f>+A96+1</f>
        <v>44672</v>
      </c>
      <c r="B99" s="124" t="s">
        <v>163</v>
      </c>
      <c r="C99" s="363"/>
      <c r="D99" s="363"/>
      <c r="E99" s="363"/>
      <c r="F99" s="363"/>
      <c r="G99" s="363"/>
      <c r="H99" s="363"/>
      <c r="I99" s="65"/>
      <c r="J99" s="65"/>
    </row>
    <row r="100" spans="1:10" x14ac:dyDescent="0.2">
      <c r="A100" s="134">
        <f t="shared" si="1"/>
        <v>44673</v>
      </c>
      <c r="B100" s="91" t="s">
        <v>164</v>
      </c>
      <c r="C100" s="354" t="s">
        <v>335</v>
      </c>
      <c r="D100" s="354"/>
      <c r="E100" s="354"/>
      <c r="F100" s="354"/>
      <c r="G100" s="354"/>
      <c r="H100" s="354"/>
      <c r="I100" s="92" t="s">
        <v>169</v>
      </c>
      <c r="J100" s="92" t="s">
        <v>191</v>
      </c>
    </row>
    <row r="101" spans="1:10" x14ac:dyDescent="0.2">
      <c r="A101" s="126">
        <f>+A100+1</f>
        <v>44674</v>
      </c>
      <c r="B101" s="127" t="s">
        <v>165</v>
      </c>
      <c r="C101" s="357"/>
      <c r="D101" s="357"/>
      <c r="E101" s="357"/>
      <c r="F101" s="357"/>
      <c r="G101" s="357"/>
      <c r="H101" s="357"/>
      <c r="I101" s="128"/>
      <c r="J101" s="129"/>
    </row>
    <row r="102" spans="1:10" x14ac:dyDescent="0.2">
      <c r="A102" s="163">
        <f t="shared" si="1"/>
        <v>44675</v>
      </c>
      <c r="B102" s="164" t="s">
        <v>166</v>
      </c>
      <c r="C102" s="373"/>
      <c r="D102" s="373"/>
      <c r="E102" s="373"/>
      <c r="F102" s="373"/>
      <c r="G102" s="373"/>
      <c r="H102" s="373"/>
      <c r="I102" s="165"/>
      <c r="J102" s="166"/>
    </row>
    <row r="103" spans="1:10" x14ac:dyDescent="0.2">
      <c r="A103" s="109">
        <f t="shared" si="1"/>
        <v>44676</v>
      </c>
      <c r="B103" s="110" t="s">
        <v>167</v>
      </c>
      <c r="C103" s="355" t="s">
        <v>336</v>
      </c>
      <c r="D103" s="355"/>
      <c r="E103" s="355"/>
      <c r="F103" s="355"/>
      <c r="G103" s="355"/>
      <c r="H103" s="355"/>
      <c r="I103" s="111" t="s">
        <v>172</v>
      </c>
      <c r="J103" s="112" t="s">
        <v>191</v>
      </c>
    </row>
    <row r="104" spans="1:10" x14ac:dyDescent="0.2">
      <c r="A104" s="113">
        <v>44676</v>
      </c>
      <c r="B104" s="50" t="s">
        <v>167</v>
      </c>
      <c r="C104" s="353" t="s">
        <v>337</v>
      </c>
      <c r="D104" s="353"/>
      <c r="E104" s="353"/>
      <c r="F104" s="353"/>
      <c r="G104" s="353"/>
      <c r="H104" s="353"/>
      <c r="I104" s="51" t="s">
        <v>181</v>
      </c>
      <c r="J104" s="114" t="s">
        <v>185</v>
      </c>
    </row>
    <row r="105" spans="1:10" x14ac:dyDescent="0.2">
      <c r="A105" s="113">
        <v>44676</v>
      </c>
      <c r="B105" s="50" t="s">
        <v>167</v>
      </c>
      <c r="C105" s="353" t="s">
        <v>335</v>
      </c>
      <c r="D105" s="353"/>
      <c r="E105" s="353"/>
      <c r="F105" s="353"/>
      <c r="G105" s="353"/>
      <c r="H105" s="353"/>
      <c r="I105" s="51" t="s">
        <v>169</v>
      </c>
      <c r="J105" s="114" t="s">
        <v>191</v>
      </c>
    </row>
    <row r="106" spans="1:10" x14ac:dyDescent="0.2">
      <c r="A106" s="115">
        <v>44676</v>
      </c>
      <c r="B106" s="116" t="s">
        <v>167</v>
      </c>
      <c r="C106" s="352" t="s">
        <v>338</v>
      </c>
      <c r="D106" s="352"/>
      <c r="E106" s="352"/>
      <c r="F106" s="352"/>
      <c r="G106" s="352"/>
      <c r="H106" s="352"/>
      <c r="I106" s="117" t="s">
        <v>169</v>
      </c>
      <c r="J106" s="118" t="s">
        <v>244</v>
      </c>
    </row>
    <row r="107" spans="1:10" x14ac:dyDescent="0.2">
      <c r="A107" s="123">
        <f>+A103+1</f>
        <v>44677</v>
      </c>
      <c r="B107" s="124" t="s">
        <v>161</v>
      </c>
      <c r="C107" s="363" t="s">
        <v>339</v>
      </c>
      <c r="D107" s="363"/>
      <c r="E107" s="363"/>
      <c r="F107" s="363"/>
      <c r="G107" s="363"/>
      <c r="H107" s="363"/>
      <c r="I107" s="65"/>
      <c r="J107" s="125" t="s">
        <v>170</v>
      </c>
    </row>
    <row r="108" spans="1:10" x14ac:dyDescent="0.2">
      <c r="A108" s="113">
        <v>44677</v>
      </c>
      <c r="B108" s="50" t="s">
        <v>161</v>
      </c>
      <c r="C108" s="377" t="s">
        <v>340</v>
      </c>
      <c r="D108" s="378"/>
      <c r="E108" s="378"/>
      <c r="F108" s="378"/>
      <c r="G108" s="378"/>
      <c r="H108" s="379"/>
      <c r="I108" s="92" t="s">
        <v>169</v>
      </c>
      <c r="J108" s="122" t="s">
        <v>191</v>
      </c>
    </row>
    <row r="109" spans="1:10" x14ac:dyDescent="0.2">
      <c r="A109" s="113">
        <v>44677</v>
      </c>
      <c r="B109" s="50" t="s">
        <v>161</v>
      </c>
      <c r="C109" s="377" t="s">
        <v>341</v>
      </c>
      <c r="D109" s="378"/>
      <c r="E109" s="378"/>
      <c r="F109" s="378"/>
      <c r="G109" s="378"/>
      <c r="H109" s="379"/>
      <c r="I109" s="92" t="s">
        <v>181</v>
      </c>
      <c r="J109" s="122" t="s">
        <v>185</v>
      </c>
    </row>
    <row r="110" spans="1:10" x14ac:dyDescent="0.2">
      <c r="A110" s="113">
        <v>44677</v>
      </c>
      <c r="B110" s="50" t="s">
        <v>161</v>
      </c>
      <c r="C110" s="377" t="s">
        <v>342</v>
      </c>
      <c r="D110" s="378"/>
      <c r="E110" s="378"/>
      <c r="F110" s="378"/>
      <c r="G110" s="378"/>
      <c r="H110" s="379"/>
      <c r="I110" s="92" t="s">
        <v>214</v>
      </c>
      <c r="J110" s="122" t="s">
        <v>174</v>
      </c>
    </row>
    <row r="111" spans="1:10" x14ac:dyDescent="0.2">
      <c r="A111" s="113">
        <v>44677</v>
      </c>
      <c r="B111" s="50" t="s">
        <v>161</v>
      </c>
      <c r="C111" s="377" t="s">
        <v>343</v>
      </c>
      <c r="D111" s="378"/>
      <c r="E111" s="378"/>
      <c r="F111" s="378"/>
      <c r="G111" s="378"/>
      <c r="H111" s="379"/>
      <c r="I111" s="92" t="s">
        <v>172</v>
      </c>
      <c r="J111" s="122" t="s">
        <v>174</v>
      </c>
    </row>
    <row r="112" spans="1:10" x14ac:dyDescent="0.2">
      <c r="A112" s="121">
        <v>44677</v>
      </c>
      <c r="B112" s="91" t="s">
        <v>161</v>
      </c>
      <c r="C112" s="377" t="s">
        <v>344</v>
      </c>
      <c r="D112" s="378"/>
      <c r="E112" s="378"/>
      <c r="F112" s="378"/>
      <c r="G112" s="378"/>
      <c r="H112" s="379"/>
      <c r="I112" s="92" t="s">
        <v>181</v>
      </c>
      <c r="J112" s="122" t="s">
        <v>174</v>
      </c>
    </row>
    <row r="113" spans="1:21" x14ac:dyDescent="0.2">
      <c r="A113" s="109">
        <f>+A107+1</f>
        <v>44678</v>
      </c>
      <c r="B113" s="110" t="s">
        <v>162</v>
      </c>
      <c r="C113" s="355" t="s">
        <v>345</v>
      </c>
      <c r="D113" s="355"/>
      <c r="E113" s="355"/>
      <c r="F113" s="355"/>
      <c r="G113" s="355"/>
      <c r="H113" s="355"/>
      <c r="I113" s="111" t="s">
        <v>169</v>
      </c>
      <c r="J113" s="112" t="s">
        <v>191</v>
      </c>
    </row>
    <row r="114" spans="1:21" x14ac:dyDescent="0.2">
      <c r="A114" s="113">
        <v>44678</v>
      </c>
      <c r="B114" s="50" t="s">
        <v>162</v>
      </c>
      <c r="C114" s="353" t="s">
        <v>346</v>
      </c>
      <c r="D114" s="353"/>
      <c r="E114" s="353"/>
      <c r="F114" s="353"/>
      <c r="G114" s="353"/>
      <c r="H114" s="353"/>
      <c r="I114" s="51" t="s">
        <v>169</v>
      </c>
      <c r="J114" s="114" t="s">
        <v>185</v>
      </c>
    </row>
    <row r="115" spans="1:21" x14ac:dyDescent="0.2">
      <c r="A115" s="113">
        <v>44678</v>
      </c>
      <c r="B115" s="50" t="s">
        <v>162</v>
      </c>
      <c r="C115" s="377" t="s">
        <v>347</v>
      </c>
      <c r="D115" s="378"/>
      <c r="E115" s="378"/>
      <c r="F115" s="378"/>
      <c r="G115" s="378"/>
      <c r="H115" s="379"/>
      <c r="I115" s="92" t="s">
        <v>181</v>
      </c>
      <c r="J115" s="122" t="s">
        <v>185</v>
      </c>
    </row>
    <row r="116" spans="1:21" x14ac:dyDescent="0.2">
      <c r="A116" s="113">
        <v>44678</v>
      </c>
      <c r="B116" s="50" t="s">
        <v>162</v>
      </c>
      <c r="C116" s="353" t="s">
        <v>348</v>
      </c>
      <c r="D116" s="353"/>
      <c r="E116" s="353"/>
      <c r="F116" s="353"/>
      <c r="G116" s="353"/>
      <c r="H116" s="353"/>
      <c r="I116" s="51"/>
      <c r="J116" s="114" t="s">
        <v>170</v>
      </c>
    </row>
    <row r="117" spans="1:21" x14ac:dyDescent="0.2">
      <c r="A117" s="121">
        <v>44678</v>
      </c>
      <c r="B117" s="91" t="s">
        <v>162</v>
      </c>
      <c r="C117" s="377" t="s">
        <v>349</v>
      </c>
      <c r="D117" s="378"/>
      <c r="E117" s="378"/>
      <c r="F117" s="378"/>
      <c r="G117" s="378"/>
      <c r="H117" s="379"/>
      <c r="I117" s="92" t="s">
        <v>183</v>
      </c>
      <c r="J117" s="122" t="s">
        <v>174</v>
      </c>
    </row>
    <row r="118" spans="1:21" x14ac:dyDescent="0.2">
      <c r="A118" s="109">
        <f>+A113+1</f>
        <v>44679</v>
      </c>
      <c r="B118" s="110" t="s">
        <v>163</v>
      </c>
      <c r="C118" s="355" t="s">
        <v>350</v>
      </c>
      <c r="D118" s="355"/>
      <c r="E118" s="355"/>
      <c r="F118" s="355"/>
      <c r="G118" s="355"/>
      <c r="H118" s="355"/>
      <c r="I118" s="111" t="s">
        <v>169</v>
      </c>
      <c r="J118" s="112" t="s">
        <v>191</v>
      </c>
    </row>
    <row r="119" spans="1:21" x14ac:dyDescent="0.2">
      <c r="A119" s="113">
        <v>44679</v>
      </c>
      <c r="B119" s="50" t="s">
        <v>163</v>
      </c>
      <c r="C119" s="353" t="s">
        <v>351</v>
      </c>
      <c r="D119" s="353"/>
      <c r="E119" s="353"/>
      <c r="F119" s="353"/>
      <c r="G119" s="353"/>
      <c r="H119" s="353"/>
      <c r="I119" s="51" t="s">
        <v>169</v>
      </c>
      <c r="J119" s="114" t="s">
        <v>191</v>
      </c>
    </row>
    <row r="120" spans="1:21" x14ac:dyDescent="0.2">
      <c r="A120" s="115">
        <v>44679</v>
      </c>
      <c r="B120" s="116" t="s">
        <v>163</v>
      </c>
      <c r="C120" s="352" t="s">
        <v>348</v>
      </c>
      <c r="D120" s="352"/>
      <c r="E120" s="352"/>
      <c r="F120" s="352"/>
      <c r="G120" s="352"/>
      <c r="H120" s="352"/>
      <c r="I120" s="117"/>
      <c r="J120" s="118" t="s">
        <v>170</v>
      </c>
    </row>
    <row r="121" spans="1:21" x14ac:dyDescent="0.2">
      <c r="A121" s="137">
        <f>+A118+1</f>
        <v>44680</v>
      </c>
      <c r="B121" s="124" t="s">
        <v>164</v>
      </c>
      <c r="C121" s="363" t="s">
        <v>352</v>
      </c>
      <c r="D121" s="363"/>
      <c r="E121" s="363"/>
      <c r="F121" s="363"/>
      <c r="G121" s="363"/>
      <c r="H121" s="363"/>
      <c r="I121" s="65"/>
      <c r="J121" s="65"/>
    </row>
    <row r="122" spans="1:21" x14ac:dyDescent="0.2">
      <c r="A122" s="174">
        <f t="shared" si="1"/>
        <v>44681</v>
      </c>
      <c r="B122" s="175" t="s">
        <v>165</v>
      </c>
      <c r="C122" s="393"/>
      <c r="D122" s="393"/>
      <c r="E122" s="393"/>
      <c r="F122" s="393"/>
      <c r="G122" s="393"/>
      <c r="H122" s="393"/>
      <c r="I122" s="176"/>
      <c r="J122" s="176"/>
    </row>
    <row r="123" spans="1:21" x14ac:dyDescent="0.2">
      <c r="A123" s="174">
        <f t="shared" si="1"/>
        <v>44682</v>
      </c>
      <c r="B123" s="175" t="s">
        <v>166</v>
      </c>
      <c r="C123" s="393"/>
      <c r="D123" s="393"/>
      <c r="E123" s="393"/>
      <c r="F123" s="393"/>
      <c r="G123" s="393"/>
      <c r="H123" s="393"/>
      <c r="I123" s="176"/>
      <c r="J123" s="176"/>
    </row>
    <row r="124" spans="1:21" x14ac:dyDescent="0.2">
      <c r="A124" s="32"/>
      <c r="I124" s="8"/>
      <c r="J124" s="8"/>
      <c r="R124" s="21"/>
      <c r="S124" s="21"/>
      <c r="T124" s="8"/>
      <c r="U124" s="8"/>
    </row>
    <row r="125" spans="1:21" x14ac:dyDescent="0.2">
      <c r="A125" s="367" t="s">
        <v>207</v>
      </c>
      <c r="B125" s="368"/>
      <c r="C125" s="368"/>
      <c r="D125" s="368"/>
      <c r="I125" s="8"/>
      <c r="J125" s="8"/>
      <c r="R125" s="21"/>
      <c r="S125" s="21"/>
      <c r="T125" s="8"/>
      <c r="U125" s="8"/>
    </row>
    <row r="126" spans="1:21" x14ac:dyDescent="0.2">
      <c r="A126" s="52">
        <f t="shared" ref="A126:A131" si="2">COUNTIF($I$48:$I$126,B126)</f>
        <v>1</v>
      </c>
      <c r="B126" s="53" t="s">
        <v>208</v>
      </c>
      <c r="C126" s="370" t="s">
        <v>209</v>
      </c>
      <c r="D126" s="370"/>
      <c r="I126" s="8"/>
      <c r="J126" s="8"/>
      <c r="R126" s="21"/>
      <c r="S126" s="21"/>
      <c r="T126" s="8"/>
      <c r="U126" s="8"/>
    </row>
    <row r="127" spans="1:21" x14ac:dyDescent="0.2">
      <c r="A127" s="52">
        <f t="shared" si="2"/>
        <v>6</v>
      </c>
      <c r="B127" s="53" t="s">
        <v>172</v>
      </c>
      <c r="C127" s="370" t="s">
        <v>210</v>
      </c>
      <c r="D127" s="370"/>
      <c r="I127" s="8"/>
      <c r="J127" s="8"/>
      <c r="R127" s="21"/>
      <c r="S127" s="21"/>
      <c r="T127" s="8"/>
      <c r="U127" s="8"/>
    </row>
    <row r="128" spans="1:21" x14ac:dyDescent="0.2">
      <c r="A128" s="52">
        <f t="shared" si="2"/>
        <v>20</v>
      </c>
      <c r="B128" s="53" t="s">
        <v>169</v>
      </c>
      <c r="C128" s="370" t="s">
        <v>211</v>
      </c>
      <c r="D128" s="370"/>
      <c r="I128" s="8"/>
      <c r="J128" s="8"/>
      <c r="R128" s="21"/>
      <c r="S128" s="21"/>
      <c r="T128" s="8"/>
      <c r="U128" s="8"/>
    </row>
    <row r="129" spans="1:21" x14ac:dyDescent="0.2">
      <c r="A129" s="52">
        <f t="shared" si="2"/>
        <v>23</v>
      </c>
      <c r="B129" s="53" t="s">
        <v>181</v>
      </c>
      <c r="C129" s="370" t="s">
        <v>212</v>
      </c>
      <c r="D129" s="370"/>
      <c r="I129" s="8"/>
      <c r="J129" s="8"/>
      <c r="R129" s="21"/>
      <c r="S129" s="21"/>
      <c r="T129" s="8"/>
      <c r="U129" s="8"/>
    </row>
    <row r="130" spans="1:21" x14ac:dyDescent="0.2">
      <c r="A130" s="52">
        <f t="shared" si="2"/>
        <v>3</v>
      </c>
      <c r="B130" s="53" t="s">
        <v>183</v>
      </c>
      <c r="C130" s="370" t="s">
        <v>213</v>
      </c>
      <c r="D130" s="370"/>
      <c r="I130" s="8"/>
      <c r="J130" s="8"/>
      <c r="R130" s="21"/>
      <c r="S130" s="21"/>
      <c r="T130" s="8"/>
      <c r="U130" s="8"/>
    </row>
    <row r="131" spans="1:21" x14ac:dyDescent="0.2">
      <c r="A131" s="52">
        <f t="shared" si="2"/>
        <v>1</v>
      </c>
      <c r="B131" s="53" t="s">
        <v>214</v>
      </c>
      <c r="C131" s="370" t="s">
        <v>215</v>
      </c>
      <c r="D131" s="370"/>
      <c r="I131" s="8"/>
      <c r="J131" s="8"/>
      <c r="R131" s="21"/>
      <c r="S131" s="21"/>
      <c r="T131" s="8"/>
      <c r="U131" s="8"/>
    </row>
    <row r="132" spans="1:21" x14ac:dyDescent="0.2">
      <c r="A132" s="52">
        <v>0</v>
      </c>
      <c r="B132" s="53" t="s">
        <v>216</v>
      </c>
      <c r="C132" s="370" t="s">
        <v>217</v>
      </c>
      <c r="D132" s="370"/>
      <c r="I132" s="8"/>
      <c r="J132" s="8"/>
      <c r="R132" s="21"/>
      <c r="S132" s="21"/>
      <c r="T132" s="8"/>
      <c r="U132" s="8"/>
    </row>
    <row r="133" spans="1:21" x14ac:dyDescent="0.2">
      <c r="A133" s="52">
        <v>0</v>
      </c>
      <c r="B133" s="53" t="s">
        <v>218</v>
      </c>
      <c r="C133" s="371" t="s">
        <v>219</v>
      </c>
      <c r="D133" s="372"/>
      <c r="I133" s="8"/>
      <c r="J133" s="8"/>
      <c r="R133" s="21"/>
      <c r="S133" s="21"/>
      <c r="T133" s="8"/>
      <c r="U133" s="8"/>
    </row>
    <row r="134" spans="1:21" x14ac:dyDescent="0.2">
      <c r="A134" s="52">
        <v>0</v>
      </c>
      <c r="B134" s="53" t="s">
        <v>220</v>
      </c>
      <c r="C134" s="370" t="s">
        <v>221</v>
      </c>
      <c r="D134" s="370"/>
      <c r="I134" s="8"/>
      <c r="J134" s="8"/>
    </row>
    <row r="135" spans="1:21" x14ac:dyDescent="0.2">
      <c r="A135" s="52">
        <v>0</v>
      </c>
      <c r="B135" s="53" t="s">
        <v>178</v>
      </c>
      <c r="C135" s="370" t="s">
        <v>222</v>
      </c>
      <c r="D135" s="370"/>
      <c r="I135" s="8"/>
      <c r="J135" s="8"/>
    </row>
    <row r="136" spans="1:21" x14ac:dyDescent="0.2">
      <c r="A136" s="52">
        <v>0</v>
      </c>
      <c r="B136" s="53" t="s">
        <v>223</v>
      </c>
      <c r="C136" s="370" t="s">
        <v>224</v>
      </c>
      <c r="D136" s="370"/>
      <c r="I136" s="8"/>
      <c r="J136" s="8"/>
    </row>
    <row r="137" spans="1:21" x14ac:dyDescent="0.2">
      <c r="A137" s="54"/>
      <c r="B137" s="55"/>
      <c r="C137" s="56"/>
      <c r="D137" s="56"/>
      <c r="I137" s="8"/>
      <c r="J137" s="8"/>
    </row>
    <row r="138" spans="1:21" x14ac:dyDescent="0.2">
      <c r="A138" s="54"/>
      <c r="B138" s="55"/>
      <c r="C138" s="56"/>
      <c r="D138" s="56"/>
      <c r="I138" s="8"/>
      <c r="J138" s="8"/>
    </row>
    <row r="139" spans="1:21" x14ac:dyDescent="0.2">
      <c r="A139" s="54"/>
      <c r="B139" s="55"/>
      <c r="C139" s="56"/>
      <c r="D139" s="56"/>
      <c r="I139" s="8"/>
      <c r="J139" s="8"/>
    </row>
    <row r="140" spans="1:21" x14ac:dyDescent="0.2">
      <c r="A140" s="54"/>
      <c r="B140" s="55"/>
      <c r="C140" s="56"/>
      <c r="D140" s="56"/>
      <c r="I140" s="8"/>
      <c r="J140" s="8"/>
    </row>
    <row r="141" spans="1:21" x14ac:dyDescent="0.2">
      <c r="A141" s="32"/>
      <c r="I141" s="8"/>
      <c r="J141" s="8"/>
    </row>
    <row r="142" spans="1:21" x14ac:dyDescent="0.2">
      <c r="A142" s="367" t="s">
        <v>225</v>
      </c>
      <c r="B142" s="368"/>
      <c r="C142" s="368"/>
      <c r="D142" s="368"/>
      <c r="I142" s="8"/>
      <c r="J142" s="8"/>
    </row>
    <row r="143" spans="1:21" x14ac:dyDescent="0.2">
      <c r="A143" s="52">
        <f t="shared" ref="A143:A155" si="3">COUNTIF($J$48:$J$126,B143)</f>
        <v>4</v>
      </c>
      <c r="B143" s="52" t="s">
        <v>170</v>
      </c>
      <c r="C143" s="356" t="s">
        <v>226</v>
      </c>
      <c r="D143" s="356"/>
      <c r="I143" s="8"/>
      <c r="J143" s="8"/>
    </row>
    <row r="144" spans="1:21" x14ac:dyDescent="0.2">
      <c r="A144" s="52">
        <f t="shared" si="3"/>
        <v>15</v>
      </c>
      <c r="B144" s="52" t="s">
        <v>191</v>
      </c>
      <c r="C144" s="356" t="s">
        <v>227</v>
      </c>
      <c r="D144" s="356"/>
      <c r="I144" s="8"/>
      <c r="J144" s="8"/>
    </row>
    <row r="145" spans="1:10" x14ac:dyDescent="0.2">
      <c r="A145" s="52">
        <f t="shared" si="3"/>
        <v>0</v>
      </c>
      <c r="B145" s="52" t="s">
        <v>179</v>
      </c>
      <c r="C145" s="356" t="s">
        <v>228</v>
      </c>
      <c r="D145" s="356"/>
      <c r="I145" s="8"/>
      <c r="J145" s="8"/>
    </row>
    <row r="146" spans="1:10" x14ac:dyDescent="0.2">
      <c r="A146" s="52">
        <f t="shared" si="3"/>
        <v>0</v>
      </c>
      <c r="B146" s="52" t="s">
        <v>229</v>
      </c>
      <c r="C146" s="356" t="s">
        <v>230</v>
      </c>
      <c r="D146" s="356"/>
      <c r="I146" s="8"/>
      <c r="J146" s="8"/>
    </row>
    <row r="147" spans="1:10" x14ac:dyDescent="0.2">
      <c r="A147" s="52">
        <f t="shared" si="3"/>
        <v>21</v>
      </c>
      <c r="B147" s="52" t="s">
        <v>174</v>
      </c>
      <c r="C147" s="356" t="s">
        <v>231</v>
      </c>
      <c r="D147" s="356"/>
      <c r="I147" s="8"/>
      <c r="J147" s="8"/>
    </row>
    <row r="148" spans="1:10" x14ac:dyDescent="0.2">
      <c r="A148" s="52">
        <f t="shared" si="3"/>
        <v>0</v>
      </c>
      <c r="B148" s="52" t="s">
        <v>232</v>
      </c>
      <c r="C148" s="356" t="s">
        <v>353</v>
      </c>
      <c r="D148" s="356"/>
      <c r="I148" s="8"/>
      <c r="J148" s="8"/>
    </row>
    <row r="149" spans="1:10" x14ac:dyDescent="0.2">
      <c r="A149" s="52">
        <f t="shared" si="3"/>
        <v>7</v>
      </c>
      <c r="B149" s="52" t="s">
        <v>187</v>
      </c>
      <c r="C149" s="356" t="s">
        <v>234</v>
      </c>
      <c r="D149" s="356"/>
      <c r="I149" s="8"/>
      <c r="J149" s="8"/>
    </row>
    <row r="150" spans="1:10" x14ac:dyDescent="0.2">
      <c r="A150" s="52">
        <f t="shared" si="3"/>
        <v>0</v>
      </c>
      <c r="B150" s="52" t="s">
        <v>235</v>
      </c>
      <c r="C150" s="356" t="s">
        <v>236</v>
      </c>
      <c r="D150" s="356"/>
      <c r="I150" s="8"/>
      <c r="J150" s="8"/>
    </row>
    <row r="151" spans="1:10" x14ac:dyDescent="0.2">
      <c r="A151" s="52">
        <f t="shared" si="3"/>
        <v>6</v>
      </c>
      <c r="B151" s="52" t="s">
        <v>185</v>
      </c>
      <c r="C151" s="356" t="s">
        <v>237</v>
      </c>
      <c r="D151" s="356"/>
      <c r="I151" s="8"/>
      <c r="J151" s="8"/>
    </row>
    <row r="152" spans="1:10" x14ac:dyDescent="0.2">
      <c r="A152" s="52">
        <f t="shared" si="3"/>
        <v>0</v>
      </c>
      <c r="B152" s="52" t="s">
        <v>238</v>
      </c>
      <c r="C152" s="356" t="s">
        <v>239</v>
      </c>
      <c r="D152" s="356"/>
      <c r="I152" s="8"/>
      <c r="J152" s="8"/>
    </row>
    <row r="153" spans="1:10" x14ac:dyDescent="0.2">
      <c r="A153" s="52">
        <f t="shared" si="3"/>
        <v>0</v>
      </c>
      <c r="B153" s="52" t="s">
        <v>240</v>
      </c>
      <c r="C153" s="356" t="s">
        <v>241</v>
      </c>
      <c r="D153" s="356"/>
      <c r="I153" s="8"/>
      <c r="J153" s="8"/>
    </row>
    <row r="154" spans="1:10" x14ac:dyDescent="0.2">
      <c r="A154" s="52">
        <f t="shared" si="3"/>
        <v>2</v>
      </c>
      <c r="B154" s="52" t="s">
        <v>242</v>
      </c>
      <c r="C154" s="356" t="s">
        <v>243</v>
      </c>
      <c r="D154" s="356"/>
      <c r="I154" s="8"/>
      <c r="J154" s="8"/>
    </row>
    <row r="155" spans="1:10" x14ac:dyDescent="0.2">
      <c r="A155" s="52">
        <f t="shared" si="3"/>
        <v>3</v>
      </c>
      <c r="B155" s="52" t="s">
        <v>244</v>
      </c>
      <c r="C155" s="356" t="s">
        <v>245</v>
      </c>
      <c r="D155" s="356"/>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ht="16" thickBot="1" x14ac:dyDescent="0.25">
      <c r="A161" s="32"/>
      <c r="I161" s="8"/>
      <c r="J161" s="8"/>
    </row>
    <row r="162" spans="1:10" ht="19" x14ac:dyDescent="0.2">
      <c r="A162" s="32"/>
      <c r="C162" s="349" t="s">
        <v>86</v>
      </c>
      <c r="D162" s="350"/>
      <c r="E162" s="350"/>
      <c r="F162" s="350"/>
      <c r="G162" s="351"/>
      <c r="I162" s="8"/>
      <c r="J162" s="8"/>
    </row>
    <row r="163" spans="1:10" ht="32" x14ac:dyDescent="0.2">
      <c r="A163" s="32"/>
      <c r="C163" s="68" t="s">
        <v>87</v>
      </c>
      <c r="D163" s="64" t="s">
        <v>88</v>
      </c>
      <c r="E163" s="64" t="s">
        <v>89</v>
      </c>
      <c r="F163" s="64" t="s">
        <v>90</v>
      </c>
      <c r="G163" s="66" t="s">
        <v>91</v>
      </c>
      <c r="I163" s="8"/>
      <c r="J163" s="8"/>
    </row>
    <row r="164" spans="1:10" x14ac:dyDescent="0.2">
      <c r="A164" s="32"/>
      <c r="C164" s="65">
        <v>260</v>
      </c>
      <c r="D164" s="65">
        <v>631</v>
      </c>
      <c r="E164" s="65">
        <v>70</v>
      </c>
      <c r="F164" s="65">
        <v>0</v>
      </c>
      <c r="G164" s="67">
        <f>SUM(B164:F164)</f>
        <v>961</v>
      </c>
      <c r="I164" s="8"/>
      <c r="J164" s="8"/>
    </row>
    <row r="165" spans="1:10" x14ac:dyDescent="0.2">
      <c r="A165" s="32"/>
      <c r="G165"/>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c r="I223" s="8"/>
      <c r="J223" s="8"/>
    </row>
    <row r="224" spans="1:10" x14ac:dyDescent="0.2">
      <c r="A224" s="32"/>
      <c r="I224" s="8"/>
      <c r="J224" s="8"/>
    </row>
    <row r="225" spans="1:10" x14ac:dyDescent="0.2">
      <c r="A225" s="32"/>
      <c r="I225" s="8"/>
      <c r="J225" s="8"/>
    </row>
    <row r="226" spans="1:10" x14ac:dyDescent="0.2">
      <c r="A226" s="32"/>
      <c r="I226" s="8"/>
      <c r="J226" s="8"/>
    </row>
    <row r="227" spans="1:10" x14ac:dyDescent="0.2">
      <c r="A227" s="32"/>
      <c r="I227" s="8"/>
      <c r="J227" s="8"/>
    </row>
    <row r="228" spans="1:10" x14ac:dyDescent="0.2">
      <c r="A228" s="32"/>
      <c r="I228" s="8"/>
      <c r="J228" s="8"/>
    </row>
    <row r="229" spans="1:10" x14ac:dyDescent="0.2">
      <c r="A229" s="32"/>
      <c r="I229" s="8"/>
      <c r="J229" s="8"/>
    </row>
    <row r="230" spans="1:10" x14ac:dyDescent="0.2">
      <c r="A230" s="32"/>
      <c r="I230" s="8"/>
      <c r="J230" s="8"/>
    </row>
    <row r="231" spans="1:10" x14ac:dyDescent="0.2">
      <c r="A231" s="32"/>
      <c r="I231" s="8"/>
      <c r="J231" s="8"/>
    </row>
    <row r="232" spans="1:10" x14ac:dyDescent="0.2">
      <c r="A232" s="32"/>
      <c r="I232" s="8"/>
      <c r="J232" s="8"/>
    </row>
    <row r="233" spans="1:10" x14ac:dyDescent="0.2">
      <c r="A233" s="32"/>
      <c r="I233" s="8"/>
      <c r="J233" s="8"/>
    </row>
    <row r="234" spans="1:10" x14ac:dyDescent="0.2">
      <c r="A234" s="32"/>
      <c r="I234" s="8"/>
      <c r="J234" s="8"/>
    </row>
    <row r="235" spans="1:10" x14ac:dyDescent="0.2">
      <c r="A235" s="32"/>
      <c r="I235" s="8"/>
      <c r="J235" s="8"/>
    </row>
    <row r="236" spans="1:10" x14ac:dyDescent="0.2">
      <c r="A236" s="32"/>
      <c r="I236" s="8"/>
      <c r="J236" s="8"/>
    </row>
    <row r="237" spans="1:10" x14ac:dyDescent="0.2">
      <c r="A237" s="32"/>
      <c r="I237" s="8"/>
      <c r="J237" s="8"/>
    </row>
    <row r="238" spans="1:10" x14ac:dyDescent="0.2">
      <c r="A238" s="32"/>
      <c r="I238" s="8"/>
      <c r="J238" s="8"/>
    </row>
    <row r="239" spans="1:10" x14ac:dyDescent="0.2">
      <c r="A239" s="32"/>
      <c r="I239" s="8"/>
      <c r="J239" s="8"/>
    </row>
    <row r="240" spans="1:10" x14ac:dyDescent="0.2">
      <c r="A240" s="32"/>
    </row>
    <row r="241" spans="1:1" x14ac:dyDescent="0.2">
      <c r="A241" s="32"/>
    </row>
    <row r="242" spans="1:1" x14ac:dyDescent="0.2">
      <c r="A242" s="32"/>
    </row>
    <row r="243" spans="1:1" x14ac:dyDescent="0.2">
      <c r="A243" s="32"/>
    </row>
    <row r="244" spans="1:1" x14ac:dyDescent="0.2">
      <c r="A244" s="32"/>
    </row>
    <row r="245" spans="1:1" x14ac:dyDescent="0.2">
      <c r="A245" s="32"/>
    </row>
    <row r="246" spans="1:1" x14ac:dyDescent="0.2">
      <c r="A246" s="32"/>
    </row>
    <row r="247" spans="1:1" x14ac:dyDescent="0.2">
      <c r="A247" s="32"/>
    </row>
    <row r="248" spans="1:1" x14ac:dyDescent="0.2">
      <c r="A248" s="32"/>
    </row>
    <row r="249" spans="1:1" x14ac:dyDescent="0.2">
      <c r="A249" s="32"/>
    </row>
    <row r="250" spans="1:1" x14ac:dyDescent="0.2">
      <c r="A250" s="32"/>
    </row>
    <row r="251" spans="1:1" x14ac:dyDescent="0.2">
      <c r="A251" s="32"/>
    </row>
    <row r="252" spans="1:1" x14ac:dyDescent="0.2">
      <c r="A252" s="32"/>
    </row>
    <row r="253" spans="1:1" x14ac:dyDescent="0.2">
      <c r="A253" s="32"/>
    </row>
    <row r="254" spans="1:1" x14ac:dyDescent="0.2">
      <c r="A254" s="32"/>
    </row>
    <row r="255" spans="1:1" x14ac:dyDescent="0.2">
      <c r="A255" s="32"/>
    </row>
    <row r="256" spans="1:1" x14ac:dyDescent="0.2">
      <c r="A256" s="32"/>
    </row>
    <row r="257" spans="1:1" x14ac:dyDescent="0.2">
      <c r="A257" s="32"/>
    </row>
    <row r="258" spans="1:1" x14ac:dyDescent="0.2">
      <c r="A258" s="32"/>
    </row>
    <row r="259" spans="1:1" x14ac:dyDescent="0.2">
      <c r="A259" s="32"/>
    </row>
    <row r="260" spans="1:1" x14ac:dyDescent="0.2">
      <c r="A260" s="32"/>
    </row>
    <row r="261" spans="1:1" x14ac:dyDescent="0.2">
      <c r="A261" s="32"/>
    </row>
    <row r="262" spans="1:1" x14ac:dyDescent="0.2">
      <c r="A262" s="32"/>
    </row>
    <row r="263" spans="1:1" x14ac:dyDescent="0.2">
      <c r="A263" s="32"/>
    </row>
    <row r="264" spans="1:1" x14ac:dyDescent="0.2">
      <c r="A264" s="32"/>
    </row>
    <row r="265" spans="1:1" x14ac:dyDescent="0.2">
      <c r="A265" s="32"/>
    </row>
  </sheetData>
  <autoFilter ref="A1:BG34" xr:uid="{A3FDD630-A3C3-4B8F-9C46-F9A60F7AAB97}"/>
  <mergeCells count="107">
    <mergeCell ref="C155:D155"/>
    <mergeCell ref="C54:H54"/>
    <mergeCell ref="C162:G162"/>
    <mergeCell ref="C131:D131"/>
    <mergeCell ref="C113:H113"/>
    <mergeCell ref="C118:H118"/>
    <mergeCell ref="C121:H121"/>
    <mergeCell ref="C122:H122"/>
    <mergeCell ref="C123:H123"/>
    <mergeCell ref="A125:D125"/>
    <mergeCell ref="C126:D126"/>
    <mergeCell ref="C127:D127"/>
    <mergeCell ref="C128:D128"/>
    <mergeCell ref="C129:D129"/>
    <mergeCell ref="C130:D130"/>
    <mergeCell ref="C148:D148"/>
    <mergeCell ref="C61:H61"/>
    <mergeCell ref="C151:D151"/>
    <mergeCell ref="C152:D152"/>
    <mergeCell ref="C135:D135"/>
    <mergeCell ref="C133:D133"/>
    <mergeCell ref="C134:D134"/>
    <mergeCell ref="C71:H71"/>
    <mergeCell ref="C72:H72"/>
    <mergeCell ref="C36:D36"/>
    <mergeCell ref="C107:H107"/>
    <mergeCell ref="C85:H85"/>
    <mergeCell ref="C86:H86"/>
    <mergeCell ref="C87:H87"/>
    <mergeCell ref="C88:H88"/>
    <mergeCell ref="C93:H93"/>
    <mergeCell ref="C96:H96"/>
    <mergeCell ref="C99:H99"/>
    <mergeCell ref="C100:H100"/>
    <mergeCell ref="C101:H101"/>
    <mergeCell ref="C102:H102"/>
    <mergeCell ref="C103:H103"/>
    <mergeCell ref="C49:H49"/>
    <mergeCell ref="C50:H50"/>
    <mergeCell ref="C64:H64"/>
    <mergeCell ref="C63:H63"/>
    <mergeCell ref="C65:H65"/>
    <mergeCell ref="C67:H67"/>
    <mergeCell ref="C66:H66"/>
    <mergeCell ref="C68:H68"/>
    <mergeCell ref="C69:H69"/>
    <mergeCell ref="C82:H82"/>
    <mergeCell ref="C70:H70"/>
    <mergeCell ref="C73:H73"/>
    <mergeCell ref="C74:H74"/>
    <mergeCell ref="C76:H76"/>
    <mergeCell ref="C77:H77"/>
    <mergeCell ref="C78:H78"/>
    <mergeCell ref="M37:O37"/>
    <mergeCell ref="H38:I38"/>
    <mergeCell ref="C48:H48"/>
    <mergeCell ref="C51:H51"/>
    <mergeCell ref="A47:H47"/>
    <mergeCell ref="C52:H52"/>
    <mergeCell ref="C53:H53"/>
    <mergeCell ref="C57:H57"/>
    <mergeCell ref="C62:H62"/>
    <mergeCell ref="C56:H56"/>
    <mergeCell ref="C55:H55"/>
    <mergeCell ref="C58:H58"/>
    <mergeCell ref="C59:H59"/>
    <mergeCell ref="C60:H60"/>
    <mergeCell ref="C154:D154"/>
    <mergeCell ref="C143:D143"/>
    <mergeCell ref="C144:D144"/>
    <mergeCell ref="C149:D149"/>
    <mergeCell ref="C145:D145"/>
    <mergeCell ref="C146:D146"/>
    <mergeCell ref="C147:D147"/>
    <mergeCell ref="C150:D150"/>
    <mergeCell ref="C75:H75"/>
    <mergeCell ref="C79:H79"/>
    <mergeCell ref="C81:H81"/>
    <mergeCell ref="C83:H83"/>
    <mergeCell ref="C84:H84"/>
    <mergeCell ref="C80:H80"/>
    <mergeCell ref="C89:H89"/>
    <mergeCell ref="C90:H90"/>
    <mergeCell ref="C153:D153"/>
    <mergeCell ref="C132:D132"/>
    <mergeCell ref="C94:H94"/>
    <mergeCell ref="C95:H95"/>
    <mergeCell ref="C97:H97"/>
    <mergeCell ref="C98:H98"/>
    <mergeCell ref="C91:H91"/>
    <mergeCell ref="C92:H92"/>
    <mergeCell ref="C104:H104"/>
    <mergeCell ref="C105:H105"/>
    <mergeCell ref="C106:H106"/>
    <mergeCell ref="C110:H110"/>
    <mergeCell ref="A142:D142"/>
    <mergeCell ref="C136:D136"/>
    <mergeCell ref="C111:H111"/>
    <mergeCell ref="C112:H112"/>
    <mergeCell ref="C108:H108"/>
    <mergeCell ref="C109:H109"/>
    <mergeCell ref="C114:H114"/>
    <mergeCell ref="C115:H115"/>
    <mergeCell ref="C116:H116"/>
    <mergeCell ref="C117:H117"/>
    <mergeCell ref="C119:H119"/>
    <mergeCell ref="C120:H120"/>
  </mergeCells>
  <dataValidations count="2">
    <dataValidation type="list" allowBlank="1" showInputMessage="1" showErrorMessage="1" sqref="J48:J123" xr:uid="{A28BF0C8-2584-4C39-88CE-E2EB12DAECB6}">
      <formula1>$B$142:$B$155</formula1>
    </dataValidation>
    <dataValidation type="list" allowBlank="1" showInputMessage="1" showErrorMessage="1" sqref="I48:I123" xr:uid="{ADE2CA05-364E-47A2-B00B-58C38A179850}">
      <formula1>$B$126:$B$136</formula1>
    </dataValidation>
  </dataValidations>
  <pageMargins left="0.7" right="0.7" top="0.75" bottom="0.75" header="0.3" footer="0.3"/>
  <pageSetup scale="16"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63ECE-C79A-45B5-98E9-5AE5B3EDD443}">
  <sheetPr codeName="Hoja7">
    <tabColor rgb="FFFF0000"/>
  </sheetPr>
  <dimension ref="A1:BE286"/>
  <sheetViews>
    <sheetView zoomScale="85" zoomScaleNormal="85" workbookViewId="0">
      <selection activeCell="N18" sqref="N18"/>
    </sheetView>
  </sheetViews>
  <sheetFormatPr baseColWidth="10" defaultColWidth="11.5" defaultRowHeight="15" x14ac:dyDescent="0.2"/>
  <cols>
    <col min="1" max="1" width="10.5" style="8" customWidth="1"/>
    <col min="2" max="2" width="7.6640625" style="8" customWidth="1"/>
    <col min="3" max="3" width="19" style="1" customWidth="1"/>
    <col min="4" max="4" width="27.16406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8" customWidth="1"/>
    <col min="12" max="12" width="4.6640625" style="8" customWidth="1"/>
    <col min="13" max="13" width="3.5" style="8" customWidth="1"/>
    <col min="14" max="14" width="11.5" style="203" customWidth="1"/>
    <col min="15" max="15" width="2.1640625" style="8" customWidth="1"/>
    <col min="16" max="16" width="13.5" style="8" customWidth="1"/>
    <col min="17" max="17" width="4.6640625" style="8" customWidth="1"/>
    <col min="18" max="18" width="15.33203125" style="8" customWidth="1"/>
    <col min="19" max="19" width="4.6640625" style="8" customWidth="1"/>
    <col min="20" max="20" width="13.5" style="8" customWidth="1"/>
    <col min="21" max="21" width="4.6640625" style="8" customWidth="1"/>
    <col min="22" max="22" width="13.5" style="8" customWidth="1"/>
    <col min="23" max="23" width="4.6640625" style="8" customWidth="1"/>
    <col min="24" max="24" width="13.5" style="8" customWidth="1"/>
    <col min="25" max="25" width="4.6640625" style="8" customWidth="1"/>
    <col min="26" max="26" width="13.5" style="8" customWidth="1"/>
    <col min="27" max="27" width="4.6640625" style="8" customWidth="1"/>
    <col min="28" max="28" width="13.5" style="8" customWidth="1"/>
    <col min="29" max="29" width="4.6640625" style="8" customWidth="1"/>
    <col min="30" max="16384" width="11.5" style="1"/>
  </cols>
  <sheetData>
    <row r="1" spans="1:57" s="8" customFormat="1" x14ac:dyDescent="0.2">
      <c r="A1" s="16" t="s">
        <v>118</v>
      </c>
      <c r="B1" s="16" t="s">
        <v>92</v>
      </c>
      <c r="C1" s="16" t="s">
        <v>4</v>
      </c>
      <c r="D1" s="16" t="s">
        <v>5</v>
      </c>
      <c r="E1" s="16" t="s">
        <v>6</v>
      </c>
      <c r="F1" s="16" t="s">
        <v>7</v>
      </c>
      <c r="G1" s="16" t="s">
        <v>8</v>
      </c>
      <c r="H1" s="16" t="s">
        <v>9</v>
      </c>
      <c r="I1" s="16" t="s">
        <v>10</v>
      </c>
      <c r="J1" s="199" t="s">
        <v>11</v>
      </c>
      <c r="K1" s="16" t="s">
        <v>12</v>
      </c>
      <c r="L1" s="16" t="s">
        <v>13</v>
      </c>
      <c r="M1" s="16"/>
      <c r="N1" s="16" t="s">
        <v>14</v>
      </c>
      <c r="P1" s="44" t="s">
        <v>15</v>
      </c>
      <c r="Q1" s="44" t="s">
        <v>119</v>
      </c>
      <c r="R1" s="44" t="s">
        <v>16</v>
      </c>
      <c r="S1" s="44" t="s">
        <v>119</v>
      </c>
      <c r="T1" s="44" t="s">
        <v>17</v>
      </c>
      <c r="U1" s="44" t="s">
        <v>119</v>
      </c>
      <c r="V1" s="44" t="s">
        <v>18</v>
      </c>
      <c r="W1" s="44" t="s">
        <v>119</v>
      </c>
      <c r="X1" s="44" t="s">
        <v>19</v>
      </c>
      <c r="Y1" s="44" t="s">
        <v>119</v>
      </c>
      <c r="Z1" s="44" t="s">
        <v>20</v>
      </c>
      <c r="AA1" s="44" t="s">
        <v>119</v>
      </c>
      <c r="AB1" s="44" t="s">
        <v>21</v>
      </c>
      <c r="AC1" s="138" t="s">
        <v>119</v>
      </c>
      <c r="AD1" s="150" t="s">
        <v>120</v>
      </c>
      <c r="AE1" s="150" t="s">
        <v>246</v>
      </c>
      <c r="AF1" s="150" t="s">
        <v>121</v>
      </c>
      <c r="AG1" s="150" t="s">
        <v>246</v>
      </c>
      <c r="AH1" s="150" t="s">
        <v>122</v>
      </c>
      <c r="AI1" s="150" t="s">
        <v>246</v>
      </c>
      <c r="AJ1" s="150" t="s">
        <v>123</v>
      </c>
      <c r="AK1" s="150" t="s">
        <v>124</v>
      </c>
      <c r="AL1" s="150" t="s">
        <v>125</v>
      </c>
      <c r="AM1" s="150" t="s">
        <v>126</v>
      </c>
      <c r="AN1" s="143" t="s">
        <v>247</v>
      </c>
      <c r="AO1" s="139" t="s">
        <v>248</v>
      </c>
      <c r="AP1" s="139" t="s">
        <v>249</v>
      </c>
      <c r="AQ1" s="139" t="s">
        <v>248</v>
      </c>
      <c r="AR1" s="139" t="s">
        <v>250</v>
      </c>
      <c r="AS1" s="139" t="s">
        <v>248</v>
      </c>
      <c r="AT1" s="139" t="s">
        <v>251</v>
      </c>
      <c r="AU1" s="139" t="s">
        <v>248</v>
      </c>
      <c r="AV1" s="139" t="s">
        <v>252</v>
      </c>
      <c r="AW1" s="139" t="s">
        <v>248</v>
      </c>
      <c r="AX1" s="139" t="s">
        <v>253</v>
      </c>
      <c r="AY1" s="139" t="s">
        <v>248</v>
      </c>
      <c r="AZ1" s="139" t="s">
        <v>254</v>
      </c>
      <c r="BA1" s="139" t="s">
        <v>246</v>
      </c>
      <c r="BB1" s="139" t="s">
        <v>255</v>
      </c>
      <c r="BC1" s="139" t="s">
        <v>256</v>
      </c>
      <c r="BD1" s="139" t="s">
        <v>257</v>
      </c>
    </row>
    <row r="2" spans="1:57" s="48" customFormat="1" x14ac:dyDescent="0.15">
      <c r="A2" s="200" t="s">
        <v>354</v>
      </c>
      <c r="B2" s="200">
        <v>1314</v>
      </c>
      <c r="C2" s="200" t="s">
        <v>22</v>
      </c>
      <c r="D2" s="200" t="s">
        <v>23</v>
      </c>
      <c r="E2" s="200" t="s">
        <v>38</v>
      </c>
      <c r="F2" s="200" t="s">
        <v>355</v>
      </c>
      <c r="G2" s="200" t="s">
        <v>23</v>
      </c>
      <c r="H2" s="200" t="s">
        <v>356</v>
      </c>
      <c r="I2" s="200">
        <v>917235</v>
      </c>
      <c r="J2" s="42">
        <v>19500000</v>
      </c>
      <c r="K2" s="260">
        <v>1</v>
      </c>
      <c r="L2" s="206">
        <v>4</v>
      </c>
      <c r="M2" s="206" t="s">
        <v>27</v>
      </c>
      <c r="N2" s="196">
        <v>44707</v>
      </c>
      <c r="O2" s="195">
        <v>1</v>
      </c>
      <c r="P2" s="240" t="s">
        <v>27</v>
      </c>
      <c r="Q2" s="241" t="s">
        <v>128</v>
      </c>
      <c r="R2" s="242" t="s">
        <v>27</v>
      </c>
      <c r="S2" s="242">
        <v>2</v>
      </c>
      <c r="T2" s="242" t="s">
        <v>27</v>
      </c>
      <c r="U2" s="242">
        <v>5</v>
      </c>
      <c r="V2" s="242" t="s">
        <v>27</v>
      </c>
      <c r="W2" s="242">
        <v>5.5</v>
      </c>
      <c r="X2" s="242" t="s">
        <v>27</v>
      </c>
      <c r="Y2" s="242">
        <v>1.5</v>
      </c>
      <c r="Z2" s="242" t="s">
        <v>27</v>
      </c>
      <c r="AA2" s="242">
        <v>1.5</v>
      </c>
      <c r="AB2" s="242" t="s">
        <v>27</v>
      </c>
      <c r="AC2" s="242">
        <v>1.5</v>
      </c>
      <c r="AD2" s="103" t="s">
        <v>258</v>
      </c>
      <c r="AE2" s="103" t="s">
        <v>240</v>
      </c>
      <c r="AF2" s="104" t="s">
        <v>273</v>
      </c>
      <c r="AG2" s="297" t="s">
        <v>240</v>
      </c>
      <c r="AH2" s="205" t="s">
        <v>357</v>
      </c>
      <c r="AI2" s="194" t="s">
        <v>240</v>
      </c>
      <c r="AJ2" s="106"/>
      <c r="AK2" s="106"/>
      <c r="AL2" s="106"/>
      <c r="AM2" s="106"/>
      <c r="AN2" s="144"/>
      <c r="AO2" s="140"/>
      <c r="AP2" s="140"/>
      <c r="AQ2" s="140"/>
      <c r="AR2" s="140"/>
      <c r="AS2" s="140"/>
      <c r="AT2" s="140"/>
      <c r="AU2" s="140"/>
      <c r="AV2" s="140"/>
      <c r="AW2" s="140"/>
      <c r="AX2" s="140"/>
      <c r="AY2" s="140"/>
      <c r="AZ2" s="140"/>
      <c r="BA2" s="140"/>
      <c r="BB2" s="140" t="s">
        <v>358</v>
      </c>
      <c r="BC2" s="140" t="s">
        <v>264</v>
      </c>
      <c r="BD2" s="140" t="s">
        <v>264</v>
      </c>
    </row>
    <row r="3" spans="1:57" s="48" customFormat="1" x14ac:dyDescent="0.15">
      <c r="A3" s="200" t="s">
        <v>354</v>
      </c>
      <c r="B3" s="200">
        <v>1315</v>
      </c>
      <c r="C3" s="200" t="s">
        <v>22</v>
      </c>
      <c r="D3" s="200" t="s">
        <v>23</v>
      </c>
      <c r="E3" s="200" t="s">
        <v>38</v>
      </c>
      <c r="F3" s="200" t="s">
        <v>355</v>
      </c>
      <c r="G3" s="200" t="s">
        <v>23</v>
      </c>
      <c r="H3" s="200" t="s">
        <v>356</v>
      </c>
      <c r="I3" s="200">
        <v>917234</v>
      </c>
      <c r="J3" s="42">
        <v>19500000</v>
      </c>
      <c r="K3" s="260">
        <v>1</v>
      </c>
      <c r="L3" s="206">
        <v>4</v>
      </c>
      <c r="M3" s="206" t="s">
        <v>27</v>
      </c>
      <c r="N3" s="196">
        <v>44708</v>
      </c>
      <c r="O3" s="195">
        <v>1</v>
      </c>
      <c r="P3" s="261" t="s">
        <v>27</v>
      </c>
      <c r="Q3" s="243" t="s">
        <v>128</v>
      </c>
      <c r="R3" s="262" t="s">
        <v>27</v>
      </c>
      <c r="S3" s="262">
        <v>2</v>
      </c>
      <c r="T3" s="262" t="s">
        <v>27</v>
      </c>
      <c r="U3" s="262">
        <v>4</v>
      </c>
      <c r="V3" s="262" t="s">
        <v>27</v>
      </c>
      <c r="W3" s="262">
        <v>6.5</v>
      </c>
      <c r="X3" s="262" t="s">
        <v>27</v>
      </c>
      <c r="Y3" s="262">
        <v>1.5</v>
      </c>
      <c r="Z3" s="262" t="s">
        <v>27</v>
      </c>
      <c r="AA3" s="262">
        <v>1.5</v>
      </c>
      <c r="AB3" s="262" t="s">
        <v>27</v>
      </c>
      <c r="AC3" s="262">
        <v>1.5</v>
      </c>
      <c r="AD3" s="103" t="s">
        <v>258</v>
      </c>
      <c r="AE3" s="103" t="s">
        <v>240</v>
      </c>
      <c r="AF3" s="104" t="s">
        <v>273</v>
      </c>
      <c r="AG3" s="297" t="s">
        <v>240</v>
      </c>
      <c r="AH3" s="205" t="s">
        <v>357</v>
      </c>
      <c r="AI3" s="194" t="s">
        <v>240</v>
      </c>
      <c r="AJ3" s="106"/>
      <c r="AK3" s="106"/>
      <c r="AL3" s="106"/>
      <c r="AM3" s="106"/>
      <c r="AN3" s="144"/>
      <c r="AO3" s="140"/>
      <c r="AP3" s="140"/>
      <c r="AQ3" s="140"/>
      <c r="AR3" s="140"/>
      <c r="AS3" s="140"/>
      <c r="AT3" s="140"/>
      <c r="AU3" s="140"/>
      <c r="AV3" s="140"/>
      <c r="AW3" s="140"/>
      <c r="AX3" s="140"/>
      <c r="AY3" s="140"/>
      <c r="AZ3" s="140"/>
      <c r="BA3" s="140"/>
      <c r="BB3" s="140" t="s">
        <v>358</v>
      </c>
      <c r="BC3" s="140" t="s">
        <v>264</v>
      </c>
      <c r="BD3" s="140" t="s">
        <v>264</v>
      </c>
    </row>
    <row r="4" spans="1:57" s="48" customFormat="1" x14ac:dyDescent="0.15">
      <c r="A4" s="206" t="s">
        <v>354</v>
      </c>
      <c r="B4" s="206">
        <v>1370</v>
      </c>
      <c r="C4" s="206" t="s">
        <v>22</v>
      </c>
      <c r="D4" s="206" t="s">
        <v>23</v>
      </c>
      <c r="E4" s="206" t="s">
        <v>38</v>
      </c>
      <c r="F4" s="206" t="s">
        <v>53</v>
      </c>
      <c r="G4" s="206" t="s">
        <v>23</v>
      </c>
      <c r="H4" s="206" t="s">
        <v>26</v>
      </c>
      <c r="I4" s="206">
        <v>181342</v>
      </c>
      <c r="J4" s="42">
        <v>14700000</v>
      </c>
      <c r="K4" s="208">
        <v>1</v>
      </c>
      <c r="L4" s="206">
        <v>2</v>
      </c>
      <c r="M4" s="206" t="s">
        <v>27</v>
      </c>
      <c r="N4" s="196">
        <v>44692</v>
      </c>
      <c r="O4" s="195">
        <v>1</v>
      </c>
      <c r="P4" s="261" t="s">
        <v>27</v>
      </c>
      <c r="Q4" s="243" t="s">
        <v>128</v>
      </c>
      <c r="R4" s="262" t="s">
        <v>27</v>
      </c>
      <c r="S4" s="262">
        <v>1</v>
      </c>
      <c r="T4" s="262" t="s">
        <v>27</v>
      </c>
      <c r="U4" s="262">
        <v>3</v>
      </c>
      <c r="V4" s="262" t="s">
        <v>27</v>
      </c>
      <c r="W4" s="262">
        <v>2.5</v>
      </c>
      <c r="X4" s="262" t="s">
        <v>27</v>
      </c>
      <c r="Y4" s="262">
        <v>1</v>
      </c>
      <c r="Z4" s="262" t="s">
        <v>27</v>
      </c>
      <c r="AA4" s="262">
        <v>1</v>
      </c>
      <c r="AB4" s="262" t="s">
        <v>27</v>
      </c>
      <c r="AC4" s="262">
        <v>1</v>
      </c>
      <c r="AD4" s="103" t="s">
        <v>258</v>
      </c>
      <c r="AE4" s="103" t="s">
        <v>240</v>
      </c>
      <c r="AF4" s="104" t="s">
        <v>273</v>
      </c>
      <c r="AG4" s="297" t="s">
        <v>240</v>
      </c>
      <c r="AH4" s="205" t="s">
        <v>268</v>
      </c>
      <c r="AI4" s="194" t="s">
        <v>240</v>
      </c>
      <c r="AJ4" s="106"/>
      <c r="AK4" s="106"/>
      <c r="AL4" s="106"/>
      <c r="AM4" s="106"/>
      <c r="AN4" s="144"/>
      <c r="AO4" s="140"/>
      <c r="AP4" s="140"/>
      <c r="AQ4" s="140"/>
      <c r="AR4" s="140"/>
      <c r="AS4" s="140"/>
      <c r="AT4" s="140"/>
      <c r="AU4" s="140"/>
      <c r="AV4" s="140"/>
      <c r="AW4" s="140"/>
      <c r="AX4" s="140"/>
      <c r="AY4" s="140"/>
      <c r="AZ4" s="140"/>
      <c r="BA4" s="140"/>
      <c r="BB4" s="140" t="s">
        <v>269</v>
      </c>
      <c r="BC4" s="140" t="s">
        <v>264</v>
      </c>
      <c r="BD4" s="140" t="s">
        <v>264</v>
      </c>
    </row>
    <row r="5" spans="1:57" s="48" customFormat="1" x14ac:dyDescent="0.15">
      <c r="A5" s="200" t="s">
        <v>354</v>
      </c>
      <c r="B5" s="200">
        <v>1428</v>
      </c>
      <c r="C5" s="200" t="s">
        <v>29</v>
      </c>
      <c r="D5" s="200" t="s">
        <v>45</v>
      </c>
      <c r="E5" s="200" t="s">
        <v>38</v>
      </c>
      <c r="F5" s="200" t="s">
        <v>359</v>
      </c>
      <c r="G5" s="200" t="s">
        <v>33</v>
      </c>
      <c r="H5" s="200">
        <v>3131</v>
      </c>
      <c r="I5" s="200">
        <v>246323</v>
      </c>
      <c r="J5" s="42">
        <v>12000000</v>
      </c>
      <c r="K5" s="260">
        <v>1</v>
      </c>
      <c r="L5" s="206">
        <v>5</v>
      </c>
      <c r="M5" s="206" t="s">
        <v>27</v>
      </c>
      <c r="N5" s="196">
        <v>44711</v>
      </c>
      <c r="O5" s="195">
        <v>1</v>
      </c>
      <c r="P5" s="261" t="s">
        <v>27</v>
      </c>
      <c r="Q5" s="243" t="s">
        <v>128</v>
      </c>
      <c r="R5" s="262" t="s">
        <v>27</v>
      </c>
      <c r="S5" s="262">
        <v>1.5</v>
      </c>
      <c r="T5" s="262" t="s">
        <v>27</v>
      </c>
      <c r="U5" s="262">
        <v>2</v>
      </c>
      <c r="V5" s="262" t="s">
        <v>27</v>
      </c>
      <c r="W5" s="262">
        <v>4</v>
      </c>
      <c r="X5" s="262" t="s">
        <v>27</v>
      </c>
      <c r="Y5" s="262">
        <v>1</v>
      </c>
      <c r="Z5" s="262" t="s">
        <v>27</v>
      </c>
      <c r="AA5" s="262">
        <v>1.5</v>
      </c>
      <c r="AB5" s="262" t="s">
        <v>27</v>
      </c>
      <c r="AC5" s="262">
        <v>1</v>
      </c>
      <c r="AD5" s="103" t="s">
        <v>278</v>
      </c>
      <c r="AE5" s="103"/>
      <c r="AF5" s="104" t="s">
        <v>267</v>
      </c>
      <c r="AG5" s="297" t="s">
        <v>240</v>
      </c>
      <c r="AH5" s="205" t="s">
        <v>360</v>
      </c>
      <c r="AI5" s="194" t="s">
        <v>240</v>
      </c>
      <c r="AJ5" s="106"/>
      <c r="AK5" s="106"/>
      <c r="AL5" s="106"/>
      <c r="AM5" s="106"/>
      <c r="AN5" s="144"/>
      <c r="AO5" s="140"/>
      <c r="AP5" s="140"/>
      <c r="AQ5" s="140"/>
      <c r="AR5" s="140"/>
      <c r="AS5" s="140"/>
      <c r="AT5" s="140"/>
      <c r="AU5" s="140"/>
      <c r="AV5" s="140"/>
      <c r="AW5" s="140"/>
      <c r="AX5" s="140"/>
      <c r="AY5" s="140"/>
      <c r="AZ5" s="140"/>
      <c r="BA5" s="140"/>
      <c r="BB5" s="140" t="s">
        <v>269</v>
      </c>
      <c r="BC5" s="140" t="s">
        <v>264</v>
      </c>
      <c r="BD5" s="140" t="s">
        <v>264</v>
      </c>
    </row>
    <row r="6" spans="1:57" s="48" customFormat="1" x14ac:dyDescent="0.15">
      <c r="A6" s="200" t="s">
        <v>354</v>
      </c>
      <c r="B6" s="200">
        <v>1316</v>
      </c>
      <c r="C6" s="200" t="s">
        <v>22</v>
      </c>
      <c r="D6" s="200" t="s">
        <v>23</v>
      </c>
      <c r="E6" s="200" t="s">
        <v>38</v>
      </c>
      <c r="F6" s="200" t="s">
        <v>355</v>
      </c>
      <c r="G6" s="200" t="s">
        <v>23</v>
      </c>
      <c r="H6" s="200" t="s">
        <v>356</v>
      </c>
      <c r="I6" s="200">
        <v>917241</v>
      </c>
      <c r="J6" s="42">
        <v>25300000</v>
      </c>
      <c r="K6" s="208">
        <v>1</v>
      </c>
      <c r="L6" s="206">
        <v>5</v>
      </c>
      <c r="M6" s="206" t="s">
        <v>27</v>
      </c>
      <c r="N6" s="196">
        <v>44715</v>
      </c>
      <c r="O6" s="195">
        <v>1</v>
      </c>
      <c r="P6" s="261" t="s">
        <v>27</v>
      </c>
      <c r="Q6" s="243" t="s">
        <v>128</v>
      </c>
      <c r="R6" s="262" t="s">
        <v>27</v>
      </c>
      <c r="S6" s="262">
        <v>2</v>
      </c>
      <c r="T6" s="262" t="s">
        <v>27</v>
      </c>
      <c r="U6" s="262">
        <v>4.5</v>
      </c>
      <c r="V6" s="262" t="s">
        <v>27</v>
      </c>
      <c r="W6" s="262">
        <v>6</v>
      </c>
      <c r="X6" s="262" t="s">
        <v>27</v>
      </c>
      <c r="Y6" s="262">
        <v>1</v>
      </c>
      <c r="Z6" s="262" t="s">
        <v>27</v>
      </c>
      <c r="AA6" s="262">
        <v>2</v>
      </c>
      <c r="AB6" s="262" t="s">
        <v>27</v>
      </c>
      <c r="AC6" s="262">
        <v>1.5</v>
      </c>
      <c r="AD6" s="103" t="s">
        <v>258</v>
      </c>
      <c r="AE6" s="103" t="s">
        <v>240</v>
      </c>
      <c r="AF6" s="104" t="s">
        <v>273</v>
      </c>
      <c r="AG6" s="297" t="s">
        <v>240</v>
      </c>
      <c r="AH6" s="205" t="s">
        <v>272</v>
      </c>
      <c r="AI6" s="194" t="s">
        <v>240</v>
      </c>
      <c r="AJ6" s="106"/>
      <c r="AK6" s="106"/>
      <c r="AL6" s="106"/>
      <c r="AM6" s="106"/>
      <c r="AN6" s="144"/>
      <c r="AO6" s="140"/>
      <c r="AP6" s="140"/>
      <c r="AQ6" s="140"/>
      <c r="AR6" s="140"/>
      <c r="AS6" s="140"/>
      <c r="AT6" s="140"/>
      <c r="AU6" s="140"/>
      <c r="AV6" s="140"/>
      <c r="AW6" s="140"/>
      <c r="AX6" s="140"/>
      <c r="AY6" s="140"/>
      <c r="AZ6" s="140"/>
      <c r="BA6" s="140"/>
      <c r="BB6" s="140" t="s">
        <v>358</v>
      </c>
      <c r="BC6" s="140" t="s">
        <v>264</v>
      </c>
      <c r="BD6" s="140" t="s">
        <v>264</v>
      </c>
    </row>
    <row r="7" spans="1:57" s="48" customFormat="1" x14ac:dyDescent="0.15">
      <c r="A7" s="200" t="s">
        <v>354</v>
      </c>
      <c r="B7" s="200">
        <v>1281</v>
      </c>
      <c r="C7" s="200" t="s">
        <v>22</v>
      </c>
      <c r="D7" s="200" t="s">
        <v>106</v>
      </c>
      <c r="E7" s="200" t="s">
        <v>38</v>
      </c>
      <c r="F7" s="200" t="s">
        <v>355</v>
      </c>
      <c r="G7" s="200" t="s">
        <v>106</v>
      </c>
      <c r="H7" s="200" t="s">
        <v>361</v>
      </c>
      <c r="I7" s="200">
        <v>4011931</v>
      </c>
      <c r="J7" s="42">
        <v>31330000</v>
      </c>
      <c r="K7" s="208">
        <v>1</v>
      </c>
      <c r="L7" s="206">
        <v>5</v>
      </c>
      <c r="M7" s="206" t="s">
        <v>27</v>
      </c>
      <c r="N7" s="196">
        <v>44716</v>
      </c>
      <c r="O7" s="195">
        <v>1</v>
      </c>
      <c r="P7" s="261" t="s">
        <v>27</v>
      </c>
      <c r="Q7" s="243" t="s">
        <v>128</v>
      </c>
      <c r="R7" s="262" t="s">
        <v>27</v>
      </c>
      <c r="S7" s="262">
        <v>1.5</v>
      </c>
      <c r="T7" s="262" t="s">
        <v>27</v>
      </c>
      <c r="U7" s="262">
        <v>3.5</v>
      </c>
      <c r="V7" s="262" t="s">
        <v>27</v>
      </c>
      <c r="W7" s="262">
        <v>5</v>
      </c>
      <c r="X7" s="262" t="s">
        <v>27</v>
      </c>
      <c r="Y7" s="262">
        <v>1</v>
      </c>
      <c r="Z7" s="262" t="s">
        <v>27</v>
      </c>
      <c r="AA7" s="262">
        <v>2</v>
      </c>
      <c r="AB7" s="262" t="s">
        <v>27</v>
      </c>
      <c r="AC7" s="262">
        <v>1</v>
      </c>
      <c r="AD7" s="103" t="s">
        <v>278</v>
      </c>
      <c r="AE7" s="103"/>
      <c r="AF7" s="104" t="s">
        <v>267</v>
      </c>
      <c r="AG7" s="297" t="s">
        <v>240</v>
      </c>
      <c r="AH7" s="205" t="s">
        <v>272</v>
      </c>
      <c r="AI7" s="194" t="s">
        <v>240</v>
      </c>
      <c r="AJ7" s="106"/>
      <c r="AK7" s="106"/>
      <c r="AL7" s="106"/>
      <c r="AM7" s="106"/>
      <c r="AN7" s="144"/>
      <c r="AO7" s="140"/>
      <c r="AP7" s="140"/>
      <c r="AQ7" s="140"/>
      <c r="AR7" s="140"/>
      <c r="AS7" s="140"/>
      <c r="AT7" s="140"/>
      <c r="AU7" s="140"/>
      <c r="AV7" s="140"/>
      <c r="AW7" s="140"/>
      <c r="AX7" s="140"/>
      <c r="AY7" s="140"/>
      <c r="AZ7" s="140"/>
      <c r="BA7" s="140"/>
      <c r="BB7" s="140" t="s">
        <v>358</v>
      </c>
      <c r="BC7" s="140" t="s">
        <v>264</v>
      </c>
      <c r="BD7" s="140" t="s">
        <v>264</v>
      </c>
    </row>
    <row r="8" spans="1:57" s="48" customFormat="1" x14ac:dyDescent="0.15">
      <c r="A8" s="206" t="s">
        <v>354</v>
      </c>
      <c r="B8" s="206">
        <v>1427</v>
      </c>
      <c r="C8" s="206" t="s">
        <v>29</v>
      </c>
      <c r="D8" s="206" t="s">
        <v>109</v>
      </c>
      <c r="E8" s="206" t="s">
        <v>38</v>
      </c>
      <c r="F8" s="206" t="s">
        <v>362</v>
      </c>
      <c r="G8" s="206" t="s">
        <v>44</v>
      </c>
      <c r="H8" s="206">
        <v>32360</v>
      </c>
      <c r="I8" s="206">
        <v>2934</v>
      </c>
      <c r="J8" s="42">
        <v>14130000</v>
      </c>
      <c r="K8" s="208">
        <v>1</v>
      </c>
      <c r="L8" s="206">
        <v>2</v>
      </c>
      <c r="M8" s="206" t="s">
        <v>27</v>
      </c>
      <c r="N8" s="196">
        <v>44693</v>
      </c>
      <c r="O8" s="195">
        <v>1</v>
      </c>
      <c r="P8" s="261" t="s">
        <v>27</v>
      </c>
      <c r="Q8" s="243" t="s">
        <v>128</v>
      </c>
      <c r="R8" s="262" t="s">
        <v>27</v>
      </c>
      <c r="S8" s="262">
        <v>1</v>
      </c>
      <c r="T8" s="262" t="s">
        <v>27</v>
      </c>
      <c r="U8" s="262">
        <v>2.5</v>
      </c>
      <c r="V8" s="262" t="s">
        <v>27</v>
      </c>
      <c r="W8" s="262">
        <v>3</v>
      </c>
      <c r="X8" s="262" t="s">
        <v>27</v>
      </c>
      <c r="Y8" s="262">
        <v>1</v>
      </c>
      <c r="Z8" s="262" t="s">
        <v>27</v>
      </c>
      <c r="AA8" s="262">
        <v>1</v>
      </c>
      <c r="AB8" s="262" t="s">
        <v>27</v>
      </c>
      <c r="AC8" s="262">
        <v>1.5</v>
      </c>
      <c r="AD8" s="103" t="s">
        <v>266</v>
      </c>
      <c r="AE8" s="103" t="s">
        <v>240</v>
      </c>
      <c r="AF8" s="104" t="s">
        <v>267</v>
      </c>
      <c r="AG8" s="297" t="s">
        <v>240</v>
      </c>
      <c r="AH8" s="205" t="s">
        <v>268</v>
      </c>
      <c r="AI8" s="194" t="s">
        <v>240</v>
      </c>
      <c r="AJ8" s="106"/>
      <c r="AK8" s="106"/>
      <c r="AL8" s="106"/>
      <c r="AM8" s="106"/>
      <c r="AN8" s="144"/>
      <c r="AO8" s="140"/>
      <c r="AP8" s="140"/>
      <c r="AQ8" s="140"/>
      <c r="AR8" s="140"/>
      <c r="AS8" s="140"/>
      <c r="AT8" s="140"/>
      <c r="AU8" s="140"/>
      <c r="AV8" s="140"/>
      <c r="AW8" s="140"/>
      <c r="AX8" s="140"/>
      <c r="AY8" s="140"/>
      <c r="AZ8" s="140"/>
      <c r="BA8" s="140"/>
      <c r="BB8" s="140" t="s">
        <v>269</v>
      </c>
      <c r="BC8" s="140" t="s">
        <v>264</v>
      </c>
      <c r="BD8" s="140" t="s">
        <v>264</v>
      </c>
    </row>
    <row r="9" spans="1:57" s="48" customFormat="1" x14ac:dyDescent="0.15">
      <c r="A9" s="206" t="s">
        <v>354</v>
      </c>
      <c r="B9" s="206">
        <v>1353</v>
      </c>
      <c r="C9" s="206" t="s">
        <v>29</v>
      </c>
      <c r="D9" s="206" t="s">
        <v>52</v>
      </c>
      <c r="E9" s="206" t="s">
        <v>38</v>
      </c>
      <c r="F9" s="206" t="s">
        <v>53</v>
      </c>
      <c r="G9" s="206" t="s">
        <v>44</v>
      </c>
      <c r="H9" s="206">
        <v>32360</v>
      </c>
      <c r="I9" s="206">
        <v>11237</v>
      </c>
      <c r="J9" s="42">
        <v>14700000</v>
      </c>
      <c r="K9" s="208">
        <v>1</v>
      </c>
      <c r="L9" s="206">
        <v>2</v>
      </c>
      <c r="M9" s="206" t="s">
        <v>27</v>
      </c>
      <c r="N9" s="196">
        <v>44694</v>
      </c>
      <c r="O9" s="195">
        <v>1</v>
      </c>
      <c r="P9" s="261" t="s">
        <v>27</v>
      </c>
      <c r="Q9" s="243" t="s">
        <v>128</v>
      </c>
      <c r="R9" s="262" t="s">
        <v>27</v>
      </c>
      <c r="S9" s="262">
        <v>1</v>
      </c>
      <c r="T9" s="262" t="s">
        <v>27</v>
      </c>
      <c r="U9" s="262">
        <v>4</v>
      </c>
      <c r="V9" s="262" t="s">
        <v>27</v>
      </c>
      <c r="W9" s="262">
        <v>2.5</v>
      </c>
      <c r="X9" s="262" t="s">
        <v>27</v>
      </c>
      <c r="Y9" s="262">
        <v>1</v>
      </c>
      <c r="Z9" s="262" t="s">
        <v>27</v>
      </c>
      <c r="AA9" s="262">
        <v>1.5</v>
      </c>
      <c r="AB9" s="262" t="s">
        <v>27</v>
      </c>
      <c r="AC9" s="262">
        <v>1</v>
      </c>
      <c r="AD9" s="103" t="s">
        <v>266</v>
      </c>
      <c r="AE9" s="103" t="s">
        <v>240</v>
      </c>
      <c r="AF9" s="104" t="s">
        <v>267</v>
      </c>
      <c r="AG9" s="297" t="s">
        <v>240</v>
      </c>
      <c r="AH9" s="205" t="s">
        <v>268</v>
      </c>
      <c r="AI9" s="194" t="s">
        <v>240</v>
      </c>
      <c r="AJ9" s="106"/>
      <c r="AK9" s="106"/>
      <c r="AL9" s="106"/>
      <c r="AM9" s="106"/>
      <c r="AN9" s="144"/>
      <c r="AO9" s="140"/>
      <c r="AP9" s="140"/>
      <c r="AQ9" s="140"/>
      <c r="AR9" s="140"/>
      <c r="AS9" s="140"/>
      <c r="AT9" s="140"/>
      <c r="AU9" s="140"/>
      <c r="AV9" s="140"/>
      <c r="AW9" s="140"/>
      <c r="AX9" s="140"/>
      <c r="AY9" s="140"/>
      <c r="AZ9" s="140"/>
      <c r="BA9" s="140"/>
      <c r="BB9" s="140" t="s">
        <v>269</v>
      </c>
      <c r="BC9" s="140" t="s">
        <v>264</v>
      </c>
      <c r="BD9" s="140" t="s">
        <v>264</v>
      </c>
    </row>
    <row r="10" spans="1:57" s="48" customFormat="1" x14ac:dyDescent="0.15">
      <c r="A10" s="206" t="s">
        <v>354</v>
      </c>
      <c r="B10" s="206">
        <v>1378</v>
      </c>
      <c r="C10" s="206" t="s">
        <v>29</v>
      </c>
      <c r="D10" s="206" t="s">
        <v>363</v>
      </c>
      <c r="E10" s="206" t="s">
        <v>24</v>
      </c>
      <c r="F10" s="206" t="s">
        <v>94</v>
      </c>
      <c r="G10" s="206" t="s">
        <v>23</v>
      </c>
      <c r="H10" s="206" t="s">
        <v>26</v>
      </c>
      <c r="I10" s="206">
        <v>180535</v>
      </c>
      <c r="J10" s="42">
        <v>26500000</v>
      </c>
      <c r="K10" s="208">
        <v>1</v>
      </c>
      <c r="L10" s="206">
        <v>1</v>
      </c>
      <c r="M10" s="206" t="s">
        <v>27</v>
      </c>
      <c r="N10" s="196">
        <v>44687</v>
      </c>
      <c r="O10" s="195">
        <v>1</v>
      </c>
      <c r="P10" s="261" t="s">
        <v>27</v>
      </c>
      <c r="Q10" s="243" t="s">
        <v>128</v>
      </c>
      <c r="R10" s="262" t="s">
        <v>27</v>
      </c>
      <c r="S10" s="262">
        <v>1</v>
      </c>
      <c r="T10" s="262" t="s">
        <v>27</v>
      </c>
      <c r="U10" s="262">
        <v>6.5</v>
      </c>
      <c r="V10" s="262" t="s">
        <v>27</v>
      </c>
      <c r="W10" s="262">
        <v>5.5</v>
      </c>
      <c r="X10" s="262" t="s">
        <v>27</v>
      </c>
      <c r="Y10" s="244" t="s">
        <v>128</v>
      </c>
      <c r="Z10" s="262" t="s">
        <v>27</v>
      </c>
      <c r="AA10" s="262">
        <v>5</v>
      </c>
      <c r="AB10" s="262" t="s">
        <v>27</v>
      </c>
      <c r="AC10" s="262">
        <v>1</v>
      </c>
      <c r="AD10" s="103" t="s">
        <v>258</v>
      </c>
      <c r="AE10" s="103" t="s">
        <v>240</v>
      </c>
      <c r="AF10" s="104" t="s">
        <v>283</v>
      </c>
      <c r="AG10" s="297" t="s">
        <v>240</v>
      </c>
      <c r="AH10" s="205" t="s">
        <v>268</v>
      </c>
      <c r="AI10" s="194" t="s">
        <v>240</v>
      </c>
      <c r="AJ10" s="106"/>
      <c r="AK10" s="106"/>
      <c r="AL10" s="106"/>
      <c r="AM10" s="106"/>
      <c r="AN10" s="144"/>
      <c r="AO10" s="140"/>
      <c r="AP10" s="140"/>
      <c r="AQ10" s="140"/>
      <c r="AR10" s="140"/>
      <c r="AS10" s="140"/>
      <c r="AT10" s="140"/>
      <c r="AU10" s="140"/>
      <c r="AV10" s="140"/>
      <c r="AW10" s="140"/>
      <c r="AX10" s="140"/>
      <c r="AY10" s="140"/>
      <c r="AZ10" s="140"/>
      <c r="BA10" s="140"/>
      <c r="BB10" s="140" t="s">
        <v>358</v>
      </c>
      <c r="BC10" s="140" t="s">
        <v>264</v>
      </c>
      <c r="BD10" s="179" t="s">
        <v>264</v>
      </c>
    </row>
    <row r="11" spans="1:57" s="48" customFormat="1" x14ac:dyDescent="0.15">
      <c r="A11" s="206" t="s">
        <v>354</v>
      </c>
      <c r="B11" s="206">
        <v>1270</v>
      </c>
      <c r="C11" s="206" t="s">
        <v>22</v>
      </c>
      <c r="D11" s="206" t="s">
        <v>364</v>
      </c>
      <c r="E11" s="206" t="s">
        <v>24</v>
      </c>
      <c r="F11" s="206" t="s">
        <v>94</v>
      </c>
      <c r="G11" s="206" t="s">
        <v>44</v>
      </c>
      <c r="H11" s="206">
        <v>32360</v>
      </c>
      <c r="I11" s="206">
        <v>3081</v>
      </c>
      <c r="J11" s="42">
        <v>27550000</v>
      </c>
      <c r="K11" s="208">
        <v>1</v>
      </c>
      <c r="L11" s="206">
        <v>2</v>
      </c>
      <c r="M11" s="206" t="s">
        <v>27</v>
      </c>
      <c r="N11" s="196">
        <v>44694</v>
      </c>
      <c r="O11" s="195">
        <v>1</v>
      </c>
      <c r="P11" s="261" t="s">
        <v>27</v>
      </c>
      <c r="Q11" s="243" t="s">
        <v>128</v>
      </c>
      <c r="R11" s="262" t="s">
        <v>27</v>
      </c>
      <c r="S11" s="262">
        <v>1.5</v>
      </c>
      <c r="T11" s="262" t="s">
        <v>27</v>
      </c>
      <c r="U11" s="262">
        <v>6</v>
      </c>
      <c r="V11" s="262" t="s">
        <v>27</v>
      </c>
      <c r="W11" s="262">
        <v>4.5</v>
      </c>
      <c r="X11" s="262" t="s">
        <v>27</v>
      </c>
      <c r="Y11" s="262">
        <v>1</v>
      </c>
      <c r="Z11" s="262" t="s">
        <v>27</v>
      </c>
      <c r="AA11" s="262">
        <v>4</v>
      </c>
      <c r="AB11" s="262" t="s">
        <v>27</v>
      </c>
      <c r="AC11" s="262">
        <v>1.5</v>
      </c>
      <c r="AD11" s="103" t="s">
        <v>266</v>
      </c>
      <c r="AE11" s="103" t="s">
        <v>240</v>
      </c>
      <c r="AF11" s="104" t="s">
        <v>283</v>
      </c>
      <c r="AG11" s="297" t="s">
        <v>240</v>
      </c>
      <c r="AH11" s="205" t="s">
        <v>365</v>
      </c>
      <c r="AI11" s="194"/>
      <c r="AJ11" s="106"/>
      <c r="AK11" s="106"/>
      <c r="AL11" s="106"/>
      <c r="AM11" s="106"/>
      <c r="AN11" s="144"/>
      <c r="AO11" s="140"/>
      <c r="AP11" s="140"/>
      <c r="AQ11" s="140"/>
      <c r="AR11" s="140"/>
      <c r="AS11" s="140"/>
      <c r="AT11" s="140"/>
      <c r="AU11" s="140"/>
      <c r="AV11" s="140"/>
      <c r="AW11" s="140"/>
      <c r="AX11" s="140"/>
      <c r="AY11" s="140"/>
      <c r="AZ11" s="140"/>
      <c r="BA11" s="140"/>
      <c r="BB11" s="140" t="s">
        <v>358</v>
      </c>
      <c r="BC11" s="140" t="s">
        <v>264</v>
      </c>
      <c r="BD11" s="179" t="s">
        <v>264</v>
      </c>
    </row>
    <row r="12" spans="1:57" s="48" customFormat="1" x14ac:dyDescent="0.15">
      <c r="A12" s="206" t="s">
        <v>354</v>
      </c>
      <c r="B12" s="206">
        <v>1262</v>
      </c>
      <c r="C12" s="206" t="s">
        <v>22</v>
      </c>
      <c r="D12" s="206" t="s">
        <v>366</v>
      </c>
      <c r="E12" s="206" t="s">
        <v>34</v>
      </c>
      <c r="F12" s="206" t="s">
        <v>35</v>
      </c>
      <c r="G12" s="206" t="s">
        <v>44</v>
      </c>
      <c r="H12" s="206">
        <v>32360</v>
      </c>
      <c r="I12" s="206">
        <v>32309</v>
      </c>
      <c r="J12" s="42">
        <v>6600000</v>
      </c>
      <c r="K12" s="208">
        <v>1</v>
      </c>
      <c r="L12" s="206">
        <v>2</v>
      </c>
      <c r="M12" s="206" t="s">
        <v>27</v>
      </c>
      <c r="N12" s="196">
        <v>44693</v>
      </c>
      <c r="O12" s="195">
        <v>1</v>
      </c>
      <c r="P12" s="261" t="s">
        <v>27</v>
      </c>
      <c r="Q12" s="243" t="s">
        <v>128</v>
      </c>
      <c r="R12" s="262" t="s">
        <v>27</v>
      </c>
      <c r="S12" s="262">
        <v>1</v>
      </c>
      <c r="T12" s="262" t="s">
        <v>27</v>
      </c>
      <c r="U12" s="262">
        <v>2</v>
      </c>
      <c r="V12" s="262" t="s">
        <v>27</v>
      </c>
      <c r="W12" s="262">
        <v>3</v>
      </c>
      <c r="X12" s="262" t="s">
        <v>27</v>
      </c>
      <c r="Y12" s="262">
        <v>1</v>
      </c>
      <c r="Z12" s="262" t="s">
        <v>27</v>
      </c>
      <c r="AA12" s="244" t="s">
        <v>128</v>
      </c>
      <c r="AB12" s="262" t="s">
        <v>27</v>
      </c>
      <c r="AC12" s="262">
        <v>1</v>
      </c>
      <c r="AD12" s="103" t="s">
        <v>367</v>
      </c>
      <c r="AE12" s="104" t="s">
        <v>368</v>
      </c>
      <c r="AF12" s="104" t="s">
        <v>368</v>
      </c>
      <c r="AG12" s="104" t="s">
        <v>368</v>
      </c>
      <c r="AH12" s="205" t="s">
        <v>365</v>
      </c>
      <c r="AI12" s="194"/>
      <c r="AJ12" s="106"/>
      <c r="AK12" s="106"/>
      <c r="AL12" s="106"/>
      <c r="AM12" s="106"/>
      <c r="AN12" s="144"/>
      <c r="AO12" s="140"/>
      <c r="AP12" s="140"/>
      <c r="AQ12" s="140"/>
      <c r="AR12" s="140"/>
      <c r="AS12" s="140"/>
      <c r="AT12" s="140"/>
      <c r="AU12" s="140"/>
      <c r="AV12" s="140"/>
      <c r="AW12" s="140"/>
      <c r="AX12" s="140"/>
      <c r="AY12" s="140"/>
      <c r="AZ12" s="140"/>
      <c r="BA12" s="140"/>
      <c r="BB12" s="140" t="s">
        <v>291</v>
      </c>
      <c r="BC12" s="140" t="s">
        <v>264</v>
      </c>
      <c r="BD12" s="140" t="s">
        <v>264</v>
      </c>
    </row>
    <row r="13" spans="1:57" s="48" customFormat="1" x14ac:dyDescent="0.15">
      <c r="A13" s="200" t="s">
        <v>354</v>
      </c>
      <c r="B13" s="200">
        <v>973</v>
      </c>
      <c r="C13" s="200" t="s">
        <v>22</v>
      </c>
      <c r="D13" s="200" t="s">
        <v>138</v>
      </c>
      <c r="E13" s="200" t="s">
        <v>31</v>
      </c>
      <c r="F13" s="200" t="s">
        <v>369</v>
      </c>
      <c r="G13" s="200" t="s">
        <v>33</v>
      </c>
      <c r="H13" s="200">
        <v>3342</v>
      </c>
      <c r="I13" s="200">
        <v>531846</v>
      </c>
      <c r="J13" s="42">
        <v>64000000</v>
      </c>
      <c r="K13" s="208">
        <v>1</v>
      </c>
      <c r="L13" s="206">
        <v>5</v>
      </c>
      <c r="M13" s="206" t="s">
        <v>27</v>
      </c>
      <c r="N13" s="196">
        <v>44755</v>
      </c>
      <c r="O13" s="195">
        <v>1</v>
      </c>
      <c r="P13" s="261" t="s">
        <v>27</v>
      </c>
      <c r="Q13" s="243" t="s">
        <v>128</v>
      </c>
      <c r="R13" s="262" t="s">
        <v>27</v>
      </c>
      <c r="S13" s="262">
        <v>1</v>
      </c>
      <c r="T13" s="262" t="s">
        <v>27</v>
      </c>
      <c r="U13" s="262">
        <v>8.5</v>
      </c>
      <c r="V13" s="262" t="s">
        <v>27</v>
      </c>
      <c r="W13" s="262">
        <v>15</v>
      </c>
      <c r="X13" s="262" t="s">
        <v>27</v>
      </c>
      <c r="Y13" s="262">
        <v>3</v>
      </c>
      <c r="Z13" s="262" t="s">
        <v>27</v>
      </c>
      <c r="AA13" s="244" t="s">
        <v>128</v>
      </c>
      <c r="AB13" s="262" t="s">
        <v>27</v>
      </c>
      <c r="AC13" s="244" t="s">
        <v>128</v>
      </c>
      <c r="AD13" s="103" t="s">
        <v>266</v>
      </c>
      <c r="AE13" s="103" t="s">
        <v>240</v>
      </c>
      <c r="AF13" s="104" t="s">
        <v>283</v>
      </c>
      <c r="AG13" s="297" t="s">
        <v>240</v>
      </c>
      <c r="AH13" s="205" t="s">
        <v>365</v>
      </c>
      <c r="AI13" s="194"/>
      <c r="AJ13" s="106"/>
      <c r="AK13" s="106"/>
      <c r="AL13" s="106"/>
      <c r="AM13" s="106"/>
      <c r="AN13" s="144" t="s">
        <v>370</v>
      </c>
      <c r="AO13" s="140" t="s">
        <v>264</v>
      </c>
      <c r="AP13" s="140" t="s">
        <v>371</v>
      </c>
      <c r="AQ13" s="140" t="s">
        <v>264</v>
      </c>
      <c r="AR13" s="140" t="s">
        <v>372</v>
      </c>
      <c r="AS13" s="140" t="s">
        <v>264</v>
      </c>
      <c r="AT13" s="140" t="s">
        <v>373</v>
      </c>
      <c r="AU13" s="140" t="s">
        <v>264</v>
      </c>
      <c r="AV13" s="140" t="s">
        <v>374</v>
      </c>
      <c r="AW13" s="140" t="s">
        <v>264</v>
      </c>
      <c r="AX13" s="140" t="s">
        <v>375</v>
      </c>
      <c r="AY13" s="140" t="s">
        <v>376</v>
      </c>
      <c r="AZ13" s="140" t="s">
        <v>377</v>
      </c>
      <c r="BA13" s="140" t="s">
        <v>376</v>
      </c>
      <c r="BB13" s="140" t="s">
        <v>358</v>
      </c>
      <c r="BC13" s="140" t="s">
        <v>264</v>
      </c>
      <c r="BD13" s="179" t="s">
        <v>264</v>
      </c>
    </row>
    <row r="14" spans="1:57" s="48" customFormat="1" x14ac:dyDescent="0.15">
      <c r="A14" s="200" t="s">
        <v>354</v>
      </c>
      <c r="B14" s="200">
        <v>1137</v>
      </c>
      <c r="C14" s="200" t="s">
        <v>22</v>
      </c>
      <c r="D14" s="200" t="s">
        <v>132</v>
      </c>
      <c r="E14" s="200" t="s">
        <v>24</v>
      </c>
      <c r="F14" s="200" t="s">
        <v>94</v>
      </c>
      <c r="G14" s="200" t="s">
        <v>44</v>
      </c>
      <c r="H14" s="200">
        <v>32360</v>
      </c>
      <c r="I14" s="200">
        <v>38062</v>
      </c>
      <c r="J14" s="42">
        <v>16200000</v>
      </c>
      <c r="K14" s="208">
        <v>1</v>
      </c>
      <c r="L14" s="206">
        <v>4</v>
      </c>
      <c r="M14" s="206" t="s">
        <v>27</v>
      </c>
      <c r="N14" s="196">
        <v>44708</v>
      </c>
      <c r="O14" s="195">
        <v>1</v>
      </c>
      <c r="P14" s="261" t="s">
        <v>27</v>
      </c>
      <c r="Q14" s="243" t="s">
        <v>128</v>
      </c>
      <c r="R14" s="262" t="s">
        <v>27</v>
      </c>
      <c r="S14" s="262">
        <v>1</v>
      </c>
      <c r="T14" s="262" t="s">
        <v>27</v>
      </c>
      <c r="U14" s="262">
        <v>5</v>
      </c>
      <c r="V14" s="262" t="s">
        <v>27</v>
      </c>
      <c r="W14" s="262">
        <v>4</v>
      </c>
      <c r="X14" s="262" t="s">
        <v>27</v>
      </c>
      <c r="Y14" s="262">
        <v>1</v>
      </c>
      <c r="Z14" s="262" t="s">
        <v>27</v>
      </c>
      <c r="AA14" s="262">
        <v>4</v>
      </c>
      <c r="AB14" s="262" t="s">
        <v>27</v>
      </c>
      <c r="AC14" s="262">
        <v>3</v>
      </c>
      <c r="AD14" s="103"/>
      <c r="AE14" s="103"/>
      <c r="AF14" s="104" t="s">
        <v>283</v>
      </c>
      <c r="AG14" s="297" t="s">
        <v>240</v>
      </c>
      <c r="AH14" s="205" t="s">
        <v>365</v>
      </c>
      <c r="AI14" s="194"/>
      <c r="AJ14" s="106"/>
      <c r="AK14" s="106"/>
      <c r="AL14" s="106"/>
      <c r="AM14" s="106"/>
      <c r="AN14" s="144"/>
      <c r="AO14" s="140"/>
      <c r="AP14" s="140"/>
      <c r="AQ14" s="140"/>
      <c r="AR14" s="140"/>
      <c r="AS14" s="140"/>
      <c r="AT14" s="140"/>
      <c r="AU14" s="140"/>
      <c r="AV14" s="140"/>
      <c r="AW14" s="140"/>
      <c r="AX14" s="140"/>
      <c r="AY14" s="140"/>
      <c r="AZ14" s="140"/>
      <c r="BA14" s="140"/>
      <c r="BB14" s="140" t="s">
        <v>358</v>
      </c>
      <c r="BC14" s="140" t="s">
        <v>264</v>
      </c>
      <c r="BD14" s="179" t="s">
        <v>264</v>
      </c>
    </row>
    <row r="15" spans="1:57" s="48" customFormat="1" x14ac:dyDescent="0.2">
      <c r="A15" s="200" t="s">
        <v>354</v>
      </c>
      <c r="B15" s="200">
        <v>1326</v>
      </c>
      <c r="C15" s="200" t="s">
        <v>22</v>
      </c>
      <c r="D15" s="200" t="s">
        <v>37</v>
      </c>
      <c r="E15" s="200" t="s">
        <v>31</v>
      </c>
      <c r="F15" s="200" t="s">
        <v>378</v>
      </c>
      <c r="G15" s="200" t="s">
        <v>68</v>
      </c>
      <c r="H15" s="200" t="s">
        <v>379</v>
      </c>
      <c r="I15" s="200">
        <v>7101292</v>
      </c>
      <c r="J15" s="230">
        <v>22000000</v>
      </c>
      <c r="K15" s="208">
        <v>1</v>
      </c>
      <c r="L15" s="206">
        <v>5</v>
      </c>
      <c r="M15" s="206" t="s">
        <v>27</v>
      </c>
      <c r="N15" s="196">
        <v>44729</v>
      </c>
      <c r="O15" s="195">
        <v>1</v>
      </c>
      <c r="P15" s="261" t="s">
        <v>27</v>
      </c>
      <c r="Q15" s="243" t="s">
        <v>128</v>
      </c>
      <c r="R15" s="262" t="s">
        <v>27</v>
      </c>
      <c r="S15" s="262">
        <v>1</v>
      </c>
      <c r="T15" s="262" t="s">
        <v>27</v>
      </c>
      <c r="U15" s="262">
        <v>6</v>
      </c>
      <c r="V15" s="262" t="s">
        <v>27</v>
      </c>
      <c r="W15" s="262">
        <v>6.5</v>
      </c>
      <c r="X15" s="262" t="s">
        <v>27</v>
      </c>
      <c r="Y15" s="244" t="s">
        <v>128</v>
      </c>
      <c r="Z15" s="262" t="s">
        <v>27</v>
      </c>
      <c r="AA15" s="262">
        <v>13</v>
      </c>
      <c r="AB15" s="262" t="s">
        <v>27</v>
      </c>
      <c r="AC15" s="262">
        <v>2</v>
      </c>
      <c r="AD15" s="103" t="s">
        <v>278</v>
      </c>
      <c r="AE15" s="103"/>
      <c r="AF15" s="104" t="s">
        <v>283</v>
      </c>
      <c r="AG15" s="297" t="s">
        <v>240</v>
      </c>
      <c r="AH15" s="205" t="s">
        <v>365</v>
      </c>
      <c r="AI15" s="194"/>
      <c r="AJ15" s="106"/>
      <c r="AK15" s="106"/>
      <c r="AL15" s="106"/>
      <c r="AM15" s="106"/>
      <c r="AN15" s="144" t="s">
        <v>380</v>
      </c>
      <c r="AO15" s="140" t="s">
        <v>381</v>
      </c>
      <c r="AP15" s="140" t="s">
        <v>382</v>
      </c>
      <c r="AQ15" s="140" t="s">
        <v>381</v>
      </c>
      <c r="AR15" s="140" t="s">
        <v>383</v>
      </c>
      <c r="AS15" s="140" t="s">
        <v>264</v>
      </c>
      <c r="AT15" s="140" t="s">
        <v>384</v>
      </c>
      <c r="AU15" s="140" t="s">
        <v>264</v>
      </c>
      <c r="AV15" s="140" t="s">
        <v>385</v>
      </c>
      <c r="AW15" s="140" t="s">
        <v>381</v>
      </c>
      <c r="AX15" s="140" t="s">
        <v>386</v>
      </c>
      <c r="AY15" s="140" t="s">
        <v>381</v>
      </c>
      <c r="AZ15" s="140" t="s">
        <v>387</v>
      </c>
      <c r="BA15" s="140" t="s">
        <v>388</v>
      </c>
      <c r="BB15" s="140" t="s">
        <v>291</v>
      </c>
      <c r="BC15" s="140" t="s">
        <v>389</v>
      </c>
      <c r="BD15" s="140" t="s">
        <v>264</v>
      </c>
      <c r="BE15" s="148"/>
    </row>
    <row r="16" spans="1:57" s="48" customFormat="1" x14ac:dyDescent="0.15">
      <c r="A16" s="200" t="s">
        <v>354</v>
      </c>
      <c r="B16" s="200">
        <v>1265</v>
      </c>
      <c r="C16" s="200" t="s">
        <v>22</v>
      </c>
      <c r="D16" s="200" t="s">
        <v>48</v>
      </c>
      <c r="E16" s="200" t="s">
        <v>31</v>
      </c>
      <c r="F16" s="200" t="s">
        <v>49</v>
      </c>
      <c r="G16" s="200" t="s">
        <v>390</v>
      </c>
      <c r="H16" s="200">
        <v>7600</v>
      </c>
      <c r="I16" s="200" t="s">
        <v>51</v>
      </c>
      <c r="J16" s="230">
        <v>22400000</v>
      </c>
      <c r="K16" s="208">
        <v>1</v>
      </c>
      <c r="L16" s="206">
        <v>1</v>
      </c>
      <c r="M16" s="206" t="s">
        <v>27</v>
      </c>
      <c r="N16" s="196">
        <v>44719</v>
      </c>
      <c r="O16" s="195">
        <v>1</v>
      </c>
      <c r="P16" s="261" t="s">
        <v>27</v>
      </c>
      <c r="Q16" s="243" t="s">
        <v>128</v>
      </c>
      <c r="R16" s="262" t="s">
        <v>27</v>
      </c>
      <c r="S16" s="262">
        <v>1.5</v>
      </c>
      <c r="T16" s="262" t="s">
        <v>27</v>
      </c>
      <c r="U16" s="262">
        <v>8</v>
      </c>
      <c r="V16" s="262" t="s">
        <v>27</v>
      </c>
      <c r="W16" s="262">
        <v>10</v>
      </c>
      <c r="X16" s="262" t="s">
        <v>27</v>
      </c>
      <c r="Y16" s="262">
        <v>2</v>
      </c>
      <c r="Z16" s="262" t="s">
        <v>27</v>
      </c>
      <c r="AA16" s="262">
        <v>15</v>
      </c>
      <c r="AB16" s="262" t="s">
        <v>27</v>
      </c>
      <c r="AC16" s="262">
        <v>5</v>
      </c>
      <c r="AD16" s="103" t="s">
        <v>258</v>
      </c>
      <c r="AE16" s="103" t="s">
        <v>240</v>
      </c>
      <c r="AF16" s="104" t="s">
        <v>283</v>
      </c>
      <c r="AG16" s="297" t="s">
        <v>240</v>
      </c>
      <c r="AH16" s="205" t="s">
        <v>365</v>
      </c>
      <c r="AI16" s="194"/>
      <c r="AJ16" s="106"/>
      <c r="AK16" s="106"/>
      <c r="AL16" s="106"/>
      <c r="AM16" s="106"/>
      <c r="AN16" s="144" t="s">
        <v>391</v>
      </c>
      <c r="AO16" s="140" t="s">
        <v>264</v>
      </c>
      <c r="AP16" s="140" t="s">
        <v>392</v>
      </c>
      <c r="AQ16" s="140" t="s">
        <v>381</v>
      </c>
      <c r="AR16" s="140" t="s">
        <v>372</v>
      </c>
      <c r="AS16" s="140" t="s">
        <v>264</v>
      </c>
      <c r="AT16" s="140" t="s">
        <v>393</v>
      </c>
      <c r="AU16" s="140" t="s">
        <v>240</v>
      </c>
      <c r="AV16" s="140" t="s">
        <v>394</v>
      </c>
      <c r="AW16" s="140" t="s">
        <v>381</v>
      </c>
      <c r="AX16" s="140" t="s">
        <v>395</v>
      </c>
      <c r="AY16" s="140" t="s">
        <v>381</v>
      </c>
      <c r="AZ16" s="140" t="s">
        <v>396</v>
      </c>
      <c r="BA16" s="140" t="s">
        <v>381</v>
      </c>
      <c r="BB16" s="140" t="s">
        <v>397</v>
      </c>
      <c r="BC16" s="140" t="s">
        <v>264</v>
      </c>
      <c r="BD16" s="140" t="s">
        <v>264</v>
      </c>
    </row>
    <row r="17" spans="1:56" s="48" customFormat="1" x14ac:dyDescent="0.15">
      <c r="A17" s="200" t="s">
        <v>354</v>
      </c>
      <c r="B17" s="200">
        <v>1369</v>
      </c>
      <c r="C17" s="200" t="s">
        <v>29</v>
      </c>
      <c r="D17" s="200" t="s">
        <v>398</v>
      </c>
      <c r="E17" s="200" t="s">
        <v>66</v>
      </c>
      <c r="F17" s="200" t="s">
        <v>399</v>
      </c>
      <c r="G17" s="200" t="s">
        <v>44</v>
      </c>
      <c r="H17" s="200">
        <v>32360</v>
      </c>
      <c r="I17" s="200">
        <v>21096</v>
      </c>
      <c r="J17" s="230">
        <v>42950000</v>
      </c>
      <c r="K17" s="208">
        <v>1</v>
      </c>
      <c r="L17" s="206">
        <v>5</v>
      </c>
      <c r="M17" s="206" t="s">
        <v>27</v>
      </c>
      <c r="N17" s="196">
        <v>44749</v>
      </c>
      <c r="O17" s="195">
        <v>1</v>
      </c>
      <c r="P17" s="261" t="s">
        <v>27</v>
      </c>
      <c r="Q17" s="243" t="s">
        <v>128</v>
      </c>
      <c r="R17" s="262" t="s">
        <v>27</v>
      </c>
      <c r="S17" s="262">
        <v>1.5</v>
      </c>
      <c r="T17" s="262" t="s">
        <v>27</v>
      </c>
      <c r="U17" s="262">
        <v>10</v>
      </c>
      <c r="V17" s="262" t="s">
        <v>27</v>
      </c>
      <c r="W17" s="262">
        <v>7.5</v>
      </c>
      <c r="X17" s="262" t="s">
        <v>27</v>
      </c>
      <c r="Y17" s="244" t="s">
        <v>128</v>
      </c>
      <c r="Z17" s="262" t="s">
        <v>27</v>
      </c>
      <c r="AA17" s="244" t="s">
        <v>128</v>
      </c>
      <c r="AB17" s="262" t="s">
        <v>27</v>
      </c>
      <c r="AC17" s="244" t="s">
        <v>128</v>
      </c>
      <c r="AD17" s="103" t="s">
        <v>266</v>
      </c>
      <c r="AE17" s="103" t="s">
        <v>240</v>
      </c>
      <c r="AF17" s="104" t="s">
        <v>283</v>
      </c>
      <c r="AG17" s="297" t="s">
        <v>240</v>
      </c>
      <c r="AH17" s="205" t="s">
        <v>365</v>
      </c>
      <c r="AI17" s="194"/>
      <c r="AJ17" s="106"/>
      <c r="AK17" s="106"/>
      <c r="AL17" s="106"/>
      <c r="AM17" s="106"/>
      <c r="AN17" s="144"/>
      <c r="AO17" s="140"/>
      <c r="AP17" s="140"/>
      <c r="AQ17" s="140"/>
      <c r="AR17" s="140"/>
      <c r="AS17" s="140"/>
      <c r="AT17" s="140"/>
      <c r="AU17" s="140"/>
      <c r="AV17" s="140"/>
      <c r="AW17" s="140"/>
      <c r="AX17" s="140"/>
      <c r="AY17" s="140"/>
      <c r="AZ17" s="140"/>
      <c r="BA17" s="140"/>
      <c r="BB17" s="140" t="s">
        <v>358</v>
      </c>
      <c r="BC17" s="140" t="s">
        <v>264</v>
      </c>
      <c r="BD17" s="140" t="s">
        <v>264</v>
      </c>
    </row>
    <row r="18" spans="1:56" s="48" customFormat="1" x14ac:dyDescent="0.15">
      <c r="A18" s="200" t="s">
        <v>354</v>
      </c>
      <c r="B18" s="200">
        <v>1327</v>
      </c>
      <c r="C18" s="200" t="s">
        <v>22</v>
      </c>
      <c r="D18" s="200" t="s">
        <v>42</v>
      </c>
      <c r="E18" s="200" t="s">
        <v>24</v>
      </c>
      <c r="F18" s="200" t="s">
        <v>25</v>
      </c>
      <c r="G18" s="200" t="s">
        <v>44</v>
      </c>
      <c r="H18" s="200">
        <v>32360</v>
      </c>
      <c r="I18" s="200">
        <v>44024</v>
      </c>
      <c r="J18" s="42">
        <v>22500000</v>
      </c>
      <c r="K18" s="208">
        <v>1</v>
      </c>
      <c r="L18" s="206">
        <v>5</v>
      </c>
      <c r="M18" s="206" t="s">
        <v>27</v>
      </c>
      <c r="N18" s="196">
        <v>44713</v>
      </c>
      <c r="O18" s="195">
        <v>1</v>
      </c>
      <c r="P18" s="261" t="s">
        <v>27</v>
      </c>
      <c r="Q18" s="243" t="s">
        <v>128</v>
      </c>
      <c r="R18" s="262" t="s">
        <v>27</v>
      </c>
      <c r="S18" s="262">
        <v>1</v>
      </c>
      <c r="T18" s="262" t="s">
        <v>27</v>
      </c>
      <c r="U18" s="262">
        <v>4.5</v>
      </c>
      <c r="V18" s="262" t="s">
        <v>27</v>
      </c>
      <c r="W18" s="262">
        <v>4.5</v>
      </c>
      <c r="X18" s="262" t="s">
        <v>27</v>
      </c>
      <c r="Y18" s="262">
        <v>2</v>
      </c>
      <c r="Z18" s="262" t="s">
        <v>27</v>
      </c>
      <c r="AA18" s="262">
        <v>6</v>
      </c>
      <c r="AB18" s="262" t="s">
        <v>27</v>
      </c>
      <c r="AC18" s="262">
        <v>3</v>
      </c>
      <c r="AD18" s="103"/>
      <c r="AE18" s="103"/>
      <c r="AF18" s="104"/>
      <c r="AG18" s="297"/>
      <c r="AH18" s="193"/>
      <c r="AI18" s="194"/>
      <c r="AJ18" s="106"/>
      <c r="AK18" s="106"/>
      <c r="AL18" s="106"/>
      <c r="AM18" s="106"/>
      <c r="AN18" s="144"/>
      <c r="AO18" s="140"/>
      <c r="AP18" s="140"/>
      <c r="AQ18" s="140"/>
      <c r="AR18" s="140"/>
      <c r="AS18" s="140"/>
      <c r="AT18" s="140"/>
      <c r="AU18" s="140"/>
      <c r="AV18" s="140"/>
      <c r="AW18" s="140"/>
      <c r="AX18" s="140"/>
      <c r="AY18" s="140"/>
      <c r="AZ18" s="140"/>
      <c r="BA18" s="140"/>
      <c r="BB18" s="140" t="s">
        <v>358</v>
      </c>
      <c r="BC18" s="140" t="s">
        <v>264</v>
      </c>
      <c r="BD18" s="140" t="s">
        <v>264</v>
      </c>
    </row>
    <row r="19" spans="1:56" s="48" customFormat="1" x14ac:dyDescent="0.15">
      <c r="A19" s="206" t="s">
        <v>354</v>
      </c>
      <c r="B19" s="206">
        <v>1354</v>
      </c>
      <c r="C19" s="206" t="s">
        <v>29</v>
      </c>
      <c r="D19" s="206" t="s">
        <v>52</v>
      </c>
      <c r="E19" s="206" t="s">
        <v>38</v>
      </c>
      <c r="F19" s="206" t="s">
        <v>53</v>
      </c>
      <c r="G19" s="206" t="s">
        <v>44</v>
      </c>
      <c r="H19" s="206">
        <v>32360</v>
      </c>
      <c r="I19" s="206">
        <v>11601</v>
      </c>
      <c r="J19" s="42">
        <v>14700000</v>
      </c>
      <c r="K19" s="208">
        <v>1</v>
      </c>
      <c r="L19" s="206">
        <v>4</v>
      </c>
      <c r="M19" s="206" t="s">
        <v>27</v>
      </c>
      <c r="N19" s="196">
        <v>44706</v>
      </c>
      <c r="O19" s="195">
        <v>1</v>
      </c>
      <c r="P19" s="261" t="s">
        <v>27</v>
      </c>
      <c r="Q19" s="243" t="s">
        <v>128</v>
      </c>
      <c r="R19" s="262" t="s">
        <v>27</v>
      </c>
      <c r="S19" s="262">
        <v>1.5</v>
      </c>
      <c r="T19" s="262" t="s">
        <v>27</v>
      </c>
      <c r="U19" s="262">
        <v>4</v>
      </c>
      <c r="V19" s="262" t="s">
        <v>27</v>
      </c>
      <c r="W19" s="262">
        <v>3</v>
      </c>
      <c r="X19" s="262" t="s">
        <v>27</v>
      </c>
      <c r="Y19" s="262">
        <v>1</v>
      </c>
      <c r="Z19" s="262" t="s">
        <v>27</v>
      </c>
      <c r="AA19" s="262">
        <v>1</v>
      </c>
      <c r="AB19" s="262" t="s">
        <v>27</v>
      </c>
      <c r="AC19" s="262">
        <v>1</v>
      </c>
      <c r="AD19" s="103"/>
      <c r="AE19" s="103"/>
      <c r="AF19" s="104"/>
      <c r="AG19" s="297"/>
      <c r="AH19" s="193"/>
      <c r="AI19" s="194"/>
      <c r="AJ19" s="106"/>
      <c r="AK19" s="106"/>
      <c r="AL19" s="106"/>
      <c r="AM19" s="106"/>
      <c r="AN19" s="144"/>
      <c r="AO19" s="140"/>
      <c r="AP19" s="140"/>
      <c r="AQ19" s="140"/>
      <c r="AR19" s="140"/>
      <c r="AS19" s="140"/>
      <c r="AT19" s="140"/>
      <c r="AU19" s="140"/>
      <c r="AV19" s="140"/>
      <c r="AW19" s="140"/>
      <c r="AX19" s="140"/>
      <c r="AY19" s="140"/>
      <c r="AZ19" s="140"/>
      <c r="BA19" s="140"/>
      <c r="BB19" s="140" t="s">
        <v>269</v>
      </c>
      <c r="BC19" s="140" t="s">
        <v>264</v>
      </c>
      <c r="BD19" s="140" t="s">
        <v>264</v>
      </c>
    </row>
    <row r="20" spans="1:56" s="48" customFormat="1" x14ac:dyDescent="0.15">
      <c r="A20" s="200" t="s">
        <v>354</v>
      </c>
      <c r="B20" s="200">
        <v>1432</v>
      </c>
      <c r="C20" s="200" t="s">
        <v>29</v>
      </c>
      <c r="D20" s="229" t="s">
        <v>400</v>
      </c>
      <c r="E20" s="200" t="s">
        <v>34</v>
      </c>
      <c r="F20" s="200" t="s">
        <v>401</v>
      </c>
      <c r="G20" s="200" t="s">
        <v>147</v>
      </c>
      <c r="H20" s="200" t="s">
        <v>402</v>
      </c>
      <c r="I20" s="200">
        <v>6635</v>
      </c>
      <c r="J20" s="42">
        <v>3570000</v>
      </c>
      <c r="K20" s="208">
        <v>1</v>
      </c>
      <c r="L20" s="206">
        <v>5</v>
      </c>
      <c r="M20" s="206" t="s">
        <v>27</v>
      </c>
      <c r="N20" s="196">
        <v>44713</v>
      </c>
      <c r="O20" s="195">
        <v>1</v>
      </c>
      <c r="P20" s="261" t="s">
        <v>27</v>
      </c>
      <c r="Q20" s="243" t="s">
        <v>128</v>
      </c>
      <c r="R20" s="262" t="s">
        <v>27</v>
      </c>
      <c r="S20" s="262">
        <v>1</v>
      </c>
      <c r="T20" s="262" t="s">
        <v>27</v>
      </c>
      <c r="U20" s="262">
        <v>1.5</v>
      </c>
      <c r="V20" s="262" t="s">
        <v>27</v>
      </c>
      <c r="W20" s="262">
        <v>1.5</v>
      </c>
      <c r="X20" s="262" t="s">
        <v>27</v>
      </c>
      <c r="Y20" s="262">
        <v>1</v>
      </c>
      <c r="Z20" s="262" t="s">
        <v>27</v>
      </c>
      <c r="AA20" s="244" t="s">
        <v>128</v>
      </c>
      <c r="AB20" s="262" t="s">
        <v>27</v>
      </c>
      <c r="AC20" s="262">
        <v>1</v>
      </c>
      <c r="AD20" s="103"/>
      <c r="AE20" s="103"/>
      <c r="AF20" s="104"/>
      <c r="AG20" s="297"/>
      <c r="AH20" s="193"/>
      <c r="AI20" s="194"/>
      <c r="AJ20" s="106"/>
      <c r="AK20" s="106"/>
      <c r="AL20" s="106"/>
      <c r="AM20" s="106"/>
      <c r="AN20" s="144"/>
      <c r="AO20" s="140"/>
      <c r="AP20" s="140"/>
      <c r="AQ20" s="140"/>
      <c r="AR20" s="140"/>
      <c r="AS20" s="140"/>
      <c r="AT20" s="140"/>
      <c r="AU20" s="140"/>
      <c r="AV20" s="140"/>
      <c r="AW20" s="140"/>
      <c r="AX20" s="140"/>
      <c r="AY20" s="140"/>
      <c r="AZ20" s="140"/>
      <c r="BA20" s="140"/>
      <c r="BB20" s="140" t="s">
        <v>291</v>
      </c>
      <c r="BC20" s="140" t="s">
        <v>264</v>
      </c>
      <c r="BD20" s="140" t="s">
        <v>264</v>
      </c>
    </row>
    <row r="21" spans="1:56" s="48" customFormat="1" x14ac:dyDescent="0.15">
      <c r="A21" s="200" t="s">
        <v>354</v>
      </c>
      <c r="B21" s="200">
        <v>1433</v>
      </c>
      <c r="C21" s="200" t="s">
        <v>29</v>
      </c>
      <c r="D21" s="229" t="s">
        <v>400</v>
      </c>
      <c r="E21" s="200" t="s">
        <v>34</v>
      </c>
      <c r="F21" s="200" t="s">
        <v>403</v>
      </c>
      <c r="G21" s="200" t="s">
        <v>147</v>
      </c>
      <c r="H21" s="200" t="s">
        <v>404</v>
      </c>
      <c r="I21" s="200">
        <v>11450</v>
      </c>
      <c r="J21" s="42">
        <v>4990000</v>
      </c>
      <c r="K21" s="208">
        <v>1</v>
      </c>
      <c r="L21" s="206">
        <v>5</v>
      </c>
      <c r="M21" s="206" t="s">
        <v>27</v>
      </c>
      <c r="N21" s="196">
        <v>44715</v>
      </c>
      <c r="O21" s="195">
        <v>1</v>
      </c>
      <c r="P21" s="261" t="s">
        <v>27</v>
      </c>
      <c r="Q21" s="243" t="s">
        <v>128</v>
      </c>
      <c r="R21" s="262" t="s">
        <v>27</v>
      </c>
      <c r="S21" s="262">
        <v>1</v>
      </c>
      <c r="T21" s="262" t="s">
        <v>27</v>
      </c>
      <c r="U21" s="262">
        <v>2</v>
      </c>
      <c r="V21" s="262" t="s">
        <v>27</v>
      </c>
      <c r="W21" s="262">
        <v>2</v>
      </c>
      <c r="X21" s="262" t="s">
        <v>27</v>
      </c>
      <c r="Y21" s="262">
        <v>1</v>
      </c>
      <c r="Z21" s="262" t="s">
        <v>27</v>
      </c>
      <c r="AA21" s="244" t="s">
        <v>128</v>
      </c>
      <c r="AB21" s="262" t="s">
        <v>27</v>
      </c>
      <c r="AC21" s="262">
        <v>1</v>
      </c>
      <c r="AD21" s="103"/>
      <c r="AE21" s="103"/>
      <c r="AF21" s="104"/>
      <c r="AG21" s="297"/>
      <c r="AH21" s="193"/>
      <c r="AI21" s="194"/>
      <c r="AJ21" s="106"/>
      <c r="AK21" s="106"/>
      <c r="AL21" s="106"/>
      <c r="AM21" s="106"/>
      <c r="AN21" s="144"/>
      <c r="AO21" s="140"/>
      <c r="AP21" s="140"/>
      <c r="AQ21" s="140"/>
      <c r="AR21" s="140"/>
      <c r="AS21" s="140"/>
      <c r="AT21" s="140"/>
      <c r="AU21" s="140"/>
      <c r="AV21" s="140"/>
      <c r="AW21" s="140"/>
      <c r="AX21" s="140"/>
      <c r="AY21" s="140"/>
      <c r="AZ21" s="140"/>
      <c r="BA21" s="140"/>
      <c r="BB21" s="140" t="s">
        <v>291</v>
      </c>
      <c r="BC21" s="140" t="s">
        <v>264</v>
      </c>
      <c r="BD21" s="140" t="s">
        <v>264</v>
      </c>
    </row>
    <row r="22" spans="1:56" s="48" customFormat="1" hidden="1" x14ac:dyDescent="0.15">
      <c r="A22" s="22"/>
      <c r="B22" s="207"/>
      <c r="C22" s="207"/>
      <c r="D22" s="207"/>
      <c r="E22" s="207"/>
      <c r="F22" s="207"/>
      <c r="G22" s="207"/>
      <c r="H22" s="207"/>
      <c r="I22" s="207"/>
      <c r="J22" s="36"/>
      <c r="K22" s="191"/>
      <c r="L22" s="33"/>
      <c r="M22" s="191"/>
      <c r="N22" s="29"/>
      <c r="O22" s="46"/>
      <c r="P22" s="45" t="s">
        <v>128</v>
      </c>
      <c r="Q22" s="45" t="s">
        <v>128</v>
      </c>
      <c r="R22" s="45" t="s">
        <v>128</v>
      </c>
      <c r="S22" s="45" t="s">
        <v>128</v>
      </c>
      <c r="T22" s="45" t="s">
        <v>128</v>
      </c>
      <c r="U22" s="45" t="s">
        <v>128</v>
      </c>
      <c r="V22" s="45" t="s">
        <v>128</v>
      </c>
      <c r="W22" s="45" t="s">
        <v>128</v>
      </c>
      <c r="X22" s="45" t="s">
        <v>128</v>
      </c>
      <c r="Y22" s="45" t="s">
        <v>128</v>
      </c>
      <c r="Z22" s="45" t="s">
        <v>128</v>
      </c>
      <c r="AA22" s="45" t="s">
        <v>128</v>
      </c>
      <c r="AB22" s="45" t="s">
        <v>128</v>
      </c>
      <c r="AC22" s="45" t="s">
        <v>128</v>
      </c>
      <c r="AD22" s="103"/>
      <c r="AE22" s="103"/>
      <c r="AF22" s="104"/>
      <c r="AG22" s="297"/>
      <c r="AH22" s="193"/>
      <c r="AI22" s="194"/>
      <c r="AJ22" s="106"/>
      <c r="AK22" s="106"/>
      <c r="AL22" s="106"/>
      <c r="AM22" s="106"/>
      <c r="AN22" s="144"/>
      <c r="AO22" s="140"/>
      <c r="AP22" s="140"/>
      <c r="AQ22" s="140"/>
      <c r="AR22" s="140"/>
      <c r="AS22" s="140"/>
      <c r="AT22" s="140"/>
      <c r="AU22" s="140"/>
      <c r="AV22" s="140"/>
      <c r="AW22" s="140"/>
      <c r="AX22" s="140"/>
      <c r="AY22" s="140"/>
      <c r="AZ22" s="140"/>
      <c r="BA22" s="140"/>
      <c r="BB22" s="140"/>
      <c r="BC22" s="140"/>
      <c r="BD22" s="140"/>
    </row>
    <row r="23" spans="1:56" s="48" customFormat="1" hidden="1" x14ac:dyDescent="0.15">
      <c r="A23" s="8"/>
      <c r="B23" s="209"/>
      <c r="C23" s="209"/>
      <c r="D23" s="209"/>
      <c r="E23" s="209"/>
      <c r="F23" s="209"/>
      <c r="G23" s="209"/>
      <c r="H23" s="209"/>
      <c r="I23" s="209"/>
      <c r="J23" s="35"/>
      <c r="K23" s="191"/>
      <c r="L23" s="33"/>
      <c r="M23" s="191"/>
      <c r="N23" s="29"/>
      <c r="O23" s="46"/>
      <c r="P23" s="45" t="s">
        <v>128</v>
      </c>
      <c r="Q23" s="45" t="s">
        <v>128</v>
      </c>
      <c r="R23" s="45" t="s">
        <v>128</v>
      </c>
      <c r="S23" s="45" t="s">
        <v>128</v>
      </c>
      <c r="T23" s="45" t="s">
        <v>128</v>
      </c>
      <c r="U23" s="45" t="s">
        <v>128</v>
      </c>
      <c r="V23" s="45" t="s">
        <v>128</v>
      </c>
      <c r="W23" s="45" t="s">
        <v>128</v>
      </c>
      <c r="X23" s="45" t="s">
        <v>128</v>
      </c>
      <c r="Y23" s="45" t="s">
        <v>128</v>
      </c>
      <c r="Z23" s="45" t="s">
        <v>128</v>
      </c>
      <c r="AA23" s="45" t="s">
        <v>128</v>
      </c>
      <c r="AB23" s="45" t="s">
        <v>128</v>
      </c>
      <c r="AC23" s="45" t="s">
        <v>128</v>
      </c>
      <c r="AD23" s="103"/>
      <c r="AE23" s="103"/>
      <c r="AF23" s="104"/>
      <c r="AG23" s="297"/>
      <c r="AH23" s="193"/>
      <c r="AI23" s="194"/>
      <c r="AJ23" s="106"/>
      <c r="AK23" s="106"/>
      <c r="AL23" s="106"/>
      <c r="AM23" s="106"/>
      <c r="AN23" s="144"/>
      <c r="AO23" s="140"/>
      <c r="AP23" s="140"/>
      <c r="AQ23" s="140"/>
      <c r="AR23" s="140"/>
      <c r="AS23" s="140"/>
      <c r="AT23" s="140"/>
      <c r="AU23" s="140"/>
      <c r="AV23" s="140"/>
      <c r="AW23" s="140"/>
      <c r="AX23" s="140"/>
      <c r="AY23" s="140"/>
      <c r="AZ23" s="140"/>
      <c r="BA23" s="140"/>
      <c r="BB23" s="140"/>
      <c r="BC23" s="140"/>
      <c r="BD23" s="140"/>
    </row>
    <row r="24" spans="1:56" s="48" customFormat="1" hidden="1" x14ac:dyDescent="0.15">
      <c r="A24" s="22"/>
      <c r="B24" s="207"/>
      <c r="C24" s="207"/>
      <c r="D24" s="207"/>
      <c r="E24" s="207"/>
      <c r="F24" s="207"/>
      <c r="G24" s="207"/>
      <c r="H24" s="207"/>
      <c r="I24" s="207"/>
      <c r="J24" s="36"/>
      <c r="K24" s="191"/>
      <c r="L24" s="33"/>
      <c r="M24" s="191"/>
      <c r="N24" s="29"/>
      <c r="O24" s="46"/>
      <c r="P24" s="45" t="s">
        <v>128</v>
      </c>
      <c r="Q24" s="45" t="s">
        <v>128</v>
      </c>
      <c r="R24" s="45" t="s">
        <v>128</v>
      </c>
      <c r="S24" s="45" t="s">
        <v>128</v>
      </c>
      <c r="T24" s="45" t="s">
        <v>128</v>
      </c>
      <c r="U24" s="45" t="s">
        <v>128</v>
      </c>
      <c r="V24" s="45" t="s">
        <v>128</v>
      </c>
      <c r="W24" s="45" t="s">
        <v>128</v>
      </c>
      <c r="X24" s="45" t="s">
        <v>128</v>
      </c>
      <c r="Y24" s="45" t="s">
        <v>128</v>
      </c>
      <c r="Z24" s="45" t="s">
        <v>128</v>
      </c>
      <c r="AA24" s="45" t="s">
        <v>128</v>
      </c>
      <c r="AB24" s="45" t="s">
        <v>128</v>
      </c>
      <c r="AC24" s="45" t="s">
        <v>128</v>
      </c>
      <c r="AD24" s="103"/>
      <c r="AE24" s="103"/>
      <c r="AF24" s="104"/>
      <c r="AG24" s="297"/>
      <c r="AH24" s="193"/>
      <c r="AI24" s="194"/>
      <c r="AJ24" s="106"/>
      <c r="AK24" s="106"/>
      <c r="AL24" s="106"/>
      <c r="AM24" s="106"/>
      <c r="AN24" s="144"/>
      <c r="AO24" s="140"/>
      <c r="AP24" s="140"/>
      <c r="AQ24" s="140"/>
      <c r="AR24" s="140"/>
      <c r="AS24" s="140"/>
      <c r="AT24" s="140"/>
      <c r="AU24" s="140"/>
      <c r="AV24" s="140"/>
      <c r="AW24" s="140"/>
      <c r="AX24" s="140"/>
      <c r="AY24" s="140"/>
      <c r="AZ24" s="140"/>
      <c r="BA24" s="140"/>
      <c r="BB24" s="140"/>
      <c r="BC24" s="140"/>
      <c r="BD24" s="140"/>
    </row>
    <row r="25" spans="1:56" s="48" customFormat="1" hidden="1" x14ac:dyDescent="0.15">
      <c r="A25" s="8"/>
      <c r="B25" s="209"/>
      <c r="C25" s="209"/>
      <c r="D25" s="209"/>
      <c r="E25" s="209"/>
      <c r="F25" s="209"/>
      <c r="G25" s="209"/>
      <c r="H25" s="209"/>
      <c r="I25" s="209"/>
      <c r="J25" s="35"/>
      <c r="K25" s="191"/>
      <c r="L25" s="33"/>
      <c r="M25" s="191"/>
      <c r="N25" s="29"/>
      <c r="O25" s="46"/>
      <c r="P25" s="45" t="s">
        <v>128</v>
      </c>
      <c r="Q25" s="45" t="s">
        <v>128</v>
      </c>
      <c r="R25" s="45" t="s">
        <v>128</v>
      </c>
      <c r="S25" s="45" t="s">
        <v>128</v>
      </c>
      <c r="T25" s="45" t="s">
        <v>128</v>
      </c>
      <c r="U25" s="45" t="s">
        <v>128</v>
      </c>
      <c r="V25" s="45" t="s">
        <v>128</v>
      </c>
      <c r="W25" s="45" t="s">
        <v>128</v>
      </c>
      <c r="X25" s="45" t="s">
        <v>128</v>
      </c>
      <c r="Y25" s="45" t="s">
        <v>128</v>
      </c>
      <c r="Z25" s="45" t="s">
        <v>128</v>
      </c>
      <c r="AA25" s="45" t="s">
        <v>128</v>
      </c>
      <c r="AB25" s="45" t="s">
        <v>128</v>
      </c>
      <c r="AC25" s="45" t="s">
        <v>128</v>
      </c>
      <c r="AD25" s="103"/>
      <c r="AE25" s="103"/>
      <c r="AF25" s="104"/>
      <c r="AG25" s="297"/>
      <c r="AH25" s="193"/>
      <c r="AI25" s="194"/>
      <c r="AJ25" s="106"/>
      <c r="AK25" s="106"/>
      <c r="AL25" s="106"/>
      <c r="AM25" s="106"/>
      <c r="AN25" s="144"/>
      <c r="AO25" s="140"/>
      <c r="AP25" s="140"/>
      <c r="AQ25" s="140"/>
      <c r="AR25" s="140"/>
      <c r="AS25" s="140"/>
      <c r="AT25" s="140"/>
      <c r="AU25" s="140"/>
      <c r="AV25" s="140"/>
      <c r="AW25" s="140"/>
      <c r="AX25" s="140"/>
      <c r="AY25" s="140"/>
      <c r="AZ25" s="140"/>
      <c r="BA25" s="140"/>
      <c r="BB25" s="140"/>
      <c r="BC25" s="140"/>
      <c r="BD25" s="140"/>
    </row>
    <row r="26" spans="1:56" s="48" customFormat="1" hidden="1" x14ac:dyDescent="0.15">
      <c r="A26" s="22"/>
      <c r="B26" s="207"/>
      <c r="C26" s="207"/>
      <c r="D26" s="207"/>
      <c r="E26" s="207"/>
      <c r="F26" s="207"/>
      <c r="G26" s="207"/>
      <c r="H26" s="207"/>
      <c r="I26" s="207"/>
      <c r="J26" s="36"/>
      <c r="K26" s="191"/>
      <c r="L26" s="33"/>
      <c r="M26" s="191"/>
      <c r="N26" s="29"/>
      <c r="O26" s="46"/>
      <c r="P26" s="45" t="s">
        <v>128</v>
      </c>
      <c r="Q26" s="45" t="s">
        <v>128</v>
      </c>
      <c r="R26" s="45" t="s">
        <v>128</v>
      </c>
      <c r="S26" s="45" t="s">
        <v>128</v>
      </c>
      <c r="T26" s="45" t="s">
        <v>128</v>
      </c>
      <c r="U26" s="45" t="s">
        <v>128</v>
      </c>
      <c r="V26" s="45" t="s">
        <v>128</v>
      </c>
      <c r="W26" s="45" t="s">
        <v>128</v>
      </c>
      <c r="X26" s="45" t="s">
        <v>128</v>
      </c>
      <c r="Y26" s="45" t="s">
        <v>128</v>
      </c>
      <c r="Z26" s="45" t="s">
        <v>128</v>
      </c>
      <c r="AA26" s="45" t="s">
        <v>128</v>
      </c>
      <c r="AB26" s="45" t="s">
        <v>128</v>
      </c>
      <c r="AC26" s="45" t="s">
        <v>128</v>
      </c>
      <c r="AD26" s="103"/>
      <c r="AE26" s="103"/>
      <c r="AF26" s="104"/>
      <c r="AG26" s="297"/>
      <c r="AH26" s="193"/>
      <c r="AI26" s="194"/>
      <c r="AJ26" s="106"/>
      <c r="AK26" s="106"/>
      <c r="AL26" s="106"/>
      <c r="AM26" s="106"/>
      <c r="AN26" s="144"/>
      <c r="AO26" s="140"/>
      <c r="AP26" s="140"/>
      <c r="AQ26" s="140"/>
      <c r="AR26" s="140"/>
      <c r="AS26" s="140"/>
      <c r="AT26" s="140"/>
      <c r="AU26" s="140"/>
      <c r="AV26" s="140"/>
      <c r="AW26" s="140"/>
      <c r="AX26" s="140"/>
      <c r="AY26" s="140"/>
      <c r="AZ26" s="140"/>
      <c r="BA26" s="140"/>
      <c r="BB26" s="140"/>
      <c r="BC26" s="140"/>
      <c r="BD26" s="140"/>
    </row>
    <row r="27" spans="1:56" s="48" customFormat="1" hidden="1" x14ac:dyDescent="0.15">
      <c r="A27" s="8"/>
      <c r="B27" s="209"/>
      <c r="C27" s="209"/>
      <c r="D27" s="209"/>
      <c r="E27" s="209"/>
      <c r="F27" s="209"/>
      <c r="G27" s="209"/>
      <c r="H27" s="209"/>
      <c r="I27" s="209"/>
      <c r="J27" s="35"/>
      <c r="K27" s="191"/>
      <c r="L27" s="33"/>
      <c r="M27" s="191"/>
      <c r="N27" s="29"/>
      <c r="O27" s="46"/>
      <c r="P27" s="45" t="s">
        <v>128</v>
      </c>
      <c r="Q27" s="45" t="s">
        <v>128</v>
      </c>
      <c r="R27" s="45" t="s">
        <v>128</v>
      </c>
      <c r="S27" s="45" t="s">
        <v>128</v>
      </c>
      <c r="T27" s="45" t="s">
        <v>128</v>
      </c>
      <c r="U27" s="45" t="s">
        <v>128</v>
      </c>
      <c r="V27" s="45" t="s">
        <v>128</v>
      </c>
      <c r="W27" s="45" t="s">
        <v>128</v>
      </c>
      <c r="X27" s="45" t="s">
        <v>128</v>
      </c>
      <c r="Y27" s="45" t="s">
        <v>128</v>
      </c>
      <c r="Z27" s="45" t="s">
        <v>128</v>
      </c>
      <c r="AA27" s="45" t="s">
        <v>128</v>
      </c>
      <c r="AB27" s="45" t="s">
        <v>128</v>
      </c>
      <c r="AC27" s="45" t="s">
        <v>128</v>
      </c>
      <c r="AD27" s="103"/>
      <c r="AE27" s="103"/>
      <c r="AF27" s="104"/>
      <c r="AG27" s="297"/>
      <c r="AH27" s="193"/>
      <c r="AI27" s="194"/>
      <c r="AJ27" s="106"/>
      <c r="AK27" s="106"/>
      <c r="AL27" s="106"/>
      <c r="AM27" s="106"/>
      <c r="AN27" s="144"/>
      <c r="AO27" s="140"/>
      <c r="AP27" s="140"/>
      <c r="AQ27" s="140"/>
      <c r="AR27" s="140"/>
      <c r="AS27" s="140"/>
      <c r="AT27" s="140"/>
      <c r="AU27" s="140"/>
      <c r="AV27" s="140"/>
      <c r="AW27" s="140"/>
      <c r="AX27" s="140"/>
      <c r="AY27" s="140"/>
      <c r="AZ27" s="140"/>
      <c r="BA27" s="140"/>
      <c r="BB27" s="140"/>
      <c r="BC27" s="140"/>
      <c r="BD27" s="140"/>
    </row>
    <row r="28" spans="1:56" s="48" customFormat="1" hidden="1" x14ac:dyDescent="0.15">
      <c r="A28" s="22"/>
      <c r="B28" s="207"/>
      <c r="C28" s="207"/>
      <c r="D28" s="207"/>
      <c r="E28" s="207"/>
      <c r="F28" s="207"/>
      <c r="G28" s="207"/>
      <c r="H28" s="207"/>
      <c r="I28" s="207"/>
      <c r="J28" s="36"/>
      <c r="K28" s="191"/>
      <c r="L28" s="33"/>
      <c r="M28" s="191"/>
      <c r="N28" s="29"/>
      <c r="O28" s="46"/>
      <c r="P28" s="45" t="s">
        <v>128</v>
      </c>
      <c r="Q28" s="45" t="s">
        <v>128</v>
      </c>
      <c r="R28" s="45" t="s">
        <v>128</v>
      </c>
      <c r="S28" s="45" t="s">
        <v>128</v>
      </c>
      <c r="T28" s="45" t="s">
        <v>128</v>
      </c>
      <c r="U28" s="45" t="s">
        <v>128</v>
      </c>
      <c r="V28" s="45" t="s">
        <v>128</v>
      </c>
      <c r="W28" s="45" t="s">
        <v>128</v>
      </c>
      <c r="X28" s="45" t="s">
        <v>128</v>
      </c>
      <c r="Y28" s="45" t="s">
        <v>128</v>
      </c>
      <c r="Z28" s="45" t="s">
        <v>128</v>
      </c>
      <c r="AA28" s="45" t="s">
        <v>128</v>
      </c>
      <c r="AB28" s="45" t="s">
        <v>128</v>
      </c>
      <c r="AC28" s="45" t="s">
        <v>128</v>
      </c>
      <c r="AD28" s="103"/>
      <c r="AE28" s="103"/>
      <c r="AF28" s="104"/>
      <c r="AG28" s="297"/>
      <c r="AH28" s="193"/>
      <c r="AI28" s="194"/>
      <c r="AJ28" s="106"/>
      <c r="AK28" s="106"/>
      <c r="AL28" s="106"/>
      <c r="AM28" s="106"/>
      <c r="AN28" s="144"/>
      <c r="AO28" s="140"/>
      <c r="AP28" s="140"/>
      <c r="AQ28" s="140"/>
      <c r="AR28" s="140"/>
      <c r="AS28" s="140"/>
      <c r="AT28" s="140"/>
      <c r="AU28" s="140"/>
      <c r="AV28" s="140"/>
      <c r="AW28" s="140"/>
      <c r="AX28" s="140"/>
      <c r="AY28" s="140"/>
      <c r="AZ28" s="140"/>
      <c r="BA28" s="140"/>
      <c r="BB28" s="140"/>
      <c r="BC28" s="140"/>
      <c r="BD28" s="140"/>
    </row>
    <row r="29" spans="1:56" s="48" customFormat="1" hidden="1" x14ac:dyDescent="0.15">
      <c r="A29" s="8"/>
      <c r="B29" s="209"/>
      <c r="C29" s="209"/>
      <c r="D29" s="209"/>
      <c r="E29" s="209"/>
      <c r="F29" s="209"/>
      <c r="G29" s="209"/>
      <c r="H29" s="209"/>
      <c r="I29" s="209"/>
      <c r="J29" s="35"/>
      <c r="K29" s="191"/>
      <c r="L29" s="33"/>
      <c r="M29" s="191"/>
      <c r="N29" s="29"/>
      <c r="O29" s="46"/>
      <c r="P29" s="45" t="s">
        <v>128</v>
      </c>
      <c r="Q29" s="45" t="s">
        <v>128</v>
      </c>
      <c r="R29" s="45" t="s">
        <v>128</v>
      </c>
      <c r="S29" s="45" t="s">
        <v>128</v>
      </c>
      <c r="T29" s="45" t="s">
        <v>128</v>
      </c>
      <c r="U29" s="45" t="s">
        <v>128</v>
      </c>
      <c r="V29" s="45" t="s">
        <v>128</v>
      </c>
      <c r="W29" s="45" t="s">
        <v>128</v>
      </c>
      <c r="X29" s="45" t="s">
        <v>128</v>
      </c>
      <c r="Y29" s="45" t="s">
        <v>128</v>
      </c>
      <c r="Z29" s="45" t="s">
        <v>128</v>
      </c>
      <c r="AA29" s="45" t="s">
        <v>128</v>
      </c>
      <c r="AB29" s="45" t="s">
        <v>128</v>
      </c>
      <c r="AC29" s="45" t="s">
        <v>128</v>
      </c>
      <c r="AD29" s="103"/>
      <c r="AE29" s="103"/>
      <c r="AF29" s="104"/>
      <c r="AG29" s="297"/>
      <c r="AH29" s="193"/>
      <c r="AI29" s="194"/>
      <c r="AJ29" s="106"/>
      <c r="AK29" s="106"/>
      <c r="AL29" s="106"/>
      <c r="AM29" s="106"/>
      <c r="AN29" s="144"/>
      <c r="AO29" s="140"/>
      <c r="AP29" s="140"/>
      <c r="AQ29" s="140"/>
      <c r="AR29" s="140"/>
      <c r="AS29" s="140"/>
      <c r="AT29" s="140"/>
      <c r="AU29" s="140"/>
      <c r="AV29" s="140"/>
      <c r="AW29" s="140"/>
      <c r="AX29" s="140"/>
      <c r="AY29" s="140"/>
      <c r="AZ29" s="140"/>
      <c r="BA29" s="140"/>
      <c r="BB29" s="140"/>
      <c r="BC29" s="140"/>
      <c r="BD29" s="140"/>
    </row>
    <row r="30" spans="1:56" s="48" customFormat="1" hidden="1" x14ac:dyDescent="0.15">
      <c r="A30" s="22"/>
      <c r="B30" s="207"/>
      <c r="C30" s="207"/>
      <c r="D30" s="207"/>
      <c r="E30" s="207"/>
      <c r="F30" s="207"/>
      <c r="G30" s="207"/>
      <c r="H30" s="207"/>
      <c r="I30" s="207"/>
      <c r="J30" s="36"/>
      <c r="K30" s="191"/>
      <c r="L30" s="33"/>
      <c r="M30" s="191"/>
      <c r="N30" s="29"/>
      <c r="O30" s="46"/>
      <c r="P30" s="45" t="s">
        <v>128</v>
      </c>
      <c r="Q30" s="45" t="s">
        <v>128</v>
      </c>
      <c r="R30" s="45" t="s">
        <v>128</v>
      </c>
      <c r="S30" s="45" t="s">
        <v>128</v>
      </c>
      <c r="T30" s="45" t="s">
        <v>128</v>
      </c>
      <c r="U30" s="45" t="s">
        <v>128</v>
      </c>
      <c r="V30" s="45" t="s">
        <v>128</v>
      </c>
      <c r="W30" s="45" t="s">
        <v>128</v>
      </c>
      <c r="X30" s="45" t="s">
        <v>128</v>
      </c>
      <c r="Y30" s="45" t="s">
        <v>128</v>
      </c>
      <c r="Z30" s="45" t="s">
        <v>128</v>
      </c>
      <c r="AA30" s="45" t="s">
        <v>128</v>
      </c>
      <c r="AB30" s="45" t="s">
        <v>128</v>
      </c>
      <c r="AC30" s="45" t="s">
        <v>128</v>
      </c>
      <c r="AD30" s="103"/>
      <c r="AE30" s="103"/>
      <c r="AF30" s="104"/>
      <c r="AG30" s="297"/>
      <c r="AH30" s="193"/>
      <c r="AI30" s="194"/>
      <c r="AJ30" s="106"/>
      <c r="AK30" s="106"/>
      <c r="AL30" s="106"/>
      <c r="AM30" s="106"/>
      <c r="AN30" s="144"/>
      <c r="AO30" s="140"/>
      <c r="AP30" s="140"/>
      <c r="AQ30" s="140"/>
      <c r="AR30" s="140"/>
      <c r="AS30" s="140"/>
      <c r="AT30" s="140"/>
      <c r="AU30" s="140"/>
      <c r="AV30" s="140"/>
      <c r="AW30" s="140"/>
      <c r="AX30" s="140"/>
      <c r="AY30" s="140"/>
      <c r="AZ30" s="140"/>
      <c r="BA30" s="140"/>
      <c r="BB30" s="140"/>
      <c r="BC30" s="140"/>
      <c r="BD30" s="140"/>
    </row>
    <row r="31" spans="1:56" s="48" customFormat="1" hidden="1" x14ac:dyDescent="0.15">
      <c r="A31" s="8"/>
      <c r="B31" s="209"/>
      <c r="C31" s="209"/>
      <c r="D31" s="209"/>
      <c r="E31" s="209"/>
      <c r="F31" s="209"/>
      <c r="G31" s="209"/>
      <c r="H31" s="209"/>
      <c r="I31" s="209"/>
      <c r="J31" s="35"/>
      <c r="K31" s="191"/>
      <c r="L31" s="33"/>
      <c r="M31" s="191"/>
      <c r="N31" s="29"/>
      <c r="O31" s="46"/>
      <c r="P31" s="45" t="s">
        <v>128</v>
      </c>
      <c r="Q31" s="45" t="s">
        <v>128</v>
      </c>
      <c r="R31" s="45" t="s">
        <v>128</v>
      </c>
      <c r="S31" s="45" t="s">
        <v>128</v>
      </c>
      <c r="T31" s="45" t="s">
        <v>128</v>
      </c>
      <c r="U31" s="45" t="s">
        <v>128</v>
      </c>
      <c r="V31" s="45" t="s">
        <v>128</v>
      </c>
      <c r="W31" s="45" t="s">
        <v>128</v>
      </c>
      <c r="X31" s="45" t="s">
        <v>128</v>
      </c>
      <c r="Y31" s="45" t="s">
        <v>128</v>
      </c>
      <c r="Z31" s="45" t="s">
        <v>128</v>
      </c>
      <c r="AA31" s="45" t="s">
        <v>128</v>
      </c>
      <c r="AB31" s="45" t="s">
        <v>128</v>
      </c>
      <c r="AC31" s="45" t="s">
        <v>128</v>
      </c>
      <c r="AD31" s="103"/>
      <c r="AE31" s="103"/>
      <c r="AF31" s="104"/>
      <c r="AG31" s="297"/>
      <c r="AH31" s="193"/>
      <c r="AI31" s="194"/>
      <c r="AJ31" s="106"/>
      <c r="AK31" s="106"/>
      <c r="AL31" s="106"/>
      <c r="AM31" s="106"/>
      <c r="AN31" s="144"/>
      <c r="AO31" s="140"/>
      <c r="AP31" s="140"/>
      <c r="AQ31" s="140"/>
      <c r="AR31" s="140"/>
      <c r="AS31" s="140"/>
      <c r="AT31" s="140"/>
      <c r="AU31" s="140"/>
      <c r="AV31" s="140"/>
      <c r="AW31" s="140"/>
      <c r="AX31" s="140"/>
      <c r="AY31" s="140"/>
      <c r="AZ31" s="140"/>
      <c r="BA31" s="140"/>
      <c r="BB31" s="140"/>
      <c r="BC31" s="140"/>
      <c r="BD31" s="140"/>
    </row>
    <row r="32" spans="1:56" s="48" customFormat="1" hidden="1" x14ac:dyDescent="0.15">
      <c r="A32" s="22"/>
      <c r="B32" s="207"/>
      <c r="C32" s="207"/>
      <c r="D32" s="207"/>
      <c r="E32" s="207"/>
      <c r="F32" s="207"/>
      <c r="G32" s="207"/>
      <c r="H32" s="207"/>
      <c r="I32" s="207"/>
      <c r="J32" s="36"/>
      <c r="K32" s="191"/>
      <c r="L32" s="33"/>
      <c r="M32" s="191"/>
      <c r="N32" s="29"/>
      <c r="O32" s="46"/>
      <c r="P32" s="45" t="s">
        <v>128</v>
      </c>
      <c r="Q32" s="45" t="s">
        <v>128</v>
      </c>
      <c r="R32" s="45" t="s">
        <v>128</v>
      </c>
      <c r="S32" s="45" t="s">
        <v>128</v>
      </c>
      <c r="T32" s="45" t="s">
        <v>128</v>
      </c>
      <c r="U32" s="45" t="s">
        <v>128</v>
      </c>
      <c r="V32" s="45" t="s">
        <v>128</v>
      </c>
      <c r="W32" s="45" t="s">
        <v>128</v>
      </c>
      <c r="X32" s="45" t="s">
        <v>128</v>
      </c>
      <c r="Y32" s="45" t="s">
        <v>128</v>
      </c>
      <c r="Z32" s="45" t="s">
        <v>128</v>
      </c>
      <c r="AA32" s="45" t="s">
        <v>128</v>
      </c>
      <c r="AB32" s="45" t="s">
        <v>128</v>
      </c>
      <c r="AC32" s="45" t="s">
        <v>128</v>
      </c>
      <c r="AD32" s="103"/>
      <c r="AE32" s="103"/>
      <c r="AF32" s="104"/>
      <c r="AG32" s="297"/>
      <c r="AH32" s="193"/>
      <c r="AI32" s="194"/>
      <c r="AJ32" s="106"/>
      <c r="AK32" s="106"/>
      <c r="AL32" s="106"/>
      <c r="AM32" s="106"/>
      <c r="AN32" s="144"/>
      <c r="AO32" s="140"/>
      <c r="AP32" s="140"/>
      <c r="AQ32" s="140"/>
      <c r="AR32" s="140"/>
      <c r="AS32" s="140"/>
      <c r="AT32" s="140"/>
      <c r="AU32" s="140"/>
      <c r="AV32" s="140"/>
      <c r="AW32" s="140"/>
      <c r="AX32" s="140"/>
      <c r="AY32" s="140"/>
      <c r="AZ32" s="140"/>
      <c r="BA32" s="140"/>
      <c r="BB32" s="140"/>
      <c r="BC32" s="140"/>
      <c r="BD32" s="140"/>
    </row>
    <row r="33" spans="1:56" s="48" customFormat="1" hidden="1" x14ac:dyDescent="0.15">
      <c r="A33" s="8"/>
      <c r="B33" s="209"/>
      <c r="C33" s="209"/>
      <c r="D33" s="209"/>
      <c r="E33" s="209"/>
      <c r="F33" s="209"/>
      <c r="G33" s="209"/>
      <c r="H33" s="209"/>
      <c r="I33" s="209"/>
      <c r="J33" s="35"/>
      <c r="K33" s="191"/>
      <c r="L33" s="33"/>
      <c r="M33" s="191"/>
      <c r="N33" s="29"/>
      <c r="O33" s="46"/>
      <c r="P33" s="45" t="s">
        <v>128</v>
      </c>
      <c r="Q33" s="45" t="s">
        <v>128</v>
      </c>
      <c r="R33" s="45" t="s">
        <v>128</v>
      </c>
      <c r="S33" s="45" t="s">
        <v>128</v>
      </c>
      <c r="T33" s="45" t="s">
        <v>128</v>
      </c>
      <c r="U33" s="45" t="s">
        <v>128</v>
      </c>
      <c r="V33" s="45" t="s">
        <v>128</v>
      </c>
      <c r="W33" s="45" t="s">
        <v>128</v>
      </c>
      <c r="X33" s="45" t="s">
        <v>128</v>
      </c>
      <c r="Y33" s="45" t="s">
        <v>128</v>
      </c>
      <c r="Z33" s="45" t="s">
        <v>128</v>
      </c>
      <c r="AA33" s="45" t="s">
        <v>128</v>
      </c>
      <c r="AB33" s="45" t="s">
        <v>128</v>
      </c>
      <c r="AC33" s="45" t="s">
        <v>128</v>
      </c>
      <c r="AD33" s="103"/>
      <c r="AE33" s="103"/>
      <c r="AF33" s="104"/>
      <c r="AG33" s="297"/>
      <c r="AH33" s="193"/>
      <c r="AI33" s="194"/>
      <c r="AJ33" s="106"/>
      <c r="AK33" s="106"/>
      <c r="AL33" s="106"/>
      <c r="AM33" s="106"/>
      <c r="AN33" s="144"/>
      <c r="AO33" s="140"/>
      <c r="AP33" s="140"/>
      <c r="AQ33" s="140"/>
      <c r="AR33" s="140"/>
      <c r="AS33" s="140"/>
      <c r="AT33" s="140"/>
      <c r="AU33" s="140"/>
      <c r="AV33" s="140"/>
      <c r="AW33" s="140"/>
      <c r="AX33" s="140"/>
      <c r="AY33" s="140"/>
      <c r="AZ33" s="140"/>
      <c r="BA33" s="140"/>
      <c r="BB33" s="140"/>
      <c r="BC33" s="140"/>
      <c r="BD33" s="140"/>
    </row>
    <row r="34" spans="1:56" s="48" customFormat="1" hidden="1" x14ac:dyDescent="0.15">
      <c r="A34" s="22"/>
      <c r="B34" s="207"/>
      <c r="C34" s="207"/>
      <c r="D34" s="207"/>
      <c r="E34" s="207"/>
      <c r="F34" s="207"/>
      <c r="G34" s="207"/>
      <c r="H34" s="207"/>
      <c r="I34" s="207"/>
      <c r="J34" s="36"/>
      <c r="K34" s="191"/>
      <c r="L34" s="33"/>
      <c r="M34" s="191"/>
      <c r="N34" s="29"/>
      <c r="O34" s="46"/>
      <c r="P34" s="45" t="s">
        <v>128</v>
      </c>
      <c r="Q34" s="45" t="s">
        <v>128</v>
      </c>
      <c r="R34" s="45" t="s">
        <v>128</v>
      </c>
      <c r="S34" s="45" t="s">
        <v>128</v>
      </c>
      <c r="T34" s="45" t="s">
        <v>128</v>
      </c>
      <c r="U34" s="45" t="s">
        <v>128</v>
      </c>
      <c r="V34" s="45" t="s">
        <v>128</v>
      </c>
      <c r="W34" s="45" t="s">
        <v>128</v>
      </c>
      <c r="X34" s="45" t="s">
        <v>128</v>
      </c>
      <c r="Y34" s="45" t="s">
        <v>128</v>
      </c>
      <c r="Z34" s="45" t="s">
        <v>128</v>
      </c>
      <c r="AA34" s="45" t="s">
        <v>128</v>
      </c>
      <c r="AB34" s="45" t="s">
        <v>128</v>
      </c>
      <c r="AC34" s="45" t="s">
        <v>128</v>
      </c>
      <c r="AD34" s="103"/>
      <c r="AE34" s="103"/>
      <c r="AF34" s="104"/>
      <c r="AG34" s="297"/>
      <c r="AH34" s="193"/>
      <c r="AI34" s="194"/>
      <c r="AJ34" s="106"/>
      <c r="AK34" s="106"/>
      <c r="AL34" s="106"/>
      <c r="AM34" s="106"/>
      <c r="AN34" s="144"/>
      <c r="AO34" s="140"/>
      <c r="AP34" s="140"/>
      <c r="AQ34" s="140"/>
      <c r="AR34" s="140"/>
      <c r="AS34" s="140"/>
      <c r="AT34" s="140"/>
      <c r="AU34" s="140"/>
      <c r="AV34" s="140"/>
      <c r="AW34" s="140"/>
      <c r="AX34" s="140"/>
      <c r="AY34" s="140"/>
      <c r="AZ34" s="140"/>
      <c r="BA34" s="140"/>
      <c r="BB34" s="140"/>
      <c r="BC34" s="140"/>
      <c r="BD34" s="140"/>
    </row>
    <row r="35" spans="1:56" s="48" customFormat="1" hidden="1" x14ac:dyDescent="0.15">
      <c r="A35" s="8"/>
      <c r="B35" s="209"/>
      <c r="C35" s="209"/>
      <c r="D35" s="209"/>
      <c r="E35" s="209"/>
      <c r="F35" s="209"/>
      <c r="G35" s="209"/>
      <c r="H35" s="209"/>
      <c r="I35" s="209"/>
      <c r="J35" s="35"/>
      <c r="K35" s="191"/>
      <c r="L35" s="33"/>
      <c r="M35" s="191"/>
      <c r="N35" s="29"/>
      <c r="O35" s="46"/>
      <c r="P35" s="45" t="s">
        <v>128</v>
      </c>
      <c r="Q35" s="45" t="s">
        <v>128</v>
      </c>
      <c r="R35" s="45" t="s">
        <v>128</v>
      </c>
      <c r="S35" s="45" t="s">
        <v>128</v>
      </c>
      <c r="T35" s="45" t="s">
        <v>128</v>
      </c>
      <c r="U35" s="45" t="s">
        <v>128</v>
      </c>
      <c r="V35" s="45" t="s">
        <v>128</v>
      </c>
      <c r="W35" s="45" t="s">
        <v>128</v>
      </c>
      <c r="X35" s="45" t="s">
        <v>128</v>
      </c>
      <c r="Y35" s="45" t="s">
        <v>128</v>
      </c>
      <c r="Z35" s="45" t="s">
        <v>128</v>
      </c>
      <c r="AA35" s="45" t="s">
        <v>128</v>
      </c>
      <c r="AB35" s="45" t="s">
        <v>128</v>
      </c>
      <c r="AC35" s="45" t="s">
        <v>128</v>
      </c>
      <c r="AD35" s="103"/>
      <c r="AE35" s="103"/>
      <c r="AF35" s="104"/>
      <c r="AG35" s="297"/>
      <c r="AH35" s="193"/>
      <c r="AI35" s="194"/>
      <c r="AJ35" s="106"/>
      <c r="AK35" s="106"/>
      <c r="AL35" s="106"/>
      <c r="AM35" s="106"/>
      <c r="AN35" s="144"/>
      <c r="AO35" s="140"/>
      <c r="AP35" s="140"/>
      <c r="AQ35" s="140"/>
      <c r="AR35" s="140"/>
      <c r="AS35" s="140"/>
      <c r="AT35" s="140"/>
      <c r="AU35" s="140"/>
      <c r="AV35" s="140"/>
      <c r="AW35" s="140"/>
      <c r="AX35" s="140"/>
      <c r="AY35" s="140"/>
      <c r="AZ35" s="140"/>
      <c r="BA35" s="140"/>
      <c r="BB35" s="140"/>
      <c r="BC35" s="140"/>
      <c r="BD35" s="140"/>
    </row>
    <row r="36" spans="1:56" s="48" customFormat="1" hidden="1" x14ac:dyDescent="0.15">
      <c r="A36" s="22"/>
      <c r="B36" s="207"/>
      <c r="C36" s="207"/>
      <c r="D36" s="207"/>
      <c r="E36" s="207"/>
      <c r="F36" s="207"/>
      <c r="G36" s="207"/>
      <c r="H36" s="207"/>
      <c r="I36" s="207"/>
      <c r="J36" s="36"/>
      <c r="K36" s="191"/>
      <c r="L36" s="33"/>
      <c r="M36" s="191"/>
      <c r="N36" s="29"/>
      <c r="O36" s="46"/>
      <c r="P36" s="45" t="s">
        <v>128</v>
      </c>
      <c r="Q36" s="45" t="s">
        <v>128</v>
      </c>
      <c r="R36" s="45" t="s">
        <v>128</v>
      </c>
      <c r="S36" s="45" t="s">
        <v>128</v>
      </c>
      <c r="T36" s="45" t="s">
        <v>128</v>
      </c>
      <c r="U36" s="45" t="s">
        <v>128</v>
      </c>
      <c r="V36" s="45" t="s">
        <v>128</v>
      </c>
      <c r="W36" s="45" t="s">
        <v>128</v>
      </c>
      <c r="X36" s="45" t="s">
        <v>128</v>
      </c>
      <c r="Y36" s="45" t="s">
        <v>128</v>
      </c>
      <c r="Z36" s="45" t="s">
        <v>128</v>
      </c>
      <c r="AA36" s="45" t="s">
        <v>128</v>
      </c>
      <c r="AB36" s="45" t="s">
        <v>128</v>
      </c>
      <c r="AC36" s="45" t="s">
        <v>128</v>
      </c>
      <c r="AD36" s="103"/>
      <c r="AE36" s="103"/>
      <c r="AF36" s="104"/>
      <c r="AG36" s="297"/>
      <c r="AH36" s="193"/>
      <c r="AI36" s="194"/>
      <c r="AJ36" s="106"/>
      <c r="AK36" s="106"/>
      <c r="AL36" s="106"/>
      <c r="AM36" s="106"/>
      <c r="AN36" s="144"/>
      <c r="AO36" s="140"/>
      <c r="AP36" s="140"/>
      <c r="AQ36" s="140"/>
      <c r="AR36" s="140"/>
      <c r="AS36" s="140"/>
      <c r="AT36" s="140"/>
      <c r="AU36" s="140"/>
      <c r="AV36" s="140"/>
      <c r="AW36" s="140"/>
      <c r="AX36" s="140"/>
      <c r="AY36" s="140"/>
      <c r="AZ36" s="140"/>
      <c r="BA36" s="140"/>
      <c r="BB36" s="140"/>
      <c r="BC36" s="140"/>
      <c r="BD36" s="140"/>
    </row>
    <row r="37" spans="1:56" s="48" customFormat="1" hidden="1" x14ac:dyDescent="0.15">
      <c r="A37" s="8"/>
      <c r="B37" s="209"/>
      <c r="C37" s="209"/>
      <c r="D37" s="209"/>
      <c r="E37" s="209"/>
      <c r="F37" s="209"/>
      <c r="G37" s="209"/>
      <c r="H37" s="209"/>
      <c r="I37" s="209"/>
      <c r="J37" s="35"/>
      <c r="K37" s="191"/>
      <c r="L37" s="33"/>
      <c r="M37" s="191"/>
      <c r="N37" s="29"/>
      <c r="O37" s="46"/>
      <c r="P37" s="45" t="s">
        <v>128</v>
      </c>
      <c r="Q37" s="45" t="s">
        <v>128</v>
      </c>
      <c r="R37" s="45" t="s">
        <v>128</v>
      </c>
      <c r="S37" s="45" t="s">
        <v>128</v>
      </c>
      <c r="T37" s="45" t="s">
        <v>128</v>
      </c>
      <c r="U37" s="45" t="s">
        <v>128</v>
      </c>
      <c r="V37" s="45" t="s">
        <v>128</v>
      </c>
      <c r="W37" s="45" t="s">
        <v>128</v>
      </c>
      <c r="X37" s="45" t="s">
        <v>128</v>
      </c>
      <c r="Y37" s="45" t="s">
        <v>128</v>
      </c>
      <c r="Z37" s="45" t="s">
        <v>128</v>
      </c>
      <c r="AA37" s="45" t="s">
        <v>128</v>
      </c>
      <c r="AB37" s="45" t="s">
        <v>128</v>
      </c>
      <c r="AC37" s="45" t="s">
        <v>128</v>
      </c>
      <c r="AD37" s="103"/>
      <c r="AE37" s="103"/>
      <c r="AF37" s="104"/>
      <c r="AG37" s="297"/>
      <c r="AH37" s="193"/>
      <c r="AI37" s="194"/>
      <c r="AJ37" s="106"/>
      <c r="AK37" s="106"/>
      <c r="AL37" s="106"/>
      <c r="AM37" s="106"/>
      <c r="AN37" s="144"/>
      <c r="AO37" s="140"/>
      <c r="AP37" s="140"/>
      <c r="AQ37" s="140"/>
      <c r="AR37" s="140"/>
      <c r="AS37" s="140"/>
      <c r="AT37" s="140"/>
      <c r="AU37" s="140"/>
      <c r="AV37" s="140"/>
      <c r="AW37" s="140"/>
      <c r="AX37" s="140"/>
      <c r="AY37" s="140"/>
      <c r="AZ37" s="140"/>
      <c r="BA37" s="140"/>
      <c r="BB37" s="140"/>
      <c r="BC37" s="140"/>
      <c r="BD37" s="140"/>
    </row>
    <row r="38" spans="1:56" s="48" customFormat="1" hidden="1" x14ac:dyDescent="0.15">
      <c r="A38" s="22"/>
      <c r="B38" s="207"/>
      <c r="C38" s="207"/>
      <c r="D38" s="207"/>
      <c r="E38" s="207"/>
      <c r="F38" s="207"/>
      <c r="G38" s="207"/>
      <c r="H38" s="207"/>
      <c r="I38" s="207"/>
      <c r="J38" s="36"/>
      <c r="K38" s="191"/>
      <c r="L38" s="33"/>
      <c r="M38" s="191"/>
      <c r="N38" s="29"/>
      <c r="O38" s="46"/>
      <c r="P38" s="45" t="s">
        <v>128</v>
      </c>
      <c r="Q38" s="45" t="s">
        <v>128</v>
      </c>
      <c r="R38" s="45" t="s">
        <v>128</v>
      </c>
      <c r="S38" s="45" t="s">
        <v>128</v>
      </c>
      <c r="T38" s="45" t="s">
        <v>128</v>
      </c>
      <c r="U38" s="45" t="s">
        <v>128</v>
      </c>
      <c r="V38" s="45" t="s">
        <v>128</v>
      </c>
      <c r="W38" s="45" t="s">
        <v>128</v>
      </c>
      <c r="X38" s="45" t="s">
        <v>128</v>
      </c>
      <c r="Y38" s="45" t="s">
        <v>128</v>
      </c>
      <c r="Z38" s="45" t="s">
        <v>128</v>
      </c>
      <c r="AA38" s="45" t="s">
        <v>128</v>
      </c>
      <c r="AB38" s="45" t="s">
        <v>128</v>
      </c>
      <c r="AC38" s="45" t="s">
        <v>128</v>
      </c>
      <c r="AD38" s="103"/>
      <c r="AE38" s="103"/>
      <c r="AF38" s="104"/>
      <c r="AG38" s="297"/>
      <c r="AH38" s="193"/>
      <c r="AI38" s="194"/>
      <c r="AJ38" s="106"/>
      <c r="AK38" s="106"/>
      <c r="AL38" s="106"/>
      <c r="AM38" s="106"/>
      <c r="AN38" s="144"/>
      <c r="AO38" s="140"/>
      <c r="AP38" s="140"/>
      <c r="AQ38" s="140"/>
      <c r="AR38" s="140"/>
      <c r="AS38" s="140"/>
      <c r="AT38" s="140"/>
      <c r="AU38" s="140"/>
      <c r="AV38" s="140"/>
      <c r="AW38" s="140"/>
      <c r="AX38" s="140"/>
      <c r="AY38" s="140"/>
      <c r="AZ38" s="140"/>
      <c r="BA38" s="140"/>
      <c r="BB38" s="140"/>
      <c r="BC38" s="140"/>
      <c r="BD38" s="140"/>
    </row>
    <row r="39" spans="1:56" s="48" customFormat="1" hidden="1" x14ac:dyDescent="0.15">
      <c r="A39" s="8"/>
      <c r="B39" s="209"/>
      <c r="C39" s="209"/>
      <c r="D39" s="209"/>
      <c r="E39" s="209"/>
      <c r="F39" s="209"/>
      <c r="G39" s="209"/>
      <c r="H39" s="209"/>
      <c r="I39" s="209"/>
      <c r="J39" s="35"/>
      <c r="K39" s="191"/>
      <c r="L39" s="33"/>
      <c r="M39" s="191"/>
      <c r="N39" s="29"/>
      <c r="O39" s="46"/>
      <c r="P39" s="45" t="s">
        <v>128</v>
      </c>
      <c r="Q39" s="45" t="s">
        <v>128</v>
      </c>
      <c r="R39" s="45" t="s">
        <v>128</v>
      </c>
      <c r="S39" s="45" t="s">
        <v>128</v>
      </c>
      <c r="T39" s="45" t="s">
        <v>128</v>
      </c>
      <c r="U39" s="45" t="s">
        <v>128</v>
      </c>
      <c r="V39" s="45" t="s">
        <v>128</v>
      </c>
      <c r="W39" s="45" t="s">
        <v>128</v>
      </c>
      <c r="X39" s="45" t="s">
        <v>128</v>
      </c>
      <c r="Y39" s="45" t="s">
        <v>128</v>
      </c>
      <c r="Z39" s="45" t="s">
        <v>128</v>
      </c>
      <c r="AA39" s="45" t="s">
        <v>128</v>
      </c>
      <c r="AB39" s="45" t="s">
        <v>128</v>
      </c>
      <c r="AC39" s="45" t="s">
        <v>128</v>
      </c>
      <c r="AD39" s="103"/>
      <c r="AE39" s="103"/>
      <c r="AF39" s="104"/>
      <c r="AG39" s="297"/>
      <c r="AH39" s="193"/>
      <c r="AI39" s="194"/>
      <c r="AJ39" s="106"/>
      <c r="AK39" s="106"/>
      <c r="AL39" s="106"/>
      <c r="AM39" s="106"/>
      <c r="AN39" s="144"/>
      <c r="AO39" s="140"/>
      <c r="AP39" s="140"/>
      <c r="AQ39" s="140"/>
      <c r="AR39" s="140"/>
      <c r="AS39" s="140"/>
      <c r="AT39" s="140"/>
      <c r="AU39" s="140"/>
      <c r="AV39" s="140"/>
      <c r="AW39" s="140"/>
      <c r="AX39" s="140"/>
      <c r="AY39" s="140"/>
      <c r="AZ39" s="140"/>
      <c r="BA39" s="140"/>
      <c r="BB39" s="140"/>
      <c r="BC39" s="140"/>
      <c r="BD39" s="140"/>
    </row>
    <row r="40" spans="1:56" s="48" customFormat="1" hidden="1" x14ac:dyDescent="0.15">
      <c r="A40" s="22"/>
      <c r="B40" s="207"/>
      <c r="C40" s="207"/>
      <c r="D40" s="207"/>
      <c r="E40" s="207"/>
      <c r="F40" s="207"/>
      <c r="G40" s="207"/>
      <c r="H40" s="207"/>
      <c r="I40" s="207"/>
      <c r="J40" s="36"/>
      <c r="K40" s="191"/>
      <c r="L40" s="33"/>
      <c r="M40" s="191"/>
      <c r="N40" s="29"/>
      <c r="O40" s="46"/>
      <c r="P40" s="45" t="s">
        <v>128</v>
      </c>
      <c r="Q40" s="45" t="s">
        <v>128</v>
      </c>
      <c r="R40" s="45" t="s">
        <v>128</v>
      </c>
      <c r="S40" s="45" t="s">
        <v>128</v>
      </c>
      <c r="T40" s="45" t="s">
        <v>128</v>
      </c>
      <c r="U40" s="45" t="s">
        <v>128</v>
      </c>
      <c r="V40" s="45" t="s">
        <v>128</v>
      </c>
      <c r="W40" s="45" t="s">
        <v>128</v>
      </c>
      <c r="X40" s="45" t="s">
        <v>128</v>
      </c>
      <c r="Y40" s="45" t="s">
        <v>128</v>
      </c>
      <c r="Z40" s="45" t="s">
        <v>128</v>
      </c>
      <c r="AA40" s="45" t="s">
        <v>128</v>
      </c>
      <c r="AB40" s="45" t="s">
        <v>128</v>
      </c>
      <c r="AC40" s="45" t="s">
        <v>128</v>
      </c>
      <c r="AD40" s="103"/>
      <c r="AE40" s="103"/>
      <c r="AF40" s="104"/>
      <c r="AG40" s="297"/>
      <c r="AH40" s="193"/>
      <c r="AI40" s="194"/>
      <c r="AJ40" s="106"/>
      <c r="AK40" s="106"/>
      <c r="AL40" s="106"/>
      <c r="AM40" s="106"/>
      <c r="AN40" s="144"/>
      <c r="AO40" s="140"/>
      <c r="AP40" s="140"/>
      <c r="AQ40" s="140"/>
      <c r="AR40" s="140"/>
      <c r="AS40" s="140"/>
      <c r="AT40" s="140"/>
      <c r="AU40" s="140"/>
      <c r="AV40" s="140"/>
      <c r="AW40" s="140"/>
      <c r="AX40" s="140"/>
      <c r="AY40" s="140"/>
      <c r="AZ40" s="140"/>
      <c r="BA40" s="140"/>
      <c r="BB40" s="140"/>
      <c r="BC40" s="140"/>
      <c r="BD40" s="140"/>
    </row>
    <row r="41" spans="1:56" x14ac:dyDescent="0.2">
      <c r="C41" s="8"/>
      <c r="D41" s="23"/>
      <c r="E41" s="8"/>
      <c r="F41" s="8"/>
      <c r="G41" s="8"/>
      <c r="H41" s="8"/>
      <c r="I41" s="8"/>
      <c r="J41" s="35"/>
      <c r="K41" s="19"/>
      <c r="L41" s="33"/>
      <c r="M41" s="19"/>
      <c r="N41" s="8"/>
    </row>
    <row r="42" spans="1:56" s="8" customFormat="1" x14ac:dyDescent="0.2">
      <c r="C42" s="366" t="s">
        <v>83</v>
      </c>
      <c r="D42" s="366"/>
      <c r="E42" s="43" t="s">
        <v>4</v>
      </c>
      <c r="F42" s="1"/>
      <c r="G42" s="1"/>
      <c r="H42" s="31" t="s">
        <v>405</v>
      </c>
      <c r="I42" s="43">
        <f>SUM(O2:O40)</f>
        <v>20</v>
      </c>
      <c r="J42" s="20">
        <f>SUM(J2:J40)</f>
        <v>425120000</v>
      </c>
      <c r="K42" s="202">
        <f>SUM(P42:AB42)</f>
        <v>1</v>
      </c>
      <c r="N42" s="203"/>
      <c r="P42" s="19">
        <v>0.03</v>
      </c>
      <c r="Q42" s="19"/>
      <c r="R42" s="19">
        <v>0.1</v>
      </c>
      <c r="S42" s="19"/>
      <c r="T42" s="19">
        <v>0.3</v>
      </c>
      <c r="U42" s="19"/>
      <c r="V42" s="19">
        <v>0.3</v>
      </c>
      <c r="W42" s="19"/>
      <c r="X42" s="19">
        <v>0.1</v>
      </c>
      <c r="Y42" s="19"/>
      <c r="Z42" s="19">
        <v>0.12</v>
      </c>
      <c r="AA42" s="19"/>
      <c r="AB42" s="19">
        <v>0.05</v>
      </c>
      <c r="AC42" s="19"/>
    </row>
    <row r="43" spans="1:56" x14ac:dyDescent="0.2">
      <c r="C43" s="23" t="s">
        <v>24</v>
      </c>
      <c r="D43" s="8">
        <f t="shared" ref="D43:D49" si="0">SUMIF($E$2:$E$41,C43,$O$2:$O$41)</f>
        <v>4</v>
      </c>
      <c r="E43" s="23" t="s">
        <v>29</v>
      </c>
      <c r="F43" s="8">
        <f>SUMIF($C$2:$C$41,E43,$O$2:$O$41)</f>
        <v>8</v>
      </c>
      <c r="M43" s="360" t="s">
        <v>406</v>
      </c>
      <c r="N43" s="360"/>
      <c r="O43" s="360"/>
    </row>
    <row r="44" spans="1:56" s="8" customFormat="1" x14ac:dyDescent="0.2">
      <c r="C44" s="23" t="s">
        <v>66</v>
      </c>
      <c r="D44" s="8">
        <f t="shared" si="0"/>
        <v>1</v>
      </c>
      <c r="E44" s="23" t="s">
        <v>22</v>
      </c>
      <c r="F44" s="8">
        <f>SUMIF($C$2:$C$41,E44,$O$2:$O$41)</f>
        <v>12</v>
      </c>
      <c r="G44" s="1"/>
      <c r="H44" s="348" t="s">
        <v>75</v>
      </c>
      <c r="I44" s="348"/>
      <c r="J44" s="20">
        <f>SUMIF(K2:K40,K44,J2:J40)</f>
        <v>425120000</v>
      </c>
      <c r="K44" s="202">
        <v>1</v>
      </c>
      <c r="M44" s="43"/>
      <c r="N44" s="43">
        <f>SUMIF($K$2:$K$41,K44,$O$2:$O$41)</f>
        <v>20</v>
      </c>
      <c r="O44" s="43"/>
    </row>
    <row r="45" spans="1:56" s="8" customFormat="1" x14ac:dyDescent="0.2">
      <c r="C45" s="1" t="s">
        <v>34</v>
      </c>
      <c r="D45" s="8">
        <f t="shared" si="0"/>
        <v>3</v>
      </c>
      <c r="E45" s="1"/>
      <c r="F45" s="1"/>
      <c r="G45" s="1"/>
      <c r="H45" s="1" t="s">
        <v>76</v>
      </c>
      <c r="I45" s="2" t="s">
        <v>298</v>
      </c>
      <c r="J45" s="20">
        <f>SUMIF($L$2:$L$40,K45,$J$2:$J$40)</f>
        <v>48900000</v>
      </c>
      <c r="K45" s="25">
        <v>1</v>
      </c>
      <c r="N45" s="203"/>
    </row>
    <row r="46" spans="1:56" s="8" customFormat="1" x14ac:dyDescent="0.2">
      <c r="C46" s="23" t="s">
        <v>31</v>
      </c>
      <c r="D46" s="8">
        <f t="shared" si="0"/>
        <v>3</v>
      </c>
      <c r="E46" s="1"/>
      <c r="F46" s="1"/>
      <c r="G46" s="1"/>
      <c r="H46" s="1" t="s">
        <v>76</v>
      </c>
      <c r="I46" s="2" t="s">
        <v>407</v>
      </c>
      <c r="J46" s="20">
        <f>SUMIF($L$2:$L$40,K46,$J$2:$J$40)</f>
        <v>77680000</v>
      </c>
      <c r="K46" s="25">
        <v>2</v>
      </c>
      <c r="N46" s="203"/>
    </row>
    <row r="47" spans="1:56" s="8" customFormat="1" x14ac:dyDescent="0.2">
      <c r="C47" s="23" t="s">
        <v>85</v>
      </c>
      <c r="D47" s="8">
        <f t="shared" si="0"/>
        <v>0</v>
      </c>
      <c r="E47" s="1"/>
      <c r="F47" s="1"/>
      <c r="G47" s="1"/>
      <c r="H47" s="1" t="s">
        <v>76</v>
      </c>
      <c r="I47" s="2" t="s">
        <v>408</v>
      </c>
      <c r="J47" s="20">
        <f>SUMIF($L$2:$L$40,K47,$J$2:$J$40)</f>
        <v>0</v>
      </c>
      <c r="K47" s="25">
        <v>3</v>
      </c>
      <c r="N47" s="203"/>
    </row>
    <row r="48" spans="1:56" x14ac:dyDescent="0.2">
      <c r="C48" s="23" t="s">
        <v>46</v>
      </c>
      <c r="D48" s="8">
        <f t="shared" si="0"/>
        <v>0</v>
      </c>
      <c r="H48" s="1" t="s">
        <v>76</v>
      </c>
      <c r="I48" s="2" t="s">
        <v>409</v>
      </c>
      <c r="J48" s="20">
        <f>SUMIF($L$2:$L$40,K48,$J$2:$J$40)</f>
        <v>69900000</v>
      </c>
      <c r="K48" s="25">
        <v>4</v>
      </c>
    </row>
    <row r="49" spans="1:29" x14ac:dyDescent="0.2">
      <c r="C49" s="23" t="s">
        <v>38</v>
      </c>
      <c r="D49" s="8">
        <f t="shared" si="0"/>
        <v>9</v>
      </c>
      <c r="H49" s="38" t="s">
        <v>76</v>
      </c>
      <c r="I49" s="39" t="s">
        <v>410</v>
      </c>
      <c r="J49" s="40">
        <f>SUMIF($L$2:$L$40,K49,$J$2:$J$40)</f>
        <v>228640000</v>
      </c>
      <c r="K49" s="41">
        <v>5</v>
      </c>
    </row>
    <row r="50" spans="1:29" x14ac:dyDescent="0.2">
      <c r="L50" s="33"/>
    </row>
    <row r="51" spans="1:29" x14ac:dyDescent="0.2">
      <c r="C51" s="3" t="s">
        <v>157</v>
      </c>
      <c r="D51" s="8">
        <f>SUM(D43:D50)</f>
        <v>20</v>
      </c>
      <c r="E51" s="3" t="s">
        <v>157</v>
      </c>
      <c r="F51" s="8">
        <f>SUM(F43:F50)</f>
        <v>20</v>
      </c>
    </row>
    <row r="52" spans="1:29" s="57" customFormat="1" ht="29.25" customHeight="1" x14ac:dyDescent="0.2">
      <c r="A52" s="361" t="s">
        <v>158</v>
      </c>
      <c r="B52" s="361"/>
      <c r="C52" s="361"/>
      <c r="D52" s="361"/>
      <c r="E52" s="361"/>
      <c r="F52" s="361"/>
      <c r="G52" s="361"/>
      <c r="H52" s="362"/>
      <c r="I52" s="58" t="s">
        <v>159</v>
      </c>
      <c r="J52" s="58" t="s">
        <v>160</v>
      </c>
      <c r="K52" s="7"/>
      <c r="L52" s="7"/>
      <c r="M52" s="7"/>
      <c r="N52" s="204"/>
      <c r="O52" s="7"/>
      <c r="P52" s="7"/>
      <c r="Q52" s="7"/>
      <c r="R52" s="7"/>
      <c r="S52" s="7"/>
      <c r="T52" s="7"/>
      <c r="U52" s="7"/>
      <c r="V52" s="7"/>
      <c r="W52" s="7"/>
      <c r="X52" s="7"/>
      <c r="Y52" s="7"/>
      <c r="Z52" s="7"/>
      <c r="AA52" s="7"/>
      <c r="AB52" s="7"/>
      <c r="AC52" s="7"/>
    </row>
    <row r="53" spans="1:29" x14ac:dyDescent="0.2">
      <c r="A53" s="61">
        <v>44682</v>
      </c>
      <c r="B53" s="62" t="s">
        <v>166</v>
      </c>
      <c r="C53" s="409"/>
      <c r="D53" s="410"/>
      <c r="E53" s="410"/>
      <c r="F53" s="410"/>
      <c r="G53" s="410"/>
      <c r="H53" s="411"/>
      <c r="I53" s="63"/>
      <c r="J53" s="63"/>
    </row>
    <row r="54" spans="1:29" x14ac:dyDescent="0.2">
      <c r="A54" s="134">
        <f>+A53+1</f>
        <v>44683</v>
      </c>
      <c r="B54" s="91" t="s">
        <v>167</v>
      </c>
      <c r="C54" s="406" t="s">
        <v>411</v>
      </c>
      <c r="D54" s="407"/>
      <c r="E54" s="407"/>
      <c r="F54" s="407"/>
      <c r="G54" s="407"/>
      <c r="H54" s="413"/>
      <c r="I54" s="92" t="s">
        <v>181</v>
      </c>
      <c r="J54" s="92" t="s">
        <v>244</v>
      </c>
    </row>
    <row r="55" spans="1:29" x14ac:dyDescent="0.2">
      <c r="A55" s="109">
        <f t="shared" ref="A55:A141" si="1">+A54+1</f>
        <v>44684</v>
      </c>
      <c r="B55" s="110" t="s">
        <v>161</v>
      </c>
      <c r="C55" s="390" t="s">
        <v>412</v>
      </c>
      <c r="D55" s="391"/>
      <c r="E55" s="391"/>
      <c r="F55" s="391"/>
      <c r="G55" s="391"/>
      <c r="H55" s="420"/>
      <c r="I55" s="111" t="s">
        <v>169</v>
      </c>
      <c r="J55" s="112" t="s">
        <v>191</v>
      </c>
    </row>
    <row r="56" spans="1:29" x14ac:dyDescent="0.2">
      <c r="A56" s="115">
        <v>44684</v>
      </c>
      <c r="B56" s="116" t="s">
        <v>161</v>
      </c>
      <c r="C56" s="406" t="s">
        <v>413</v>
      </c>
      <c r="D56" s="407"/>
      <c r="E56" s="407"/>
      <c r="F56" s="407"/>
      <c r="G56" s="407"/>
      <c r="H56" s="413"/>
      <c r="I56" s="117" t="s">
        <v>169</v>
      </c>
      <c r="J56" s="118" t="s">
        <v>191</v>
      </c>
    </row>
    <row r="57" spans="1:29" x14ac:dyDescent="0.2">
      <c r="A57" s="123">
        <f>+A55+1</f>
        <v>44685</v>
      </c>
      <c r="B57" s="124" t="s">
        <v>162</v>
      </c>
      <c r="C57" s="390" t="s">
        <v>414</v>
      </c>
      <c r="D57" s="391"/>
      <c r="E57" s="391"/>
      <c r="F57" s="391"/>
      <c r="G57" s="391"/>
      <c r="H57" s="420"/>
      <c r="I57" s="65"/>
      <c r="J57" s="125"/>
    </row>
    <row r="58" spans="1:29" x14ac:dyDescent="0.2">
      <c r="A58" s="115">
        <v>44685</v>
      </c>
      <c r="B58" s="116" t="s">
        <v>162</v>
      </c>
      <c r="C58" s="406" t="s">
        <v>415</v>
      </c>
      <c r="D58" s="407"/>
      <c r="E58" s="407"/>
      <c r="F58" s="407"/>
      <c r="G58" s="407"/>
      <c r="H58" s="413"/>
      <c r="I58" s="117" t="s">
        <v>169</v>
      </c>
      <c r="J58" s="118" t="s">
        <v>244</v>
      </c>
    </row>
    <row r="59" spans="1:29" x14ac:dyDescent="0.2">
      <c r="A59" s="123">
        <f>+A57+1</f>
        <v>44686</v>
      </c>
      <c r="B59" s="124" t="s">
        <v>163</v>
      </c>
      <c r="C59" s="390" t="s">
        <v>416</v>
      </c>
      <c r="D59" s="391"/>
      <c r="E59" s="391"/>
      <c r="F59" s="391"/>
      <c r="G59" s="391"/>
      <c r="H59" s="420"/>
      <c r="I59" s="65" t="s">
        <v>169</v>
      </c>
      <c r="J59" s="125" t="s">
        <v>174</v>
      </c>
    </row>
    <row r="60" spans="1:29" x14ac:dyDescent="0.2">
      <c r="A60" s="113">
        <v>44686</v>
      </c>
      <c r="B60" s="50" t="s">
        <v>163</v>
      </c>
      <c r="C60" s="380" t="s">
        <v>417</v>
      </c>
      <c r="D60" s="381"/>
      <c r="E60" s="381"/>
      <c r="F60" s="381"/>
      <c r="G60" s="381"/>
      <c r="H60" s="412"/>
      <c r="I60" s="51" t="s">
        <v>214</v>
      </c>
      <c r="J60" s="114" t="s">
        <v>174</v>
      </c>
    </row>
    <row r="61" spans="1:29" x14ac:dyDescent="0.2">
      <c r="A61" s="113">
        <v>44686</v>
      </c>
      <c r="B61" s="50" t="s">
        <v>163</v>
      </c>
      <c r="C61" s="380" t="s">
        <v>418</v>
      </c>
      <c r="D61" s="381"/>
      <c r="E61" s="381"/>
      <c r="F61" s="381"/>
      <c r="G61" s="381"/>
      <c r="H61" s="412"/>
      <c r="I61" s="51"/>
      <c r="J61" s="114" t="s">
        <v>185</v>
      </c>
    </row>
    <row r="62" spans="1:29" x14ac:dyDescent="0.2">
      <c r="A62" s="121">
        <v>44686</v>
      </c>
      <c r="B62" s="91" t="s">
        <v>163</v>
      </c>
      <c r="C62" s="406" t="s">
        <v>419</v>
      </c>
      <c r="D62" s="407"/>
      <c r="E62" s="407"/>
      <c r="F62" s="407"/>
      <c r="G62" s="407"/>
      <c r="H62" s="413"/>
      <c r="I62" s="92" t="s">
        <v>169</v>
      </c>
      <c r="J62" s="122" t="s">
        <v>191</v>
      </c>
    </row>
    <row r="63" spans="1:29" x14ac:dyDescent="0.2">
      <c r="A63" s="109">
        <f>+A59+1</f>
        <v>44687</v>
      </c>
      <c r="B63" s="110" t="s">
        <v>164</v>
      </c>
      <c r="C63" s="390" t="s">
        <v>420</v>
      </c>
      <c r="D63" s="391"/>
      <c r="E63" s="391"/>
      <c r="F63" s="391"/>
      <c r="G63" s="391"/>
      <c r="H63" s="420"/>
      <c r="I63" s="111" t="s">
        <v>169</v>
      </c>
      <c r="J63" s="112" t="s">
        <v>174</v>
      </c>
    </row>
    <row r="64" spans="1:29" x14ac:dyDescent="0.2">
      <c r="A64" s="123">
        <v>44687</v>
      </c>
      <c r="B64" s="124" t="s">
        <v>164</v>
      </c>
      <c r="C64" s="380" t="s">
        <v>421</v>
      </c>
      <c r="D64" s="381"/>
      <c r="E64" s="381"/>
      <c r="F64" s="381"/>
      <c r="G64" s="381"/>
      <c r="H64" s="412"/>
      <c r="I64" s="51" t="s">
        <v>214</v>
      </c>
      <c r="J64" s="114" t="s">
        <v>174</v>
      </c>
    </row>
    <row r="65" spans="1:56" x14ac:dyDescent="0.2">
      <c r="A65" s="123">
        <v>44687</v>
      </c>
      <c r="B65" s="124" t="s">
        <v>164</v>
      </c>
      <c r="C65" s="380" t="s">
        <v>422</v>
      </c>
      <c r="D65" s="381"/>
      <c r="E65" s="381"/>
      <c r="F65" s="381"/>
      <c r="G65" s="381"/>
      <c r="H65" s="412"/>
      <c r="I65" s="51" t="s">
        <v>214</v>
      </c>
      <c r="J65" s="114" t="s">
        <v>174</v>
      </c>
    </row>
    <row r="66" spans="1:56" x14ac:dyDescent="0.2">
      <c r="A66" s="211">
        <v>44687</v>
      </c>
      <c r="B66" s="212" t="s">
        <v>164</v>
      </c>
      <c r="C66" s="406" t="s">
        <v>423</v>
      </c>
      <c r="D66" s="407"/>
      <c r="E66" s="407"/>
      <c r="F66" s="407"/>
      <c r="G66" s="407"/>
      <c r="H66" s="413"/>
      <c r="I66" s="213" t="s">
        <v>172</v>
      </c>
      <c r="J66" s="214" t="s">
        <v>174</v>
      </c>
    </row>
    <row r="67" spans="1:56" x14ac:dyDescent="0.2">
      <c r="A67" s="151">
        <f>+A63+1</f>
        <v>44688</v>
      </c>
      <c r="B67" s="152" t="s">
        <v>165</v>
      </c>
      <c r="C67" s="421"/>
      <c r="D67" s="422"/>
      <c r="E67" s="422"/>
      <c r="F67" s="422"/>
      <c r="G67" s="422"/>
      <c r="H67" s="423"/>
      <c r="I67" s="153"/>
      <c r="J67" s="154"/>
      <c r="AG67" s="8"/>
      <c r="AI67" s="8"/>
      <c r="AN67" s="141"/>
      <c r="AO67" s="8"/>
      <c r="AP67" s="8"/>
      <c r="AQ67" s="8"/>
      <c r="AR67" s="8"/>
      <c r="AS67" s="8"/>
      <c r="AT67" s="8"/>
      <c r="AU67" s="8"/>
      <c r="AV67" s="8"/>
      <c r="AW67" s="8"/>
      <c r="AX67" s="8"/>
      <c r="AY67" s="8"/>
      <c r="AZ67" s="8"/>
      <c r="BA67" s="8"/>
      <c r="BB67" s="8"/>
      <c r="BC67" s="8"/>
      <c r="BD67" s="8"/>
    </row>
    <row r="68" spans="1:56" x14ac:dyDescent="0.2">
      <c r="A68" s="216">
        <f t="shared" si="1"/>
        <v>44689</v>
      </c>
      <c r="B68" s="217" t="s">
        <v>166</v>
      </c>
      <c r="C68" s="414"/>
      <c r="D68" s="415"/>
      <c r="E68" s="415"/>
      <c r="F68" s="415"/>
      <c r="G68" s="415"/>
      <c r="H68" s="416"/>
      <c r="I68" s="218"/>
      <c r="J68" s="219"/>
      <c r="AG68" s="8"/>
      <c r="AI68" s="8"/>
      <c r="AN68" s="141"/>
      <c r="AO68" s="8"/>
      <c r="AP68" s="8"/>
      <c r="AQ68" s="8"/>
      <c r="AR68" s="8"/>
      <c r="AS68" s="8"/>
      <c r="AT68" s="8"/>
      <c r="AU68" s="8"/>
      <c r="AV68" s="8"/>
      <c r="AW68" s="8"/>
      <c r="AX68" s="8"/>
      <c r="AY68" s="8"/>
      <c r="AZ68" s="8"/>
      <c r="BA68" s="8"/>
      <c r="BB68" s="8"/>
      <c r="BC68" s="8"/>
      <c r="BD68" s="8"/>
    </row>
    <row r="69" spans="1:56" x14ac:dyDescent="0.2">
      <c r="A69" s="109">
        <f t="shared" si="1"/>
        <v>44690</v>
      </c>
      <c r="B69" s="110" t="s">
        <v>167</v>
      </c>
      <c r="C69" s="417" t="s">
        <v>424</v>
      </c>
      <c r="D69" s="418"/>
      <c r="E69" s="418"/>
      <c r="F69" s="418"/>
      <c r="G69" s="418"/>
      <c r="H69" s="419"/>
      <c r="I69" s="111" t="s">
        <v>181</v>
      </c>
      <c r="J69" s="112" t="s">
        <v>242</v>
      </c>
    </row>
    <row r="70" spans="1:56" x14ac:dyDescent="0.2">
      <c r="A70" s="113">
        <v>44690</v>
      </c>
      <c r="B70" s="50" t="s">
        <v>167</v>
      </c>
      <c r="C70" s="374" t="s">
        <v>425</v>
      </c>
      <c r="D70" s="375"/>
      <c r="E70" s="375"/>
      <c r="F70" s="375"/>
      <c r="G70" s="375"/>
      <c r="H70" s="376"/>
      <c r="I70" s="51" t="s">
        <v>181</v>
      </c>
      <c r="J70" s="114" t="s">
        <v>174</v>
      </c>
    </row>
    <row r="71" spans="1:56" x14ac:dyDescent="0.2">
      <c r="A71" s="113">
        <v>44690</v>
      </c>
      <c r="B71" s="50" t="s">
        <v>167</v>
      </c>
      <c r="C71" s="380" t="s">
        <v>421</v>
      </c>
      <c r="D71" s="381"/>
      <c r="E71" s="381"/>
      <c r="F71" s="381"/>
      <c r="G71" s="381"/>
      <c r="H71" s="412"/>
      <c r="I71" s="51" t="s">
        <v>214</v>
      </c>
      <c r="J71" s="114" t="s">
        <v>174</v>
      </c>
    </row>
    <row r="72" spans="1:56" x14ac:dyDescent="0.2">
      <c r="A72" s="115">
        <v>44690</v>
      </c>
      <c r="B72" s="116" t="s">
        <v>167</v>
      </c>
      <c r="C72" s="394" t="s">
        <v>426</v>
      </c>
      <c r="D72" s="395"/>
      <c r="E72" s="395"/>
      <c r="F72" s="395"/>
      <c r="G72" s="395"/>
      <c r="H72" s="396"/>
      <c r="I72" s="117" t="s">
        <v>181</v>
      </c>
      <c r="J72" s="118" t="s">
        <v>242</v>
      </c>
    </row>
    <row r="73" spans="1:56" x14ac:dyDescent="0.2">
      <c r="A73" s="123">
        <f>+A69+1</f>
        <v>44691</v>
      </c>
      <c r="B73" s="124" t="s">
        <v>161</v>
      </c>
      <c r="C73" s="390" t="s">
        <v>421</v>
      </c>
      <c r="D73" s="391"/>
      <c r="E73" s="391"/>
      <c r="F73" s="391"/>
      <c r="G73" s="391"/>
      <c r="H73" s="420"/>
      <c r="I73" s="51" t="s">
        <v>214</v>
      </c>
      <c r="J73" s="114" t="s">
        <v>174</v>
      </c>
    </row>
    <row r="74" spans="1:56" x14ac:dyDescent="0.2">
      <c r="A74" s="113">
        <v>44691</v>
      </c>
      <c r="B74" s="50" t="s">
        <v>161</v>
      </c>
      <c r="C74" s="374" t="s">
        <v>426</v>
      </c>
      <c r="D74" s="375"/>
      <c r="E74" s="375"/>
      <c r="F74" s="375"/>
      <c r="G74" s="375"/>
      <c r="H74" s="376"/>
      <c r="I74" s="51" t="s">
        <v>181</v>
      </c>
      <c r="J74" s="114" t="s">
        <v>242</v>
      </c>
    </row>
    <row r="75" spans="1:56" x14ac:dyDescent="0.2">
      <c r="A75" s="115">
        <v>44691</v>
      </c>
      <c r="B75" s="116" t="s">
        <v>161</v>
      </c>
      <c r="C75" s="394" t="s">
        <v>427</v>
      </c>
      <c r="D75" s="395"/>
      <c r="E75" s="395"/>
      <c r="F75" s="395"/>
      <c r="G75" s="395"/>
      <c r="H75" s="396"/>
      <c r="I75" s="117" t="s">
        <v>178</v>
      </c>
      <c r="J75" s="118" t="s">
        <v>174</v>
      </c>
    </row>
    <row r="76" spans="1:56" x14ac:dyDescent="0.2">
      <c r="A76" s="172">
        <f>+A73+1</f>
        <v>44692</v>
      </c>
      <c r="B76" s="173" t="s">
        <v>162</v>
      </c>
      <c r="C76" s="390" t="s">
        <v>421</v>
      </c>
      <c r="D76" s="391"/>
      <c r="E76" s="391"/>
      <c r="F76" s="391"/>
      <c r="G76" s="391"/>
      <c r="H76" s="420"/>
      <c r="I76" s="51" t="s">
        <v>214</v>
      </c>
      <c r="J76" s="114" t="s">
        <v>174</v>
      </c>
    </row>
    <row r="77" spans="1:56" x14ac:dyDescent="0.2">
      <c r="A77" s="121">
        <v>44692</v>
      </c>
      <c r="B77" s="91" t="s">
        <v>162</v>
      </c>
      <c r="C77" s="374" t="s">
        <v>428</v>
      </c>
      <c r="D77" s="375"/>
      <c r="E77" s="375"/>
      <c r="F77" s="375"/>
      <c r="G77" s="375"/>
      <c r="H77" s="376"/>
      <c r="I77" s="92" t="s">
        <v>169</v>
      </c>
      <c r="J77" s="122" t="s">
        <v>174</v>
      </c>
    </row>
    <row r="78" spans="1:56" x14ac:dyDescent="0.2">
      <c r="A78" s="121">
        <v>44692</v>
      </c>
      <c r="B78" s="91" t="s">
        <v>162</v>
      </c>
      <c r="C78" s="374" t="s">
        <v>429</v>
      </c>
      <c r="D78" s="375"/>
      <c r="E78" s="375"/>
      <c r="F78" s="375"/>
      <c r="G78" s="375"/>
      <c r="H78" s="376"/>
      <c r="I78" s="92" t="s">
        <v>169</v>
      </c>
      <c r="J78" s="122" t="s">
        <v>191</v>
      </c>
    </row>
    <row r="79" spans="1:56" x14ac:dyDescent="0.2">
      <c r="A79" s="121">
        <v>44692</v>
      </c>
      <c r="B79" s="91" t="s">
        <v>162</v>
      </c>
      <c r="C79" s="374" t="s">
        <v>430</v>
      </c>
      <c r="D79" s="375"/>
      <c r="E79" s="375"/>
      <c r="F79" s="375"/>
      <c r="G79" s="375"/>
      <c r="H79" s="376"/>
      <c r="I79" s="92" t="s">
        <v>172</v>
      </c>
      <c r="J79" s="122" t="s">
        <v>170</v>
      </c>
    </row>
    <row r="80" spans="1:56" x14ac:dyDescent="0.2">
      <c r="A80" s="121">
        <v>44692</v>
      </c>
      <c r="B80" s="91" t="s">
        <v>162</v>
      </c>
      <c r="C80" s="394" t="s">
        <v>431</v>
      </c>
      <c r="D80" s="395"/>
      <c r="E80" s="395"/>
      <c r="F80" s="395"/>
      <c r="G80" s="395"/>
      <c r="H80" s="396"/>
      <c r="I80" s="92" t="s">
        <v>181</v>
      </c>
      <c r="J80" s="122" t="s">
        <v>170</v>
      </c>
    </row>
    <row r="81" spans="1:56" x14ac:dyDescent="0.2">
      <c r="A81" s="109">
        <f>+A76+1</f>
        <v>44693</v>
      </c>
      <c r="B81" s="110" t="s">
        <v>163</v>
      </c>
      <c r="C81" s="417" t="s">
        <v>421</v>
      </c>
      <c r="D81" s="418"/>
      <c r="E81" s="418"/>
      <c r="F81" s="418"/>
      <c r="G81" s="418"/>
      <c r="H81" s="419"/>
      <c r="I81" s="111" t="s">
        <v>214</v>
      </c>
      <c r="J81" s="112" t="s">
        <v>174</v>
      </c>
    </row>
    <row r="82" spans="1:56" x14ac:dyDescent="0.2">
      <c r="A82" s="113">
        <v>44693</v>
      </c>
      <c r="B82" s="50" t="s">
        <v>163</v>
      </c>
      <c r="C82" s="374" t="s">
        <v>428</v>
      </c>
      <c r="D82" s="375"/>
      <c r="E82" s="375"/>
      <c r="F82" s="375"/>
      <c r="G82" s="375"/>
      <c r="H82" s="376"/>
      <c r="I82" s="51" t="s">
        <v>169</v>
      </c>
      <c r="J82" s="114" t="s">
        <v>174</v>
      </c>
    </row>
    <row r="83" spans="1:56" x14ac:dyDescent="0.2">
      <c r="A83" s="121">
        <v>44693</v>
      </c>
      <c r="B83" s="91" t="s">
        <v>163</v>
      </c>
      <c r="C83" s="394" t="s">
        <v>432</v>
      </c>
      <c r="D83" s="395"/>
      <c r="E83" s="395"/>
      <c r="F83" s="395"/>
      <c r="G83" s="395"/>
      <c r="H83" s="396"/>
      <c r="I83" s="92" t="s">
        <v>169</v>
      </c>
      <c r="J83" s="122" t="s">
        <v>185</v>
      </c>
    </row>
    <row r="84" spans="1:56" x14ac:dyDescent="0.2">
      <c r="A84" s="109">
        <f>+A81+1</f>
        <v>44694</v>
      </c>
      <c r="B84" s="110" t="s">
        <v>164</v>
      </c>
      <c r="C84" s="417" t="s">
        <v>421</v>
      </c>
      <c r="D84" s="418"/>
      <c r="E84" s="418"/>
      <c r="F84" s="418"/>
      <c r="G84" s="418"/>
      <c r="H84" s="419"/>
      <c r="I84" s="111" t="s">
        <v>214</v>
      </c>
      <c r="J84" s="112" t="s">
        <v>174</v>
      </c>
    </row>
    <row r="85" spans="1:56" x14ac:dyDescent="0.2">
      <c r="A85" s="113">
        <v>44694</v>
      </c>
      <c r="B85" s="50" t="s">
        <v>164</v>
      </c>
      <c r="C85" s="374" t="s">
        <v>428</v>
      </c>
      <c r="D85" s="375"/>
      <c r="E85" s="375"/>
      <c r="F85" s="375"/>
      <c r="G85" s="375"/>
      <c r="H85" s="376"/>
      <c r="I85" s="51" t="s">
        <v>169</v>
      </c>
      <c r="J85" s="114" t="s">
        <v>174</v>
      </c>
    </row>
    <row r="86" spans="1:56" x14ac:dyDescent="0.2">
      <c r="A86" s="113">
        <v>44694</v>
      </c>
      <c r="B86" s="50" t="s">
        <v>164</v>
      </c>
      <c r="C86" s="374" t="s">
        <v>433</v>
      </c>
      <c r="D86" s="375"/>
      <c r="E86" s="375"/>
      <c r="F86" s="375"/>
      <c r="G86" s="375"/>
      <c r="H86" s="376"/>
      <c r="I86" s="51" t="s">
        <v>172</v>
      </c>
      <c r="J86" s="114" t="s">
        <v>244</v>
      </c>
    </row>
    <row r="87" spans="1:56" x14ac:dyDescent="0.2">
      <c r="A87" s="113">
        <v>44694</v>
      </c>
      <c r="B87" s="50" t="s">
        <v>164</v>
      </c>
      <c r="C87" s="374" t="s">
        <v>434</v>
      </c>
      <c r="D87" s="375"/>
      <c r="E87" s="375"/>
      <c r="F87" s="375"/>
      <c r="G87" s="375"/>
      <c r="H87" s="376"/>
      <c r="I87" s="51" t="s">
        <v>181</v>
      </c>
      <c r="J87" s="114" t="s">
        <v>174</v>
      </c>
    </row>
    <row r="88" spans="1:56" x14ac:dyDescent="0.2">
      <c r="A88" s="113">
        <v>44694</v>
      </c>
      <c r="B88" s="50" t="s">
        <v>164</v>
      </c>
      <c r="C88" s="374" t="s">
        <v>435</v>
      </c>
      <c r="D88" s="375"/>
      <c r="E88" s="375"/>
      <c r="F88" s="375"/>
      <c r="G88" s="375"/>
      <c r="H88" s="376"/>
      <c r="I88" s="51" t="s">
        <v>214</v>
      </c>
      <c r="J88" s="114" t="s">
        <v>244</v>
      </c>
    </row>
    <row r="89" spans="1:56" x14ac:dyDescent="0.2">
      <c r="A89" s="115">
        <v>44694</v>
      </c>
      <c r="B89" s="116" t="s">
        <v>164</v>
      </c>
      <c r="C89" s="394" t="s">
        <v>436</v>
      </c>
      <c r="D89" s="395"/>
      <c r="E89" s="395"/>
      <c r="F89" s="395"/>
      <c r="G89" s="395"/>
      <c r="H89" s="396"/>
      <c r="I89" s="117" t="s">
        <v>181</v>
      </c>
      <c r="J89" s="118" t="s">
        <v>170</v>
      </c>
    </row>
    <row r="90" spans="1:56" x14ac:dyDescent="0.2">
      <c r="A90" s="151">
        <f>+A84+1</f>
        <v>44695</v>
      </c>
      <c r="B90" s="152" t="s">
        <v>165</v>
      </c>
      <c r="C90" s="421"/>
      <c r="D90" s="422"/>
      <c r="E90" s="422"/>
      <c r="F90" s="422"/>
      <c r="G90" s="422"/>
      <c r="H90" s="423"/>
      <c r="I90" s="153"/>
      <c r="J90" s="154"/>
      <c r="AG90" s="8"/>
      <c r="AI90" s="8"/>
      <c r="AN90" s="141"/>
      <c r="AO90" s="8"/>
      <c r="AP90" s="8"/>
      <c r="AQ90" s="8"/>
      <c r="AR90" s="8"/>
      <c r="AS90" s="8"/>
      <c r="AT90" s="8"/>
      <c r="AU90" s="8"/>
      <c r="AV90" s="8"/>
      <c r="AW90" s="8"/>
      <c r="AX90" s="8"/>
      <c r="AY90" s="8"/>
      <c r="AZ90" s="8"/>
      <c r="BA90" s="8"/>
      <c r="BB90" s="8"/>
      <c r="BC90" s="8"/>
      <c r="BD90" s="8"/>
    </row>
    <row r="91" spans="1:56" x14ac:dyDescent="0.2">
      <c r="A91" s="130">
        <f t="shared" si="1"/>
        <v>44696</v>
      </c>
      <c r="B91" s="131" t="s">
        <v>166</v>
      </c>
      <c r="C91" s="414"/>
      <c r="D91" s="415"/>
      <c r="E91" s="415"/>
      <c r="F91" s="415"/>
      <c r="G91" s="415"/>
      <c r="H91" s="416"/>
      <c r="I91" s="132"/>
      <c r="J91" s="133"/>
      <c r="AG91" s="8"/>
      <c r="AI91" s="8"/>
      <c r="AN91" s="141"/>
      <c r="AO91" s="8"/>
      <c r="AP91" s="8"/>
      <c r="AQ91" s="8"/>
      <c r="AR91" s="8"/>
      <c r="AS91" s="8"/>
      <c r="AT91" s="8"/>
      <c r="AU91" s="8"/>
      <c r="AV91" s="8"/>
      <c r="AW91" s="8"/>
      <c r="AX91" s="8"/>
      <c r="AY91" s="8"/>
      <c r="AZ91" s="8"/>
      <c r="BA91" s="8"/>
      <c r="BB91" s="8"/>
      <c r="BC91" s="8"/>
      <c r="BD91" s="8"/>
    </row>
    <row r="92" spans="1:56" x14ac:dyDescent="0.2">
      <c r="A92" s="134">
        <f t="shared" si="1"/>
        <v>44697</v>
      </c>
      <c r="B92" s="91" t="s">
        <v>167</v>
      </c>
      <c r="C92" s="424" t="s">
        <v>428</v>
      </c>
      <c r="D92" s="425"/>
      <c r="E92" s="425"/>
      <c r="F92" s="425"/>
      <c r="G92" s="425"/>
      <c r="H92" s="426"/>
      <c r="I92" s="92" t="s">
        <v>169</v>
      </c>
      <c r="J92" s="122" t="s">
        <v>174</v>
      </c>
    </row>
    <row r="93" spans="1:56" x14ac:dyDescent="0.2">
      <c r="A93" s="109">
        <f t="shared" si="1"/>
        <v>44698</v>
      </c>
      <c r="B93" s="110" t="s">
        <v>161</v>
      </c>
      <c r="C93" s="417" t="s">
        <v>428</v>
      </c>
      <c r="D93" s="418"/>
      <c r="E93" s="418"/>
      <c r="F93" s="418"/>
      <c r="G93" s="418"/>
      <c r="H93" s="419"/>
      <c r="I93" s="111" t="s">
        <v>169</v>
      </c>
      <c r="J93" s="112" t="s">
        <v>174</v>
      </c>
    </row>
    <row r="94" spans="1:56" x14ac:dyDescent="0.2">
      <c r="A94" s="113">
        <v>44698</v>
      </c>
      <c r="B94" s="50" t="s">
        <v>161</v>
      </c>
      <c r="C94" s="374" t="s">
        <v>437</v>
      </c>
      <c r="D94" s="375"/>
      <c r="E94" s="375"/>
      <c r="F94" s="375"/>
      <c r="G94" s="375"/>
      <c r="H94" s="376"/>
      <c r="I94" s="92" t="s">
        <v>181</v>
      </c>
      <c r="J94" s="122" t="s">
        <v>238</v>
      </c>
    </row>
    <row r="95" spans="1:56" x14ac:dyDescent="0.2">
      <c r="A95" s="113">
        <v>44698</v>
      </c>
      <c r="B95" s="50" t="s">
        <v>161</v>
      </c>
      <c r="C95" s="374" t="s">
        <v>438</v>
      </c>
      <c r="D95" s="375"/>
      <c r="E95" s="375"/>
      <c r="F95" s="375"/>
      <c r="G95" s="375"/>
      <c r="H95" s="376"/>
      <c r="I95" s="92" t="s">
        <v>181</v>
      </c>
      <c r="J95" s="122" t="s">
        <v>240</v>
      </c>
    </row>
    <row r="96" spans="1:56" x14ac:dyDescent="0.2">
      <c r="A96" s="113">
        <v>44698</v>
      </c>
      <c r="B96" s="50" t="s">
        <v>161</v>
      </c>
      <c r="C96" s="374" t="s">
        <v>439</v>
      </c>
      <c r="D96" s="375"/>
      <c r="E96" s="375"/>
      <c r="F96" s="375"/>
      <c r="G96" s="375"/>
      <c r="H96" s="376"/>
      <c r="I96" s="92" t="s">
        <v>169</v>
      </c>
      <c r="J96" s="122" t="s">
        <v>187</v>
      </c>
    </row>
    <row r="97" spans="1:10" x14ac:dyDescent="0.2">
      <c r="A97" s="113">
        <v>44698</v>
      </c>
      <c r="B97" s="50" t="s">
        <v>161</v>
      </c>
      <c r="C97" s="374" t="s">
        <v>440</v>
      </c>
      <c r="D97" s="375"/>
      <c r="E97" s="375"/>
      <c r="F97" s="375"/>
      <c r="G97" s="375"/>
      <c r="H97" s="376"/>
      <c r="I97" s="92" t="s">
        <v>214</v>
      </c>
      <c r="J97" s="122" t="s">
        <v>232</v>
      </c>
    </row>
    <row r="98" spans="1:10" x14ac:dyDescent="0.2">
      <c r="A98" s="113">
        <v>44698</v>
      </c>
      <c r="B98" s="50" t="s">
        <v>161</v>
      </c>
      <c r="C98" s="374" t="s">
        <v>441</v>
      </c>
      <c r="D98" s="375"/>
      <c r="E98" s="375"/>
      <c r="F98" s="375"/>
      <c r="G98" s="375"/>
      <c r="H98" s="376"/>
      <c r="I98" s="92" t="s">
        <v>183</v>
      </c>
      <c r="J98" s="122" t="s">
        <v>238</v>
      </c>
    </row>
    <row r="99" spans="1:10" x14ac:dyDescent="0.2">
      <c r="A99" s="113">
        <v>44698</v>
      </c>
      <c r="B99" s="50" t="s">
        <v>161</v>
      </c>
      <c r="C99" s="374" t="s">
        <v>442</v>
      </c>
      <c r="D99" s="375"/>
      <c r="E99" s="375"/>
      <c r="F99" s="375"/>
      <c r="G99" s="375"/>
      <c r="H99" s="376"/>
      <c r="I99" s="92" t="s">
        <v>216</v>
      </c>
      <c r="J99" s="122" t="s">
        <v>238</v>
      </c>
    </row>
    <row r="100" spans="1:10" x14ac:dyDescent="0.2">
      <c r="A100" s="113">
        <v>44698</v>
      </c>
      <c r="B100" s="50" t="s">
        <v>161</v>
      </c>
      <c r="C100" s="374" t="s">
        <v>443</v>
      </c>
      <c r="D100" s="375"/>
      <c r="E100" s="375"/>
      <c r="F100" s="375"/>
      <c r="G100" s="375"/>
      <c r="H100" s="376"/>
      <c r="I100" s="92" t="s">
        <v>169</v>
      </c>
      <c r="J100" s="122" t="s">
        <v>187</v>
      </c>
    </row>
    <row r="101" spans="1:10" x14ac:dyDescent="0.2">
      <c r="A101" s="121">
        <v>44698</v>
      </c>
      <c r="B101" s="91" t="s">
        <v>161</v>
      </c>
      <c r="C101" s="394" t="s">
        <v>444</v>
      </c>
      <c r="D101" s="395"/>
      <c r="E101" s="395"/>
      <c r="F101" s="395"/>
      <c r="G101" s="395"/>
      <c r="H101" s="396"/>
      <c r="I101" s="92" t="s">
        <v>181</v>
      </c>
      <c r="J101" s="122" t="s">
        <v>170</v>
      </c>
    </row>
    <row r="102" spans="1:10" x14ac:dyDescent="0.2">
      <c r="A102" s="109">
        <f>+A93+1</f>
        <v>44699</v>
      </c>
      <c r="B102" s="110" t="s">
        <v>162</v>
      </c>
      <c r="C102" s="417" t="s">
        <v>445</v>
      </c>
      <c r="D102" s="418"/>
      <c r="E102" s="418"/>
      <c r="F102" s="418"/>
      <c r="G102" s="418"/>
      <c r="H102" s="419"/>
      <c r="I102" s="111" t="s">
        <v>181</v>
      </c>
      <c r="J102" s="112" t="s">
        <v>174</v>
      </c>
    </row>
    <row r="103" spans="1:10" x14ac:dyDescent="0.2">
      <c r="A103" s="113">
        <v>44699</v>
      </c>
      <c r="B103" s="50" t="s">
        <v>162</v>
      </c>
      <c r="C103" s="374" t="s">
        <v>446</v>
      </c>
      <c r="D103" s="375"/>
      <c r="E103" s="375"/>
      <c r="F103" s="375"/>
      <c r="G103" s="375"/>
      <c r="H103" s="376"/>
      <c r="I103" s="51" t="s">
        <v>181</v>
      </c>
      <c r="J103" s="114" t="s">
        <v>191</v>
      </c>
    </row>
    <row r="104" spans="1:10" x14ac:dyDescent="0.2">
      <c r="A104" s="113">
        <v>44699</v>
      </c>
      <c r="B104" s="50" t="s">
        <v>162</v>
      </c>
      <c r="C104" s="374" t="s">
        <v>437</v>
      </c>
      <c r="D104" s="375"/>
      <c r="E104" s="375"/>
      <c r="F104" s="375"/>
      <c r="G104" s="375"/>
      <c r="H104" s="376"/>
      <c r="I104" s="92" t="s">
        <v>181</v>
      </c>
      <c r="J104" s="122" t="s">
        <v>238</v>
      </c>
    </row>
    <row r="105" spans="1:10" x14ac:dyDescent="0.2">
      <c r="A105" s="113">
        <v>44699</v>
      </c>
      <c r="B105" s="50" t="s">
        <v>162</v>
      </c>
      <c r="C105" s="374" t="s">
        <v>441</v>
      </c>
      <c r="D105" s="375"/>
      <c r="E105" s="375"/>
      <c r="F105" s="375"/>
      <c r="G105" s="375"/>
      <c r="H105" s="376"/>
      <c r="I105" s="92" t="s">
        <v>183</v>
      </c>
      <c r="J105" s="122" t="s">
        <v>238</v>
      </c>
    </row>
    <row r="106" spans="1:10" x14ac:dyDescent="0.2">
      <c r="A106" s="113">
        <v>44699</v>
      </c>
      <c r="B106" s="50" t="s">
        <v>162</v>
      </c>
      <c r="C106" s="374" t="s">
        <v>442</v>
      </c>
      <c r="D106" s="375"/>
      <c r="E106" s="375"/>
      <c r="F106" s="375"/>
      <c r="G106" s="375"/>
      <c r="H106" s="376"/>
      <c r="I106" s="92" t="s">
        <v>216</v>
      </c>
      <c r="J106" s="122" t="s">
        <v>238</v>
      </c>
    </row>
    <row r="107" spans="1:10" x14ac:dyDescent="0.2">
      <c r="A107" s="113">
        <v>44699</v>
      </c>
      <c r="B107" s="50" t="s">
        <v>162</v>
      </c>
      <c r="C107" s="374" t="s">
        <v>447</v>
      </c>
      <c r="D107" s="375"/>
      <c r="E107" s="375"/>
      <c r="F107" s="375"/>
      <c r="G107" s="375"/>
      <c r="H107" s="376"/>
      <c r="I107" s="51" t="s">
        <v>183</v>
      </c>
      <c r="J107" s="114" t="s">
        <v>170</v>
      </c>
    </row>
    <row r="108" spans="1:10" x14ac:dyDescent="0.2">
      <c r="A108" s="121">
        <v>44699</v>
      </c>
      <c r="B108" s="91" t="s">
        <v>162</v>
      </c>
      <c r="C108" s="394" t="s">
        <v>448</v>
      </c>
      <c r="D108" s="395"/>
      <c r="E108" s="395"/>
      <c r="F108" s="395"/>
      <c r="G108" s="395"/>
      <c r="H108" s="396"/>
      <c r="I108" s="92" t="s">
        <v>181</v>
      </c>
      <c r="J108" s="122" t="s">
        <v>235</v>
      </c>
    </row>
    <row r="109" spans="1:10" x14ac:dyDescent="0.2">
      <c r="A109" s="109">
        <f>+A102+1</f>
        <v>44700</v>
      </c>
      <c r="B109" s="110" t="s">
        <v>163</v>
      </c>
      <c r="C109" s="417" t="s">
        <v>449</v>
      </c>
      <c r="D109" s="418"/>
      <c r="E109" s="418"/>
      <c r="F109" s="418"/>
      <c r="G109" s="418"/>
      <c r="H109" s="419"/>
      <c r="I109" s="220" t="s">
        <v>181</v>
      </c>
      <c r="J109" s="221" t="s">
        <v>185</v>
      </c>
    </row>
    <row r="110" spans="1:10" x14ac:dyDescent="0.2">
      <c r="A110" s="113">
        <v>44700</v>
      </c>
      <c r="B110" s="50" t="s">
        <v>163</v>
      </c>
      <c r="C110" s="374" t="s">
        <v>450</v>
      </c>
      <c r="D110" s="375"/>
      <c r="E110" s="375"/>
      <c r="F110" s="375"/>
      <c r="G110" s="375"/>
      <c r="H110" s="376"/>
      <c r="I110" s="51" t="s">
        <v>181</v>
      </c>
      <c r="J110" s="114" t="s">
        <v>174</v>
      </c>
    </row>
    <row r="111" spans="1:10" x14ac:dyDescent="0.2">
      <c r="A111" s="113">
        <v>44700</v>
      </c>
      <c r="B111" s="50" t="s">
        <v>163</v>
      </c>
      <c r="C111" s="374" t="s">
        <v>447</v>
      </c>
      <c r="D111" s="375"/>
      <c r="E111" s="375"/>
      <c r="F111" s="375"/>
      <c r="G111" s="375"/>
      <c r="H111" s="376"/>
      <c r="I111" s="51" t="s">
        <v>183</v>
      </c>
      <c r="J111" s="114" t="s">
        <v>170</v>
      </c>
    </row>
    <row r="112" spans="1:10" x14ac:dyDescent="0.2">
      <c r="A112" s="113">
        <v>44700</v>
      </c>
      <c r="B112" s="50" t="s">
        <v>163</v>
      </c>
      <c r="C112" s="374" t="s">
        <v>441</v>
      </c>
      <c r="D112" s="375"/>
      <c r="E112" s="375"/>
      <c r="F112" s="375"/>
      <c r="G112" s="375"/>
      <c r="H112" s="376"/>
      <c r="I112" s="51" t="s">
        <v>183</v>
      </c>
      <c r="J112" s="114" t="s">
        <v>238</v>
      </c>
    </row>
    <row r="113" spans="1:56" x14ac:dyDescent="0.2">
      <c r="A113" s="113">
        <v>44700</v>
      </c>
      <c r="B113" s="50" t="s">
        <v>163</v>
      </c>
      <c r="C113" s="374" t="s">
        <v>442</v>
      </c>
      <c r="D113" s="375"/>
      <c r="E113" s="375"/>
      <c r="F113" s="375"/>
      <c r="G113" s="375"/>
      <c r="H113" s="376"/>
      <c r="I113" s="51" t="s">
        <v>216</v>
      </c>
      <c r="J113" s="114" t="s">
        <v>238</v>
      </c>
    </row>
    <row r="114" spans="1:56" x14ac:dyDescent="0.2">
      <c r="A114" s="121">
        <v>44700</v>
      </c>
      <c r="B114" s="91" t="s">
        <v>163</v>
      </c>
      <c r="C114" s="394" t="s">
        <v>451</v>
      </c>
      <c r="D114" s="395"/>
      <c r="E114" s="395"/>
      <c r="F114" s="395"/>
      <c r="G114" s="395"/>
      <c r="H114" s="396"/>
      <c r="I114" s="92"/>
      <c r="J114" s="122" t="s">
        <v>174</v>
      </c>
    </row>
    <row r="115" spans="1:56" x14ac:dyDescent="0.2">
      <c r="A115" s="109">
        <f>+A109+1</f>
        <v>44701</v>
      </c>
      <c r="B115" s="110" t="s">
        <v>164</v>
      </c>
      <c r="C115" s="417" t="s">
        <v>449</v>
      </c>
      <c r="D115" s="418"/>
      <c r="E115" s="418"/>
      <c r="F115" s="418"/>
      <c r="G115" s="418"/>
      <c r="H115" s="419"/>
      <c r="I115" s="220" t="s">
        <v>181</v>
      </c>
      <c r="J115" s="221" t="s">
        <v>185</v>
      </c>
    </row>
    <row r="116" spans="1:56" x14ac:dyDescent="0.2">
      <c r="A116" s="113">
        <v>44701</v>
      </c>
      <c r="B116" s="50" t="s">
        <v>164</v>
      </c>
      <c r="C116" s="374" t="s">
        <v>450</v>
      </c>
      <c r="D116" s="375"/>
      <c r="E116" s="375"/>
      <c r="F116" s="375"/>
      <c r="G116" s="375"/>
      <c r="H116" s="376"/>
      <c r="I116" s="51" t="s">
        <v>181</v>
      </c>
      <c r="J116" s="114" t="s">
        <v>174</v>
      </c>
    </row>
    <row r="117" spans="1:56" x14ac:dyDescent="0.2">
      <c r="A117" s="113">
        <v>44701</v>
      </c>
      <c r="B117" s="50" t="s">
        <v>164</v>
      </c>
      <c r="C117" s="374" t="s">
        <v>447</v>
      </c>
      <c r="D117" s="375"/>
      <c r="E117" s="375"/>
      <c r="F117" s="375"/>
      <c r="G117" s="375"/>
      <c r="H117" s="376"/>
      <c r="I117" s="51" t="s">
        <v>183</v>
      </c>
      <c r="J117" s="114" t="s">
        <v>170</v>
      </c>
    </row>
    <row r="118" spans="1:56" x14ac:dyDescent="0.2">
      <c r="A118" s="113">
        <v>44701</v>
      </c>
      <c r="B118" s="50" t="s">
        <v>164</v>
      </c>
      <c r="C118" s="374" t="s">
        <v>452</v>
      </c>
      <c r="D118" s="375"/>
      <c r="E118" s="375"/>
      <c r="F118" s="375"/>
      <c r="G118" s="375"/>
      <c r="H118" s="376"/>
      <c r="I118" s="51"/>
      <c r="J118" s="114"/>
    </row>
    <row r="119" spans="1:56" x14ac:dyDescent="0.2">
      <c r="A119" s="113">
        <v>44701</v>
      </c>
      <c r="B119" s="50" t="s">
        <v>164</v>
      </c>
      <c r="C119" s="374" t="s">
        <v>442</v>
      </c>
      <c r="D119" s="375"/>
      <c r="E119" s="375"/>
      <c r="F119" s="375"/>
      <c r="G119" s="375"/>
      <c r="H119" s="376"/>
      <c r="I119" s="51" t="s">
        <v>216</v>
      </c>
      <c r="J119" s="114" t="s">
        <v>238</v>
      </c>
    </row>
    <row r="120" spans="1:56" x14ac:dyDescent="0.2">
      <c r="A120" s="115">
        <v>44701</v>
      </c>
      <c r="B120" s="116" t="s">
        <v>164</v>
      </c>
      <c r="C120" s="394" t="s">
        <v>441</v>
      </c>
      <c r="D120" s="395"/>
      <c r="E120" s="395"/>
      <c r="F120" s="395"/>
      <c r="G120" s="395"/>
      <c r="H120" s="396"/>
      <c r="I120" s="117" t="s">
        <v>183</v>
      </c>
      <c r="J120" s="118" t="s">
        <v>238</v>
      </c>
    </row>
    <row r="121" spans="1:56" x14ac:dyDescent="0.2">
      <c r="A121" s="151">
        <f>+A115+1</f>
        <v>44702</v>
      </c>
      <c r="B121" s="152" t="s">
        <v>165</v>
      </c>
      <c r="C121" s="421"/>
      <c r="D121" s="422"/>
      <c r="E121" s="422"/>
      <c r="F121" s="422"/>
      <c r="G121" s="422"/>
      <c r="H121" s="423"/>
      <c r="I121" s="153"/>
      <c r="J121" s="154"/>
      <c r="AG121" s="8"/>
      <c r="AI121" s="8"/>
      <c r="AN121" s="141"/>
      <c r="AO121" s="8"/>
      <c r="AP121" s="8"/>
      <c r="AQ121" s="8"/>
      <c r="AR121" s="8"/>
      <c r="AS121" s="8"/>
      <c r="AT121" s="8"/>
      <c r="AU121" s="8"/>
      <c r="AV121" s="8"/>
      <c r="AW121" s="8"/>
      <c r="AX121" s="8"/>
      <c r="AY121" s="8"/>
      <c r="AZ121" s="8"/>
      <c r="BA121" s="8"/>
      <c r="BB121" s="8"/>
      <c r="BC121" s="8"/>
      <c r="BD121" s="8"/>
    </row>
    <row r="122" spans="1:56" x14ac:dyDescent="0.2">
      <c r="A122" s="163">
        <f t="shared" si="1"/>
        <v>44703</v>
      </c>
      <c r="B122" s="164" t="s">
        <v>166</v>
      </c>
      <c r="C122" s="414"/>
      <c r="D122" s="415"/>
      <c r="E122" s="415"/>
      <c r="F122" s="415"/>
      <c r="G122" s="415"/>
      <c r="H122" s="416"/>
      <c r="I122" s="165"/>
      <c r="J122" s="166"/>
      <c r="AG122" s="8"/>
      <c r="AI122" s="8"/>
      <c r="AN122" s="141"/>
      <c r="AO122" s="8"/>
      <c r="AP122" s="8"/>
      <c r="AQ122" s="8"/>
      <c r="AR122" s="8"/>
      <c r="AS122" s="8"/>
      <c r="AT122" s="8"/>
      <c r="AU122" s="8"/>
      <c r="AV122" s="8"/>
      <c r="AW122" s="8"/>
      <c r="AX122" s="8"/>
      <c r="AY122" s="8"/>
      <c r="AZ122" s="8"/>
      <c r="BA122" s="8"/>
      <c r="BB122" s="8"/>
      <c r="BC122" s="8"/>
      <c r="BD122" s="8"/>
    </row>
    <row r="123" spans="1:56" x14ac:dyDescent="0.2">
      <c r="A123" s="109">
        <f t="shared" si="1"/>
        <v>44704</v>
      </c>
      <c r="B123" s="110" t="s">
        <v>167</v>
      </c>
      <c r="C123" s="417" t="s">
        <v>453</v>
      </c>
      <c r="D123" s="418"/>
      <c r="E123" s="418"/>
      <c r="F123" s="418"/>
      <c r="G123" s="418"/>
      <c r="H123" s="419"/>
      <c r="I123" s="111" t="s">
        <v>181</v>
      </c>
      <c r="J123" s="112" t="s">
        <v>174</v>
      </c>
    </row>
    <row r="124" spans="1:56" x14ac:dyDescent="0.2">
      <c r="A124" s="113">
        <v>44704</v>
      </c>
      <c r="B124" s="50" t="s">
        <v>167</v>
      </c>
      <c r="C124" s="374" t="s">
        <v>447</v>
      </c>
      <c r="D124" s="375"/>
      <c r="E124" s="375"/>
      <c r="F124" s="375"/>
      <c r="G124" s="375"/>
      <c r="H124" s="376"/>
      <c r="I124" s="51" t="s">
        <v>183</v>
      </c>
      <c r="J124" s="114" t="s">
        <v>170</v>
      </c>
    </row>
    <row r="125" spans="1:56" x14ac:dyDescent="0.2">
      <c r="A125" s="113">
        <v>44704</v>
      </c>
      <c r="B125" s="50" t="s">
        <v>167</v>
      </c>
      <c r="C125" s="374" t="s">
        <v>454</v>
      </c>
      <c r="D125" s="375"/>
      <c r="E125" s="375"/>
      <c r="F125" s="375"/>
      <c r="G125" s="375"/>
      <c r="H125" s="376"/>
      <c r="I125" s="51" t="s">
        <v>183</v>
      </c>
      <c r="J125" s="114" t="s">
        <v>238</v>
      </c>
    </row>
    <row r="126" spans="1:56" x14ac:dyDescent="0.2">
      <c r="A126" s="121">
        <v>44704</v>
      </c>
      <c r="B126" s="91" t="s">
        <v>167</v>
      </c>
      <c r="C126" s="394" t="s">
        <v>442</v>
      </c>
      <c r="D126" s="395"/>
      <c r="E126" s="395"/>
      <c r="F126" s="395"/>
      <c r="G126" s="395"/>
      <c r="H126" s="396"/>
      <c r="I126" s="92" t="s">
        <v>216</v>
      </c>
      <c r="J126" s="122" t="s">
        <v>238</v>
      </c>
    </row>
    <row r="127" spans="1:56" x14ac:dyDescent="0.2">
      <c r="A127" s="109">
        <f>+A123+1</f>
        <v>44705</v>
      </c>
      <c r="B127" s="110" t="s">
        <v>161</v>
      </c>
      <c r="C127" s="417" t="s">
        <v>454</v>
      </c>
      <c r="D127" s="418"/>
      <c r="E127" s="418"/>
      <c r="F127" s="418"/>
      <c r="G127" s="418"/>
      <c r="H127" s="419"/>
      <c r="I127" s="111" t="s">
        <v>183</v>
      </c>
      <c r="J127" s="112" t="s">
        <v>238</v>
      </c>
    </row>
    <row r="128" spans="1:56" ht="14.25" customHeight="1" x14ac:dyDescent="0.2">
      <c r="A128" s="113">
        <v>44705</v>
      </c>
      <c r="B128" s="124" t="s">
        <v>161</v>
      </c>
      <c r="C128" s="374" t="s">
        <v>442</v>
      </c>
      <c r="D128" s="375"/>
      <c r="E128" s="375"/>
      <c r="F128" s="375"/>
      <c r="G128" s="375"/>
      <c r="H128" s="376"/>
      <c r="I128" s="51" t="s">
        <v>216</v>
      </c>
      <c r="J128" s="114" t="s">
        <v>238</v>
      </c>
    </row>
    <row r="129" spans="1:56" x14ac:dyDescent="0.2">
      <c r="A129" s="113">
        <v>44705</v>
      </c>
      <c r="B129" s="50" t="s">
        <v>161</v>
      </c>
      <c r="C129" s="374" t="s">
        <v>447</v>
      </c>
      <c r="D129" s="375"/>
      <c r="E129" s="375"/>
      <c r="F129" s="375"/>
      <c r="G129" s="375"/>
      <c r="H129" s="376"/>
      <c r="I129" s="51" t="s">
        <v>183</v>
      </c>
      <c r="J129" s="114" t="s">
        <v>170</v>
      </c>
    </row>
    <row r="130" spans="1:56" ht="14.25" customHeight="1" x14ac:dyDescent="0.2">
      <c r="A130" s="121">
        <v>44705</v>
      </c>
      <c r="B130" s="173" t="s">
        <v>161</v>
      </c>
      <c r="C130" s="394" t="s">
        <v>455</v>
      </c>
      <c r="D130" s="395"/>
      <c r="E130" s="395"/>
      <c r="F130" s="395"/>
      <c r="G130" s="395"/>
      <c r="H130" s="396"/>
      <c r="I130" s="92" t="s">
        <v>181</v>
      </c>
      <c r="J130" s="122" t="s">
        <v>174</v>
      </c>
    </row>
    <row r="131" spans="1:56" x14ac:dyDescent="0.2">
      <c r="A131" s="109">
        <f>+A127+1</f>
        <v>44706</v>
      </c>
      <c r="B131" s="110" t="s">
        <v>162</v>
      </c>
      <c r="C131" s="417" t="s">
        <v>454</v>
      </c>
      <c r="D131" s="418"/>
      <c r="E131" s="418"/>
      <c r="F131" s="418"/>
      <c r="G131" s="418"/>
      <c r="H131" s="419"/>
      <c r="I131" s="111" t="s">
        <v>183</v>
      </c>
      <c r="J131" s="112" t="s">
        <v>238</v>
      </c>
    </row>
    <row r="132" spans="1:56" x14ac:dyDescent="0.2">
      <c r="A132" s="113">
        <v>44706</v>
      </c>
      <c r="B132" s="50" t="s">
        <v>162</v>
      </c>
      <c r="C132" s="374" t="s">
        <v>447</v>
      </c>
      <c r="D132" s="375"/>
      <c r="E132" s="375"/>
      <c r="F132" s="375"/>
      <c r="G132" s="375"/>
      <c r="H132" s="376"/>
      <c r="I132" s="51" t="s">
        <v>183</v>
      </c>
      <c r="J132" s="114" t="s">
        <v>170</v>
      </c>
    </row>
    <row r="133" spans="1:56" x14ac:dyDescent="0.2">
      <c r="A133" s="121">
        <v>44706</v>
      </c>
      <c r="B133" s="91" t="s">
        <v>162</v>
      </c>
      <c r="C133" s="397" t="s">
        <v>442</v>
      </c>
      <c r="D133" s="398"/>
      <c r="E133" s="398"/>
      <c r="F133" s="398"/>
      <c r="G133" s="398"/>
      <c r="H133" s="399"/>
      <c r="I133" s="92" t="s">
        <v>216</v>
      </c>
      <c r="J133" s="122" t="s">
        <v>238</v>
      </c>
    </row>
    <row r="134" spans="1:56" x14ac:dyDescent="0.2">
      <c r="A134" s="109">
        <f>+A131+1</f>
        <v>44707</v>
      </c>
      <c r="B134" s="110" t="s">
        <v>163</v>
      </c>
      <c r="C134" s="417" t="s">
        <v>456</v>
      </c>
      <c r="D134" s="418"/>
      <c r="E134" s="418"/>
      <c r="F134" s="418"/>
      <c r="G134" s="418"/>
      <c r="H134" s="419"/>
      <c r="I134" s="111" t="s">
        <v>183</v>
      </c>
      <c r="J134" s="112" t="s">
        <v>238</v>
      </c>
    </row>
    <row r="135" spans="1:56" x14ac:dyDescent="0.2">
      <c r="A135" s="113">
        <v>44707</v>
      </c>
      <c r="B135" s="50" t="s">
        <v>163</v>
      </c>
      <c r="C135" s="374" t="s">
        <v>457</v>
      </c>
      <c r="D135" s="375"/>
      <c r="E135" s="375"/>
      <c r="F135" s="375"/>
      <c r="G135" s="375"/>
      <c r="H135" s="376"/>
      <c r="I135" s="51" t="s">
        <v>216</v>
      </c>
      <c r="J135" s="114" t="s">
        <v>238</v>
      </c>
    </row>
    <row r="136" spans="1:56" x14ac:dyDescent="0.2">
      <c r="A136" s="121">
        <v>44707</v>
      </c>
      <c r="B136" s="91" t="s">
        <v>163</v>
      </c>
      <c r="C136" s="397" t="s">
        <v>447</v>
      </c>
      <c r="D136" s="398"/>
      <c r="E136" s="398"/>
      <c r="F136" s="398"/>
      <c r="G136" s="398"/>
      <c r="H136" s="399"/>
      <c r="I136" s="92" t="s">
        <v>183</v>
      </c>
      <c r="J136" s="122" t="s">
        <v>170</v>
      </c>
    </row>
    <row r="137" spans="1:56" x14ac:dyDescent="0.2">
      <c r="A137" s="109">
        <f>+A134+1</f>
        <v>44708</v>
      </c>
      <c r="B137" s="110" t="s">
        <v>164</v>
      </c>
      <c r="C137" s="390" t="s">
        <v>447</v>
      </c>
      <c r="D137" s="391"/>
      <c r="E137" s="391"/>
      <c r="F137" s="391"/>
      <c r="G137" s="391"/>
      <c r="H137" s="392"/>
      <c r="I137" s="111" t="s">
        <v>183</v>
      </c>
      <c r="J137" s="112" t="s">
        <v>170</v>
      </c>
    </row>
    <row r="138" spans="1:56" x14ac:dyDescent="0.2">
      <c r="A138" s="115">
        <v>44708</v>
      </c>
      <c r="B138" s="116" t="s">
        <v>164</v>
      </c>
      <c r="C138" s="406" t="s">
        <v>458</v>
      </c>
      <c r="D138" s="407"/>
      <c r="E138" s="407"/>
      <c r="F138" s="407"/>
      <c r="G138" s="407"/>
      <c r="H138" s="408"/>
      <c r="I138" s="117" t="s">
        <v>183</v>
      </c>
      <c r="J138" s="118" t="s">
        <v>174</v>
      </c>
    </row>
    <row r="139" spans="1:56" x14ac:dyDescent="0.2">
      <c r="A139" s="223">
        <f>+A137+1</f>
        <v>44709</v>
      </c>
      <c r="B139" s="224" t="s">
        <v>165</v>
      </c>
      <c r="C139" s="400"/>
      <c r="D139" s="401"/>
      <c r="E139" s="401"/>
      <c r="F139" s="401"/>
      <c r="G139" s="401"/>
      <c r="H139" s="402"/>
      <c r="I139" s="225"/>
      <c r="J139" s="226"/>
      <c r="AG139" s="8"/>
      <c r="AI139" s="8"/>
      <c r="AN139" s="141"/>
      <c r="AO139" s="8"/>
      <c r="AP139" s="8"/>
      <c r="AQ139" s="8"/>
      <c r="AR139" s="8"/>
      <c r="AS139" s="8"/>
      <c r="AT139" s="8"/>
      <c r="AU139" s="8"/>
      <c r="AV139" s="8"/>
      <c r="AW139" s="8"/>
      <c r="AX139" s="8"/>
      <c r="AY139" s="8"/>
      <c r="AZ139" s="8"/>
      <c r="BA139" s="8"/>
      <c r="BB139" s="8"/>
      <c r="BC139" s="8"/>
      <c r="BD139" s="8"/>
    </row>
    <row r="140" spans="1:56" x14ac:dyDescent="0.2">
      <c r="A140" s="163">
        <f t="shared" si="1"/>
        <v>44710</v>
      </c>
      <c r="B140" s="164" t="s">
        <v>166</v>
      </c>
      <c r="C140" s="403"/>
      <c r="D140" s="404"/>
      <c r="E140" s="404"/>
      <c r="F140" s="404"/>
      <c r="G140" s="404"/>
      <c r="H140" s="405"/>
      <c r="I140" s="165"/>
      <c r="J140" s="166"/>
      <c r="AG140" s="8"/>
      <c r="AI140" s="8"/>
      <c r="AN140" s="141"/>
      <c r="AO140" s="8"/>
      <c r="AP140" s="8"/>
      <c r="AQ140" s="8"/>
      <c r="AR140" s="8"/>
      <c r="AS140" s="8"/>
      <c r="AT140" s="8"/>
      <c r="AU140" s="8"/>
      <c r="AV140" s="8"/>
      <c r="AW140" s="8"/>
      <c r="AX140" s="8"/>
      <c r="AY140" s="8"/>
      <c r="AZ140" s="8"/>
      <c r="BA140" s="8"/>
      <c r="BB140" s="8"/>
      <c r="BC140" s="8"/>
      <c r="BD140" s="8"/>
    </row>
    <row r="141" spans="1:56" x14ac:dyDescent="0.2">
      <c r="A141" s="109">
        <f t="shared" si="1"/>
        <v>44711</v>
      </c>
      <c r="B141" s="110" t="s">
        <v>167</v>
      </c>
      <c r="C141" s="390" t="s">
        <v>447</v>
      </c>
      <c r="D141" s="391"/>
      <c r="E141" s="391"/>
      <c r="F141" s="391"/>
      <c r="G141" s="391"/>
      <c r="H141" s="392"/>
      <c r="I141" s="111" t="s">
        <v>183</v>
      </c>
      <c r="J141" s="112" t="s">
        <v>170</v>
      </c>
    </row>
    <row r="142" spans="1:56" x14ac:dyDescent="0.2">
      <c r="A142" s="115">
        <v>44711</v>
      </c>
      <c r="B142" s="116" t="s">
        <v>167</v>
      </c>
      <c r="C142" s="394" t="s">
        <v>459</v>
      </c>
      <c r="D142" s="395"/>
      <c r="E142" s="395"/>
      <c r="F142" s="395"/>
      <c r="G142" s="395"/>
      <c r="H142" s="396"/>
      <c r="I142" s="117" t="s">
        <v>181</v>
      </c>
      <c r="J142" s="118" t="s">
        <v>174</v>
      </c>
    </row>
    <row r="143" spans="1:56" x14ac:dyDescent="0.2">
      <c r="A143" s="137">
        <v>44712</v>
      </c>
      <c r="B143" s="124" t="s">
        <v>161</v>
      </c>
      <c r="C143" s="390"/>
      <c r="D143" s="391"/>
      <c r="E143" s="391"/>
      <c r="F143" s="391"/>
      <c r="G143" s="391"/>
      <c r="H143" s="392"/>
      <c r="I143" s="111"/>
      <c r="J143" s="112"/>
    </row>
    <row r="144" spans="1:56" x14ac:dyDescent="0.2">
      <c r="A144" s="49">
        <f>+A141+1</f>
        <v>44712</v>
      </c>
      <c r="B144" s="50" t="s">
        <v>161</v>
      </c>
      <c r="C144" s="394" t="s">
        <v>460</v>
      </c>
      <c r="D144" s="395"/>
      <c r="E144" s="395"/>
      <c r="F144" s="395"/>
      <c r="G144" s="395"/>
      <c r="H144" s="396"/>
      <c r="I144" s="117" t="s">
        <v>181</v>
      </c>
      <c r="J144" s="118" t="s">
        <v>174</v>
      </c>
    </row>
    <row r="145" spans="1:19" x14ac:dyDescent="0.2">
      <c r="A145" s="32"/>
      <c r="I145" s="8"/>
      <c r="J145" s="8"/>
      <c r="R145" s="203"/>
      <c r="S145" s="203"/>
    </row>
    <row r="146" spans="1:19" x14ac:dyDescent="0.2">
      <c r="A146" s="367" t="s">
        <v>207</v>
      </c>
      <c r="B146" s="368"/>
      <c r="C146" s="368"/>
      <c r="D146" s="368"/>
      <c r="I146" s="8"/>
      <c r="J146" s="8"/>
      <c r="R146" s="203"/>
      <c r="S146" s="203"/>
    </row>
    <row r="147" spans="1:19" x14ac:dyDescent="0.2">
      <c r="A147" s="52"/>
      <c r="B147" s="53" t="s">
        <v>208</v>
      </c>
      <c r="C147" s="370" t="s">
        <v>209</v>
      </c>
      <c r="D147" s="370"/>
      <c r="I147" s="8"/>
      <c r="J147" s="8"/>
      <c r="R147" s="203"/>
      <c r="S147" s="203"/>
    </row>
    <row r="148" spans="1:19" x14ac:dyDescent="0.2">
      <c r="A148" s="52">
        <f t="shared" ref="A148:A153" si="2">COUNTIF($I$53:$I$147,B148)</f>
        <v>3</v>
      </c>
      <c r="B148" s="53" t="s">
        <v>172</v>
      </c>
      <c r="C148" s="370" t="s">
        <v>210</v>
      </c>
      <c r="D148" s="370"/>
      <c r="I148" s="8"/>
      <c r="J148" s="8"/>
      <c r="R148" s="203"/>
      <c r="S148" s="203"/>
    </row>
    <row r="149" spans="1:19" x14ac:dyDescent="0.2">
      <c r="A149" s="52">
        <f t="shared" si="2"/>
        <v>15</v>
      </c>
      <c r="B149" s="53" t="s">
        <v>169</v>
      </c>
      <c r="C149" s="370" t="s">
        <v>211</v>
      </c>
      <c r="D149" s="370"/>
      <c r="I149" s="8"/>
      <c r="J149" s="8"/>
      <c r="R149" s="203"/>
      <c r="S149" s="203"/>
    </row>
    <row r="150" spans="1:19" x14ac:dyDescent="0.2">
      <c r="A150" s="52">
        <f t="shared" si="2"/>
        <v>23</v>
      </c>
      <c r="B150" s="53" t="s">
        <v>181</v>
      </c>
      <c r="C150" s="370" t="s">
        <v>212</v>
      </c>
      <c r="D150" s="370"/>
      <c r="I150" s="8"/>
      <c r="J150" s="8"/>
      <c r="R150" s="203"/>
      <c r="S150" s="203"/>
    </row>
    <row r="151" spans="1:19" x14ac:dyDescent="0.2">
      <c r="A151" s="52">
        <f t="shared" si="2"/>
        <v>18</v>
      </c>
      <c r="B151" s="53" t="s">
        <v>183</v>
      </c>
      <c r="C151" s="370" t="s">
        <v>213</v>
      </c>
      <c r="D151" s="370"/>
      <c r="I151" s="8"/>
      <c r="J151" s="8"/>
      <c r="R151" s="203"/>
      <c r="S151" s="203"/>
    </row>
    <row r="152" spans="1:19" x14ac:dyDescent="0.2">
      <c r="A152" s="52">
        <f t="shared" si="2"/>
        <v>10</v>
      </c>
      <c r="B152" s="53" t="s">
        <v>214</v>
      </c>
      <c r="C152" s="370" t="s">
        <v>215</v>
      </c>
      <c r="D152" s="370"/>
      <c r="I152" s="8"/>
      <c r="J152" s="8"/>
      <c r="R152" s="203"/>
      <c r="S152" s="203"/>
    </row>
    <row r="153" spans="1:19" x14ac:dyDescent="0.2">
      <c r="A153" s="52">
        <f t="shared" si="2"/>
        <v>8</v>
      </c>
      <c r="B153" s="53" t="s">
        <v>216</v>
      </c>
      <c r="C153" s="370" t="s">
        <v>217</v>
      </c>
      <c r="D153" s="370"/>
      <c r="I153" s="8"/>
      <c r="J153" s="8"/>
      <c r="R153" s="203"/>
      <c r="S153" s="203"/>
    </row>
    <row r="154" spans="1:19" x14ac:dyDescent="0.2">
      <c r="A154" s="52"/>
      <c r="B154" s="53" t="s">
        <v>218</v>
      </c>
      <c r="C154" s="371" t="s">
        <v>219</v>
      </c>
      <c r="D154" s="372"/>
      <c r="I154" s="8"/>
      <c r="J154" s="8"/>
      <c r="R154" s="203"/>
      <c r="S154" s="203"/>
    </row>
    <row r="155" spans="1:19" x14ac:dyDescent="0.2">
      <c r="A155" s="52"/>
      <c r="B155" s="53" t="s">
        <v>220</v>
      </c>
      <c r="C155" s="370" t="s">
        <v>221</v>
      </c>
      <c r="D155" s="370"/>
      <c r="I155" s="8"/>
      <c r="J155" s="8"/>
    </row>
    <row r="156" spans="1:19" x14ac:dyDescent="0.2">
      <c r="A156" s="52">
        <f>COUNTIF($I$53:$I$147,B156)</f>
        <v>1</v>
      </c>
      <c r="B156" s="53" t="s">
        <v>178</v>
      </c>
      <c r="C156" s="370" t="s">
        <v>222</v>
      </c>
      <c r="D156" s="370"/>
      <c r="I156" s="8"/>
      <c r="J156" s="8"/>
    </row>
    <row r="157" spans="1:19" x14ac:dyDescent="0.2">
      <c r="A157" s="52"/>
      <c r="B157" s="53" t="s">
        <v>223</v>
      </c>
      <c r="C157" s="370" t="s">
        <v>224</v>
      </c>
      <c r="D157" s="370"/>
      <c r="I157" s="8"/>
      <c r="J157" s="8"/>
    </row>
    <row r="158" spans="1:19" x14ac:dyDescent="0.2">
      <c r="A158" s="54"/>
      <c r="B158" s="55"/>
      <c r="C158" s="56"/>
      <c r="D158" s="56"/>
      <c r="I158" s="8"/>
      <c r="J158" s="8"/>
    </row>
    <row r="159" spans="1:19" x14ac:dyDescent="0.2">
      <c r="A159" s="54"/>
      <c r="B159" s="55"/>
      <c r="C159" s="56"/>
      <c r="D159" s="56"/>
      <c r="I159" s="8"/>
      <c r="J159" s="8"/>
    </row>
    <row r="160" spans="1:19" x14ac:dyDescent="0.2">
      <c r="A160" s="54"/>
      <c r="B160" s="55"/>
      <c r="C160" s="56"/>
      <c r="D160" s="56"/>
      <c r="I160" s="8"/>
      <c r="J160" s="8"/>
    </row>
    <row r="161" spans="1:10" x14ac:dyDescent="0.2">
      <c r="A161" s="54"/>
      <c r="B161" s="55"/>
      <c r="C161" s="56"/>
      <c r="D161" s="56"/>
      <c r="I161" s="8"/>
      <c r="J161" s="8"/>
    </row>
    <row r="162" spans="1:10" x14ac:dyDescent="0.2">
      <c r="A162" s="32"/>
      <c r="I162" s="8"/>
      <c r="J162" s="8"/>
    </row>
    <row r="163" spans="1:10" x14ac:dyDescent="0.2">
      <c r="A163" s="367" t="s">
        <v>225</v>
      </c>
      <c r="B163" s="368"/>
      <c r="C163" s="368"/>
      <c r="D163" s="368"/>
      <c r="I163" s="8"/>
      <c r="J163" s="8"/>
    </row>
    <row r="164" spans="1:10" x14ac:dyDescent="0.2">
      <c r="A164" s="52">
        <f>COUNTIF($J$53:$J$147,B164)</f>
        <v>13</v>
      </c>
      <c r="B164" s="52" t="s">
        <v>170</v>
      </c>
      <c r="C164" s="356" t="s">
        <v>226</v>
      </c>
      <c r="D164" s="356"/>
      <c r="I164" s="8"/>
      <c r="J164" s="8"/>
    </row>
    <row r="165" spans="1:10" x14ac:dyDescent="0.2">
      <c r="A165" s="52">
        <f>COUNTIF($J$53:$J$147,B165)</f>
        <v>5</v>
      </c>
      <c r="B165" s="52" t="s">
        <v>191</v>
      </c>
      <c r="C165" s="356" t="s">
        <v>227</v>
      </c>
      <c r="D165" s="356"/>
      <c r="I165" s="8"/>
      <c r="J165" s="8"/>
    </row>
    <row r="166" spans="1:10" x14ac:dyDescent="0.2">
      <c r="A166" s="52"/>
      <c r="B166" s="52" t="s">
        <v>179</v>
      </c>
      <c r="C166" s="356" t="s">
        <v>228</v>
      </c>
      <c r="D166" s="356"/>
      <c r="I166" s="8"/>
      <c r="J166" s="8"/>
    </row>
    <row r="167" spans="1:10" x14ac:dyDescent="0.2">
      <c r="A167" s="52"/>
      <c r="B167" s="52" t="s">
        <v>229</v>
      </c>
      <c r="C167" s="356" t="s">
        <v>230</v>
      </c>
      <c r="D167" s="356"/>
      <c r="I167" s="8"/>
      <c r="J167" s="8"/>
    </row>
    <row r="168" spans="1:10" x14ac:dyDescent="0.2">
      <c r="A168" s="52">
        <f t="shared" ref="A168:A176" si="3">COUNTIF($J$53:$J$147,B168)</f>
        <v>28</v>
      </c>
      <c r="B168" s="52" t="s">
        <v>174</v>
      </c>
      <c r="C168" s="356" t="s">
        <v>231</v>
      </c>
      <c r="D168" s="356"/>
      <c r="I168" s="8"/>
      <c r="J168" s="8"/>
    </row>
    <row r="169" spans="1:10" x14ac:dyDescent="0.2">
      <c r="A169" s="52">
        <f t="shared" si="3"/>
        <v>1</v>
      </c>
      <c r="B169" s="52" t="s">
        <v>232</v>
      </c>
      <c r="C169" s="356" t="s">
        <v>353</v>
      </c>
      <c r="D169" s="356"/>
      <c r="I169" s="8"/>
      <c r="J169" s="8"/>
    </row>
    <row r="170" spans="1:10" x14ac:dyDescent="0.2">
      <c r="A170" s="52">
        <f t="shared" si="3"/>
        <v>2</v>
      </c>
      <c r="B170" s="52" t="s">
        <v>187</v>
      </c>
      <c r="C170" s="356" t="s">
        <v>234</v>
      </c>
      <c r="D170" s="356"/>
      <c r="I170" s="8"/>
      <c r="J170" s="8"/>
    </row>
    <row r="171" spans="1:10" x14ac:dyDescent="0.2">
      <c r="A171" s="52">
        <f t="shared" si="3"/>
        <v>1</v>
      </c>
      <c r="B171" s="52" t="s">
        <v>235</v>
      </c>
      <c r="C171" s="356" t="s">
        <v>236</v>
      </c>
      <c r="D171" s="356"/>
      <c r="I171" s="8"/>
      <c r="J171" s="8"/>
    </row>
    <row r="172" spans="1:10" x14ac:dyDescent="0.2">
      <c r="A172" s="52">
        <f t="shared" si="3"/>
        <v>4</v>
      </c>
      <c r="B172" s="52" t="s">
        <v>185</v>
      </c>
      <c r="C172" s="356" t="s">
        <v>237</v>
      </c>
      <c r="D172" s="356"/>
      <c r="I172" s="8"/>
      <c r="J172" s="8"/>
    </row>
    <row r="173" spans="1:10" x14ac:dyDescent="0.2">
      <c r="A173" s="52">
        <f t="shared" si="3"/>
        <v>18</v>
      </c>
      <c r="B173" s="52" t="s">
        <v>238</v>
      </c>
      <c r="C173" s="356" t="s">
        <v>239</v>
      </c>
      <c r="D173" s="356"/>
      <c r="I173" s="8"/>
      <c r="J173" s="8"/>
    </row>
    <row r="174" spans="1:10" x14ac:dyDescent="0.2">
      <c r="A174" s="52">
        <f t="shared" si="3"/>
        <v>1</v>
      </c>
      <c r="B174" s="52" t="s">
        <v>240</v>
      </c>
      <c r="C174" s="356" t="s">
        <v>241</v>
      </c>
      <c r="D174" s="356"/>
      <c r="I174" s="8"/>
      <c r="J174" s="8"/>
    </row>
    <row r="175" spans="1:10" x14ac:dyDescent="0.2">
      <c r="A175" s="52">
        <f t="shared" si="3"/>
        <v>3</v>
      </c>
      <c r="B175" s="52" t="s">
        <v>242</v>
      </c>
      <c r="C175" s="356" t="s">
        <v>243</v>
      </c>
      <c r="D175" s="356"/>
      <c r="I175" s="8"/>
      <c r="J175" s="8"/>
    </row>
    <row r="176" spans="1:10" x14ac:dyDescent="0.2">
      <c r="A176" s="52">
        <f t="shared" si="3"/>
        <v>4</v>
      </c>
      <c r="B176" s="52" t="s">
        <v>244</v>
      </c>
      <c r="C176" s="356" t="s">
        <v>245</v>
      </c>
      <c r="D176" s="356"/>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ht="16" thickBot="1" x14ac:dyDescent="0.25">
      <c r="A182" s="32"/>
      <c r="I182" s="8"/>
      <c r="J182" s="8"/>
    </row>
    <row r="183" spans="1:10" ht="20" thickBot="1" x14ac:dyDescent="0.25">
      <c r="A183" s="32"/>
      <c r="C183" s="349" t="s">
        <v>86</v>
      </c>
      <c r="D183" s="350"/>
      <c r="E183" s="350"/>
      <c r="F183" s="350"/>
      <c r="G183" s="351"/>
      <c r="I183" s="8"/>
      <c r="J183" s="8"/>
    </row>
    <row r="184" spans="1:10" ht="32" x14ac:dyDescent="0.2">
      <c r="A184" s="32"/>
      <c r="C184" s="68" t="s">
        <v>87</v>
      </c>
      <c r="D184" s="64" t="s">
        <v>88</v>
      </c>
      <c r="E184" s="64" t="s">
        <v>89</v>
      </c>
      <c r="F184" s="64" t="s">
        <v>90</v>
      </c>
      <c r="G184" s="66" t="s">
        <v>91</v>
      </c>
      <c r="I184" s="8"/>
      <c r="J184" s="8"/>
    </row>
    <row r="185" spans="1:10" x14ac:dyDescent="0.2">
      <c r="A185" s="32"/>
      <c r="C185" s="246">
        <v>216</v>
      </c>
      <c r="D185" s="247">
        <v>231</v>
      </c>
      <c r="E185" s="247">
        <v>63</v>
      </c>
      <c r="F185" s="247">
        <v>87</v>
      </c>
      <c r="G185" s="247">
        <v>596</v>
      </c>
      <c r="I185" s="8"/>
      <c r="J185" s="8"/>
    </row>
    <row r="186" spans="1:10" x14ac:dyDescent="0.2">
      <c r="A186" s="32"/>
      <c r="G186"/>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c r="I223" s="8"/>
      <c r="J223" s="8"/>
    </row>
    <row r="224" spans="1:10" x14ac:dyDescent="0.2">
      <c r="A224" s="32"/>
      <c r="I224" s="8"/>
      <c r="J224" s="8"/>
    </row>
    <row r="225" spans="1:10" x14ac:dyDescent="0.2">
      <c r="A225" s="32"/>
      <c r="I225" s="8"/>
      <c r="J225" s="8"/>
    </row>
    <row r="226" spans="1:10" x14ac:dyDescent="0.2">
      <c r="A226" s="32"/>
      <c r="I226" s="8"/>
      <c r="J226" s="8"/>
    </row>
    <row r="227" spans="1:10" x14ac:dyDescent="0.2">
      <c r="A227" s="32"/>
      <c r="I227" s="8"/>
      <c r="J227" s="8"/>
    </row>
    <row r="228" spans="1:10" x14ac:dyDescent="0.2">
      <c r="A228" s="32"/>
      <c r="I228" s="8"/>
      <c r="J228" s="8"/>
    </row>
    <row r="229" spans="1:10" x14ac:dyDescent="0.2">
      <c r="A229" s="32"/>
      <c r="I229" s="8"/>
      <c r="J229" s="8"/>
    </row>
    <row r="230" spans="1:10" x14ac:dyDescent="0.2">
      <c r="A230" s="32"/>
      <c r="I230" s="8"/>
      <c r="J230" s="8"/>
    </row>
    <row r="231" spans="1:10" x14ac:dyDescent="0.2">
      <c r="A231" s="32"/>
      <c r="I231" s="8"/>
      <c r="J231" s="8"/>
    </row>
    <row r="232" spans="1:10" x14ac:dyDescent="0.2">
      <c r="A232" s="32"/>
      <c r="I232" s="8"/>
      <c r="J232" s="8"/>
    </row>
    <row r="233" spans="1:10" x14ac:dyDescent="0.2">
      <c r="A233" s="32"/>
      <c r="I233" s="8"/>
      <c r="J233" s="8"/>
    </row>
    <row r="234" spans="1:10" x14ac:dyDescent="0.2">
      <c r="A234" s="32"/>
      <c r="I234" s="8"/>
      <c r="J234" s="8"/>
    </row>
    <row r="235" spans="1:10" x14ac:dyDescent="0.2">
      <c r="A235" s="32"/>
      <c r="I235" s="8"/>
      <c r="J235" s="8"/>
    </row>
    <row r="236" spans="1:10" x14ac:dyDescent="0.2">
      <c r="A236" s="32"/>
      <c r="I236" s="8"/>
      <c r="J236" s="8"/>
    </row>
    <row r="237" spans="1:10" x14ac:dyDescent="0.2">
      <c r="A237" s="32"/>
      <c r="I237" s="8"/>
      <c r="J237" s="8"/>
    </row>
    <row r="238" spans="1:10" x14ac:dyDescent="0.2">
      <c r="A238" s="32"/>
      <c r="I238" s="8"/>
      <c r="J238" s="8"/>
    </row>
    <row r="239" spans="1:10" x14ac:dyDescent="0.2">
      <c r="A239" s="32"/>
      <c r="I239" s="8"/>
      <c r="J239" s="8"/>
    </row>
    <row r="240" spans="1:10" x14ac:dyDescent="0.2">
      <c r="A240" s="32"/>
      <c r="I240" s="8"/>
      <c r="J240" s="8"/>
    </row>
    <row r="241" spans="1:10" x14ac:dyDescent="0.2">
      <c r="A241" s="32"/>
      <c r="I241" s="8"/>
      <c r="J241" s="8"/>
    </row>
    <row r="242" spans="1:10" x14ac:dyDescent="0.2">
      <c r="A242" s="32"/>
      <c r="I242" s="8"/>
      <c r="J242" s="8"/>
    </row>
    <row r="243" spans="1:10" x14ac:dyDescent="0.2">
      <c r="A243" s="32"/>
      <c r="I243" s="8"/>
      <c r="J243" s="8"/>
    </row>
    <row r="244" spans="1:10" x14ac:dyDescent="0.2">
      <c r="A244" s="32"/>
      <c r="I244" s="8"/>
      <c r="J244" s="8"/>
    </row>
    <row r="245" spans="1:10" x14ac:dyDescent="0.2">
      <c r="A245" s="32"/>
      <c r="I245" s="8"/>
      <c r="J245" s="8"/>
    </row>
    <row r="246" spans="1:10" x14ac:dyDescent="0.2">
      <c r="A246" s="32"/>
      <c r="I246" s="8"/>
      <c r="J246" s="8"/>
    </row>
    <row r="247" spans="1:10" x14ac:dyDescent="0.2">
      <c r="A247" s="32"/>
      <c r="I247" s="8"/>
      <c r="J247" s="8"/>
    </row>
    <row r="248" spans="1:10" x14ac:dyDescent="0.2">
      <c r="A248" s="32"/>
      <c r="I248" s="8"/>
      <c r="J248" s="8"/>
    </row>
    <row r="249" spans="1:10" x14ac:dyDescent="0.2">
      <c r="A249" s="32"/>
      <c r="I249" s="8"/>
      <c r="J249" s="8"/>
    </row>
    <row r="250" spans="1:10" x14ac:dyDescent="0.2">
      <c r="A250" s="32"/>
      <c r="I250" s="8"/>
      <c r="J250" s="8"/>
    </row>
    <row r="251" spans="1:10" x14ac:dyDescent="0.2">
      <c r="A251" s="32"/>
      <c r="I251" s="8"/>
      <c r="J251" s="8"/>
    </row>
    <row r="252" spans="1:10" x14ac:dyDescent="0.2">
      <c r="A252" s="32"/>
      <c r="I252" s="8"/>
      <c r="J252" s="8"/>
    </row>
    <row r="253" spans="1:10" x14ac:dyDescent="0.2">
      <c r="A253" s="32"/>
      <c r="I253" s="8"/>
      <c r="J253" s="8"/>
    </row>
    <row r="254" spans="1:10" x14ac:dyDescent="0.2">
      <c r="A254" s="32"/>
      <c r="I254" s="8"/>
      <c r="J254" s="8"/>
    </row>
    <row r="255" spans="1:10" x14ac:dyDescent="0.2">
      <c r="A255" s="32"/>
      <c r="I255" s="8"/>
      <c r="J255" s="8"/>
    </row>
    <row r="256" spans="1:10" x14ac:dyDescent="0.2">
      <c r="A256" s="32"/>
      <c r="I256" s="8"/>
      <c r="J256" s="8"/>
    </row>
    <row r="257" spans="1:10" x14ac:dyDescent="0.2">
      <c r="A257" s="32"/>
      <c r="I257" s="8"/>
      <c r="J257" s="8"/>
    </row>
    <row r="258" spans="1:10" x14ac:dyDescent="0.2">
      <c r="A258" s="32"/>
      <c r="I258" s="8"/>
      <c r="J258" s="8"/>
    </row>
    <row r="259" spans="1:10" x14ac:dyDescent="0.2">
      <c r="A259" s="32"/>
      <c r="I259" s="8"/>
      <c r="J259" s="8"/>
    </row>
    <row r="260" spans="1:10" x14ac:dyDescent="0.2">
      <c r="A260" s="32"/>
      <c r="I260" s="8"/>
      <c r="J260" s="8"/>
    </row>
    <row r="261" spans="1:10" x14ac:dyDescent="0.2">
      <c r="A261" s="32"/>
    </row>
    <row r="262" spans="1:10" x14ac:dyDescent="0.2">
      <c r="A262" s="32"/>
    </row>
    <row r="263" spans="1:10" x14ac:dyDescent="0.2">
      <c r="A263" s="32"/>
    </row>
    <row r="264" spans="1:10" x14ac:dyDescent="0.2">
      <c r="A264" s="32"/>
    </row>
    <row r="265" spans="1:10" x14ac:dyDescent="0.2">
      <c r="A265" s="32"/>
    </row>
    <row r="266" spans="1:10" x14ac:dyDescent="0.2">
      <c r="A266" s="32"/>
    </row>
    <row r="267" spans="1:10" x14ac:dyDescent="0.2">
      <c r="A267" s="32"/>
    </row>
    <row r="268" spans="1:10" x14ac:dyDescent="0.2">
      <c r="A268" s="32"/>
    </row>
    <row r="269" spans="1:10" x14ac:dyDescent="0.2">
      <c r="A269" s="32"/>
    </row>
    <row r="270" spans="1:10" x14ac:dyDescent="0.2">
      <c r="A270" s="32"/>
    </row>
    <row r="271" spans="1:10" x14ac:dyDescent="0.2">
      <c r="A271" s="32"/>
    </row>
    <row r="272" spans="1:10" x14ac:dyDescent="0.2">
      <c r="A272" s="32"/>
    </row>
    <row r="273" spans="1:1" x14ac:dyDescent="0.2">
      <c r="A273" s="32"/>
    </row>
    <row r="274" spans="1:1" x14ac:dyDescent="0.2">
      <c r="A274" s="32"/>
    </row>
    <row r="275" spans="1:1" x14ac:dyDescent="0.2">
      <c r="A275" s="32"/>
    </row>
    <row r="276" spans="1:1" x14ac:dyDescent="0.2">
      <c r="A276" s="32"/>
    </row>
    <row r="277" spans="1:1" x14ac:dyDescent="0.2">
      <c r="A277" s="32"/>
    </row>
    <row r="278" spans="1:1" x14ac:dyDescent="0.2">
      <c r="A278" s="32"/>
    </row>
    <row r="279" spans="1:1" x14ac:dyDescent="0.2">
      <c r="A279" s="32"/>
    </row>
    <row r="280" spans="1:1" x14ac:dyDescent="0.2">
      <c r="A280" s="32"/>
    </row>
    <row r="281" spans="1:1" x14ac:dyDescent="0.2">
      <c r="A281" s="32"/>
    </row>
    <row r="282" spans="1:1" x14ac:dyDescent="0.2">
      <c r="A282" s="32"/>
    </row>
    <row r="283" spans="1:1" x14ac:dyDescent="0.2">
      <c r="A283" s="32"/>
    </row>
    <row r="284" spans="1:1" x14ac:dyDescent="0.2">
      <c r="A284" s="32"/>
    </row>
    <row r="285" spans="1:1" x14ac:dyDescent="0.2">
      <c r="A285" s="32"/>
    </row>
    <row r="286" spans="1:1" x14ac:dyDescent="0.2">
      <c r="A286" s="32"/>
    </row>
  </sheetData>
  <autoFilter ref="A1:BE1" xr:uid="{79263ECE-C79A-45B5-98E9-5AE5B3EDD443}"/>
  <mergeCells count="123">
    <mergeCell ref="A52:H52"/>
    <mergeCell ref="C118:H118"/>
    <mergeCell ref="C108:H108"/>
    <mergeCell ref="C103:H103"/>
    <mergeCell ref="C104:H104"/>
    <mergeCell ref="C106:H106"/>
    <mergeCell ref="C105:H105"/>
    <mergeCell ref="C107:H107"/>
    <mergeCell ref="C110:H110"/>
    <mergeCell ref="C70:H70"/>
    <mergeCell ref="C71:H71"/>
    <mergeCell ref="C72:H72"/>
    <mergeCell ref="C82:H82"/>
    <mergeCell ref="C83:H83"/>
    <mergeCell ref="C77:H77"/>
    <mergeCell ref="C78:H78"/>
    <mergeCell ref="C80:H80"/>
    <mergeCell ref="C74:H74"/>
    <mergeCell ref="C75:H75"/>
    <mergeCell ref="C90:H90"/>
    <mergeCell ref="C84:H84"/>
    <mergeCell ref="C85:H85"/>
    <mergeCell ref="C86:H86"/>
    <mergeCell ref="C87:H87"/>
    <mergeCell ref="C183:G183"/>
    <mergeCell ref="C152:D152"/>
    <mergeCell ref="C176:D176"/>
    <mergeCell ref="C174:D174"/>
    <mergeCell ref="C175:D175"/>
    <mergeCell ref="C169:D169"/>
    <mergeCell ref="C153:D153"/>
    <mergeCell ref="C154:D154"/>
    <mergeCell ref="C155:D155"/>
    <mergeCell ref="C157:D157"/>
    <mergeCell ref="C164:D164"/>
    <mergeCell ref="C173:D173"/>
    <mergeCell ref="C165:D165"/>
    <mergeCell ref="C166:D166"/>
    <mergeCell ref="C167:D167"/>
    <mergeCell ref="C168:D168"/>
    <mergeCell ref="A163:D163"/>
    <mergeCell ref="C172:D172"/>
    <mergeCell ref="C42:D42"/>
    <mergeCell ref="C134:H134"/>
    <mergeCell ref="C91:H91"/>
    <mergeCell ref="C92:H92"/>
    <mergeCell ref="C93:H93"/>
    <mergeCell ref="C102:H102"/>
    <mergeCell ref="C109:H109"/>
    <mergeCell ref="C115:H115"/>
    <mergeCell ref="C121:H121"/>
    <mergeCell ref="C122:H122"/>
    <mergeCell ref="C123:H123"/>
    <mergeCell ref="C127:H127"/>
    <mergeCell ref="C131:H131"/>
    <mergeCell ref="C56:H56"/>
    <mergeCell ref="C58:H58"/>
    <mergeCell ref="C79:H79"/>
    <mergeCell ref="C99:H99"/>
    <mergeCell ref="C98:H98"/>
    <mergeCell ref="C100:H100"/>
    <mergeCell ref="C112:H112"/>
    <mergeCell ref="C113:H113"/>
    <mergeCell ref="C114:H114"/>
    <mergeCell ref="C116:H116"/>
    <mergeCell ref="C120:H120"/>
    <mergeCell ref="C136:H136"/>
    <mergeCell ref="M43:O43"/>
    <mergeCell ref="H44:I44"/>
    <mergeCell ref="C53:H53"/>
    <mergeCell ref="C170:D170"/>
    <mergeCell ref="C61:H61"/>
    <mergeCell ref="C62:H62"/>
    <mergeCell ref="C54:H54"/>
    <mergeCell ref="C151:D151"/>
    <mergeCell ref="C68:H68"/>
    <mergeCell ref="C69:H69"/>
    <mergeCell ref="C73:H73"/>
    <mergeCell ref="C76:H76"/>
    <mergeCell ref="C81:H81"/>
    <mergeCell ref="C55:H55"/>
    <mergeCell ref="C57:H57"/>
    <mergeCell ref="C59:H59"/>
    <mergeCell ref="C63:H63"/>
    <mergeCell ref="C67:H67"/>
    <mergeCell ref="C64:H64"/>
    <mergeCell ref="C65:H65"/>
    <mergeCell ref="C66:H66"/>
    <mergeCell ref="C60:H60"/>
    <mergeCell ref="C156:D156"/>
    <mergeCell ref="C141:H141"/>
    <mergeCell ref="C144:H144"/>
    <mergeCell ref="A146:D146"/>
    <mergeCell ref="C147:D147"/>
    <mergeCell ref="C148:D148"/>
    <mergeCell ref="C149:D149"/>
    <mergeCell ref="C150:D150"/>
    <mergeCell ref="C171:D171"/>
    <mergeCell ref="C137:H137"/>
    <mergeCell ref="C139:H139"/>
    <mergeCell ref="C140:H140"/>
    <mergeCell ref="C138:H138"/>
    <mergeCell ref="C142:H142"/>
    <mergeCell ref="C143:H143"/>
    <mergeCell ref="C88:H88"/>
    <mergeCell ref="C89:H89"/>
    <mergeCell ref="C101:H101"/>
    <mergeCell ref="C94:H94"/>
    <mergeCell ref="C95:H95"/>
    <mergeCell ref="C96:H96"/>
    <mergeCell ref="C97:H97"/>
    <mergeCell ref="C133:H133"/>
    <mergeCell ref="C135:H135"/>
    <mergeCell ref="C128:H128"/>
    <mergeCell ref="C130:H130"/>
    <mergeCell ref="C125:H125"/>
    <mergeCell ref="C126:H126"/>
    <mergeCell ref="C119:H119"/>
    <mergeCell ref="C111:H111"/>
    <mergeCell ref="C117:H117"/>
    <mergeCell ref="C124:H124"/>
    <mergeCell ref="C129:H129"/>
    <mergeCell ref="C132:H132"/>
  </mergeCells>
  <dataValidations count="2">
    <dataValidation type="list" allowBlank="1" showInputMessage="1" showErrorMessage="1" sqref="J53:J144" xr:uid="{4A1E7ACD-3B73-4A15-95EB-A8164278D044}">
      <formula1>$B$163:$B$176</formula1>
    </dataValidation>
    <dataValidation type="list" allowBlank="1" showInputMessage="1" showErrorMessage="1" sqref="I53:I144" xr:uid="{342E84EC-5E26-4269-9462-1BC606C9F4D9}">
      <formula1>$B$147:$B$157</formula1>
    </dataValidation>
  </dataValidations>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CCDD8-53ED-4993-A725-03B614ECF59A}">
  <sheetPr codeName="Hoja8">
    <tabColor rgb="FFFF0000"/>
  </sheetPr>
  <dimension ref="A1:BE299"/>
  <sheetViews>
    <sheetView zoomScale="85" zoomScaleNormal="85" workbookViewId="0">
      <selection activeCell="C47" sqref="C47"/>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13.5" style="1" customWidth="1"/>
    <col min="23" max="23" width="4.6640625" style="1" customWidth="1"/>
    <col min="24" max="24" width="13.5" style="1" customWidth="1"/>
    <col min="25" max="25" width="4.6640625" style="1" customWidth="1"/>
    <col min="26" max="26" width="13.5" style="1" customWidth="1"/>
    <col min="27" max="27" width="4.6640625" style="1" customWidth="1"/>
    <col min="28" max="28" width="13.5" style="1" customWidth="1"/>
    <col min="29" max="29" width="4.6640625" style="1" customWidth="1"/>
    <col min="30" max="30" width="15" style="1" bestFit="1" customWidth="1"/>
    <col min="31" max="31" width="11.5" style="1"/>
    <col min="32" max="32" width="15.1640625" style="1" bestFit="1" customWidth="1"/>
    <col min="33" max="16384" width="11.5" style="1"/>
  </cols>
  <sheetData>
    <row r="1" spans="1:57" s="8" customFormat="1" x14ac:dyDescent="0.2">
      <c r="A1" s="16" t="s">
        <v>118</v>
      </c>
      <c r="B1" s="16" t="s">
        <v>92</v>
      </c>
      <c r="C1" s="16" t="s">
        <v>4</v>
      </c>
      <c r="D1" s="16" t="s">
        <v>5</v>
      </c>
      <c r="E1" s="16" t="s">
        <v>6</v>
      </c>
      <c r="F1" s="16" t="s">
        <v>7</v>
      </c>
      <c r="G1" s="16" t="s">
        <v>8</v>
      </c>
      <c r="H1" s="16" t="s">
        <v>9</v>
      </c>
      <c r="I1" s="16" t="s">
        <v>10</v>
      </c>
      <c r="J1" s="199" t="s">
        <v>11</v>
      </c>
      <c r="K1" s="16" t="s">
        <v>12</v>
      </c>
      <c r="L1" s="16" t="s">
        <v>13</v>
      </c>
      <c r="M1" s="16"/>
      <c r="N1" s="16" t="s">
        <v>14</v>
      </c>
      <c r="P1" s="44" t="s">
        <v>15</v>
      </c>
      <c r="Q1" s="44" t="s">
        <v>119</v>
      </c>
      <c r="R1" s="44" t="s">
        <v>16</v>
      </c>
      <c r="S1" s="44" t="s">
        <v>119</v>
      </c>
      <c r="T1" s="44" t="s">
        <v>17</v>
      </c>
      <c r="U1" s="44" t="s">
        <v>119</v>
      </c>
      <c r="V1" s="44" t="s">
        <v>18</v>
      </c>
      <c r="W1" s="44" t="s">
        <v>119</v>
      </c>
      <c r="X1" s="44" t="s">
        <v>19</v>
      </c>
      <c r="Y1" s="44" t="s">
        <v>119</v>
      </c>
      <c r="Z1" s="44" t="s">
        <v>20</v>
      </c>
      <c r="AA1" s="44" t="s">
        <v>119</v>
      </c>
      <c r="AB1" s="44" t="s">
        <v>21</v>
      </c>
      <c r="AC1" s="138" t="s">
        <v>119</v>
      </c>
      <c r="AD1" s="150" t="s">
        <v>120</v>
      </c>
      <c r="AE1" s="150" t="s">
        <v>246</v>
      </c>
      <c r="AF1" s="150" t="s">
        <v>121</v>
      </c>
      <c r="AG1" s="150" t="s">
        <v>246</v>
      </c>
      <c r="AH1" s="150" t="s">
        <v>122</v>
      </c>
      <c r="AI1" s="150" t="s">
        <v>246</v>
      </c>
      <c r="AJ1" s="150" t="s">
        <v>123</v>
      </c>
      <c r="AK1" s="150" t="s">
        <v>124</v>
      </c>
      <c r="AL1" s="150" t="s">
        <v>125</v>
      </c>
      <c r="AM1" s="150" t="s">
        <v>126</v>
      </c>
      <c r="AN1" s="143" t="s">
        <v>247</v>
      </c>
      <c r="AO1" s="139" t="s">
        <v>248</v>
      </c>
      <c r="AP1" s="139" t="s">
        <v>249</v>
      </c>
      <c r="AQ1" s="139" t="s">
        <v>248</v>
      </c>
      <c r="AR1" s="139" t="s">
        <v>250</v>
      </c>
      <c r="AS1" s="139" t="s">
        <v>248</v>
      </c>
      <c r="AT1" s="139" t="s">
        <v>251</v>
      </c>
      <c r="AU1" s="139" t="s">
        <v>248</v>
      </c>
      <c r="AV1" s="139" t="s">
        <v>252</v>
      </c>
      <c r="AW1" s="139" t="s">
        <v>248</v>
      </c>
      <c r="AX1" s="139" t="s">
        <v>253</v>
      </c>
      <c r="AY1" s="139" t="s">
        <v>248</v>
      </c>
      <c r="AZ1" s="139" t="s">
        <v>254</v>
      </c>
      <c r="BA1" s="139" t="s">
        <v>246</v>
      </c>
      <c r="BB1" s="139" t="s">
        <v>255</v>
      </c>
      <c r="BC1" s="139" t="s">
        <v>256</v>
      </c>
      <c r="BD1" s="139" t="s">
        <v>257</v>
      </c>
    </row>
    <row r="2" spans="1:57" s="48" customFormat="1" x14ac:dyDescent="0.15">
      <c r="A2" s="200" t="s">
        <v>354</v>
      </c>
      <c r="B2" s="200">
        <v>1282</v>
      </c>
      <c r="C2" s="200" t="s">
        <v>22</v>
      </c>
      <c r="D2" s="200" t="s">
        <v>106</v>
      </c>
      <c r="E2" s="200" t="s">
        <v>38</v>
      </c>
      <c r="F2" s="200" t="s">
        <v>355</v>
      </c>
      <c r="G2" s="200" t="s">
        <v>106</v>
      </c>
      <c r="H2" s="200" t="s">
        <v>361</v>
      </c>
      <c r="I2" s="200">
        <v>4011953</v>
      </c>
      <c r="J2" s="230">
        <v>31330000</v>
      </c>
      <c r="K2" s="208">
        <v>1</v>
      </c>
      <c r="L2" s="206">
        <v>3</v>
      </c>
      <c r="M2" s="206" t="s">
        <v>27</v>
      </c>
      <c r="N2" s="196">
        <v>44729</v>
      </c>
      <c r="O2" s="195">
        <v>1</v>
      </c>
      <c r="P2" s="240" t="s">
        <v>27</v>
      </c>
      <c r="Q2" s="241" t="s">
        <v>128</v>
      </c>
      <c r="R2" s="242" t="s">
        <v>27</v>
      </c>
      <c r="S2" s="242">
        <v>1.5</v>
      </c>
      <c r="T2" s="242" t="s">
        <v>27</v>
      </c>
      <c r="U2" s="242">
        <v>7</v>
      </c>
      <c r="V2" s="242" t="s">
        <v>27</v>
      </c>
      <c r="W2" s="242">
        <v>4</v>
      </c>
      <c r="X2" s="242" t="s">
        <v>27</v>
      </c>
      <c r="Y2" s="242">
        <v>1.5</v>
      </c>
      <c r="Z2" s="242" t="s">
        <v>27</v>
      </c>
      <c r="AA2" s="242">
        <v>1.5</v>
      </c>
      <c r="AB2" s="242" t="s">
        <v>27</v>
      </c>
      <c r="AC2" s="242">
        <v>1</v>
      </c>
      <c r="AD2" s="103" t="s">
        <v>258</v>
      </c>
      <c r="AE2" s="103"/>
      <c r="AF2" s="104" t="s">
        <v>273</v>
      </c>
      <c r="AG2" s="297" t="s">
        <v>240</v>
      </c>
      <c r="AH2" s="205" t="s">
        <v>260</v>
      </c>
      <c r="AI2" s="194" t="s">
        <v>240</v>
      </c>
      <c r="AJ2" s="106"/>
      <c r="AK2" s="106"/>
      <c r="AL2" s="106"/>
      <c r="AM2" s="106"/>
      <c r="AN2" s="144"/>
      <c r="AO2" s="140"/>
      <c r="AP2" s="140"/>
      <c r="AQ2" s="140"/>
      <c r="AR2" s="140"/>
      <c r="AS2" s="140"/>
      <c r="AT2" s="140"/>
      <c r="AU2" s="140"/>
      <c r="AV2" s="140"/>
      <c r="AW2" s="140"/>
      <c r="AX2" s="140"/>
      <c r="AY2" s="140"/>
      <c r="AZ2" s="140"/>
      <c r="BA2" s="140"/>
      <c r="BB2" s="140" t="s">
        <v>358</v>
      </c>
      <c r="BC2" s="140" t="s">
        <v>264</v>
      </c>
      <c r="BD2" s="140" t="s">
        <v>264</v>
      </c>
    </row>
    <row r="3" spans="1:57" s="48" customFormat="1" x14ac:dyDescent="0.15">
      <c r="A3" s="200" t="s">
        <v>354</v>
      </c>
      <c r="B3" s="200">
        <v>1426</v>
      </c>
      <c r="C3" s="200" t="s">
        <v>29</v>
      </c>
      <c r="D3" s="200" t="s">
        <v>461</v>
      </c>
      <c r="E3" s="200" t="s">
        <v>38</v>
      </c>
      <c r="F3" s="200" t="s">
        <v>462</v>
      </c>
      <c r="G3" s="200" t="s">
        <v>44</v>
      </c>
      <c r="H3" s="200">
        <v>17330</v>
      </c>
      <c r="I3" s="200">
        <v>41313</v>
      </c>
      <c r="J3" s="230">
        <v>11000000</v>
      </c>
      <c r="K3" s="208">
        <v>1</v>
      </c>
      <c r="L3" s="206">
        <v>2</v>
      </c>
      <c r="M3" s="206" t="s">
        <v>27</v>
      </c>
      <c r="N3" s="196">
        <v>44718</v>
      </c>
      <c r="O3" s="195">
        <v>1</v>
      </c>
      <c r="P3" s="261" t="s">
        <v>27</v>
      </c>
      <c r="Q3" s="243" t="s">
        <v>128</v>
      </c>
      <c r="R3" s="262" t="s">
        <v>27</v>
      </c>
      <c r="S3" s="262">
        <v>1</v>
      </c>
      <c r="T3" s="262" t="s">
        <v>27</v>
      </c>
      <c r="U3" s="262">
        <v>3</v>
      </c>
      <c r="V3" s="262" t="s">
        <v>27</v>
      </c>
      <c r="W3" s="262">
        <v>3.5</v>
      </c>
      <c r="X3" s="262" t="s">
        <v>27</v>
      </c>
      <c r="Y3" s="262">
        <v>1</v>
      </c>
      <c r="Z3" s="262" t="s">
        <v>27</v>
      </c>
      <c r="AA3" s="262">
        <v>1.5</v>
      </c>
      <c r="AB3" s="262" t="s">
        <v>27</v>
      </c>
      <c r="AC3" s="262">
        <v>1.5</v>
      </c>
      <c r="AD3" s="103" t="s">
        <v>278</v>
      </c>
      <c r="AE3" s="103"/>
      <c r="AF3" s="104" t="s">
        <v>267</v>
      </c>
      <c r="AG3" s="297" t="s">
        <v>240</v>
      </c>
      <c r="AH3" s="205" t="s">
        <v>268</v>
      </c>
      <c r="AI3" s="194" t="s">
        <v>240</v>
      </c>
      <c r="AJ3" s="106"/>
      <c r="AK3" s="106"/>
      <c r="AL3" s="106"/>
      <c r="AM3" s="106"/>
      <c r="AN3" s="144"/>
      <c r="AO3" s="140"/>
      <c r="AP3" s="140"/>
      <c r="AQ3" s="140"/>
      <c r="AR3" s="140"/>
      <c r="AS3" s="140"/>
      <c r="AT3" s="140"/>
      <c r="AU3" s="140"/>
      <c r="AV3" s="140"/>
      <c r="AW3" s="140"/>
      <c r="AX3" s="140"/>
      <c r="AY3" s="140"/>
      <c r="AZ3" s="140"/>
      <c r="BA3" s="140"/>
      <c r="BB3" s="140" t="s">
        <v>269</v>
      </c>
      <c r="BC3" s="140" t="s">
        <v>264</v>
      </c>
      <c r="BD3" s="140" t="s">
        <v>264</v>
      </c>
    </row>
    <row r="4" spans="1:57" s="48" customFormat="1" x14ac:dyDescent="0.15">
      <c r="A4" s="200" t="s">
        <v>354</v>
      </c>
      <c r="B4" s="200">
        <v>1430</v>
      </c>
      <c r="C4" s="200" t="s">
        <v>29</v>
      </c>
      <c r="D4" s="200" t="s">
        <v>276</v>
      </c>
      <c r="E4" s="200" t="s">
        <v>38</v>
      </c>
      <c r="F4" s="200" t="s">
        <v>463</v>
      </c>
      <c r="G4" s="200" t="s">
        <v>44</v>
      </c>
      <c r="H4" s="200">
        <v>31330</v>
      </c>
      <c r="I4" s="200">
        <v>17190</v>
      </c>
      <c r="J4" s="42">
        <v>11000000</v>
      </c>
      <c r="K4" s="208">
        <v>1</v>
      </c>
      <c r="L4" s="206">
        <v>2</v>
      </c>
      <c r="M4" s="206" t="s">
        <v>27</v>
      </c>
      <c r="N4" s="196">
        <v>44722</v>
      </c>
      <c r="O4" s="195">
        <v>1</v>
      </c>
      <c r="P4" s="261" t="s">
        <v>27</v>
      </c>
      <c r="Q4" s="243" t="s">
        <v>128</v>
      </c>
      <c r="R4" s="262" t="s">
        <v>27</v>
      </c>
      <c r="S4" s="262">
        <v>1.5</v>
      </c>
      <c r="T4" s="262" t="s">
        <v>27</v>
      </c>
      <c r="U4" s="262">
        <v>3.5</v>
      </c>
      <c r="V4" s="262" t="s">
        <v>27</v>
      </c>
      <c r="W4" s="262">
        <v>3.5</v>
      </c>
      <c r="X4" s="262" t="s">
        <v>27</v>
      </c>
      <c r="Y4" s="262">
        <v>1</v>
      </c>
      <c r="Z4" s="262" t="s">
        <v>27</v>
      </c>
      <c r="AA4" s="262">
        <v>1.5</v>
      </c>
      <c r="AB4" s="262" t="s">
        <v>27</v>
      </c>
      <c r="AC4" s="262">
        <v>1</v>
      </c>
      <c r="AD4" s="103" t="s">
        <v>266</v>
      </c>
      <c r="AE4" s="103" t="s">
        <v>240</v>
      </c>
      <c r="AF4" s="104" t="s">
        <v>267</v>
      </c>
      <c r="AG4" s="297" t="s">
        <v>240</v>
      </c>
      <c r="AH4" s="228" t="s">
        <v>268</v>
      </c>
      <c r="AI4" s="194" t="s">
        <v>240</v>
      </c>
      <c r="AJ4" s="106"/>
      <c r="AK4" s="106"/>
      <c r="AL4" s="106"/>
      <c r="AM4" s="106"/>
      <c r="AN4" s="144"/>
      <c r="AO4" s="140"/>
      <c r="AP4" s="140"/>
      <c r="AQ4" s="140"/>
      <c r="AR4" s="140"/>
      <c r="AS4" s="140"/>
      <c r="AT4" s="140"/>
      <c r="AU4" s="140"/>
      <c r="AV4" s="140"/>
      <c r="AW4" s="140"/>
      <c r="AX4" s="140"/>
      <c r="AY4" s="140"/>
      <c r="AZ4" s="140"/>
      <c r="BA4" s="140"/>
      <c r="BB4" s="140" t="s">
        <v>269</v>
      </c>
      <c r="BC4" s="140" t="s">
        <v>264</v>
      </c>
      <c r="BD4" s="140" t="s">
        <v>264</v>
      </c>
    </row>
    <row r="5" spans="1:57" s="48" customFormat="1" x14ac:dyDescent="0.15">
      <c r="A5" s="200" t="s">
        <v>354</v>
      </c>
      <c r="B5" s="200">
        <v>1436</v>
      </c>
      <c r="C5" s="200" t="s">
        <v>29</v>
      </c>
      <c r="D5" s="200" t="s">
        <v>464</v>
      </c>
      <c r="E5" s="200" t="s">
        <v>38</v>
      </c>
      <c r="F5" s="200" t="s">
        <v>465</v>
      </c>
      <c r="G5" s="200" t="s">
        <v>466</v>
      </c>
      <c r="H5" s="200" t="s">
        <v>467</v>
      </c>
      <c r="I5" s="200" t="s">
        <v>467</v>
      </c>
      <c r="J5" s="42">
        <v>7000000</v>
      </c>
      <c r="K5" s="208">
        <v>1</v>
      </c>
      <c r="L5" s="206">
        <v>5</v>
      </c>
      <c r="M5" s="206" t="s">
        <v>27</v>
      </c>
      <c r="N5" s="196">
        <v>44753</v>
      </c>
      <c r="O5" s="195">
        <v>1</v>
      </c>
      <c r="P5" s="261" t="s">
        <v>27</v>
      </c>
      <c r="Q5" s="243" t="s">
        <v>128</v>
      </c>
      <c r="R5" s="262" t="s">
        <v>27</v>
      </c>
      <c r="S5" s="262">
        <v>1.5</v>
      </c>
      <c r="T5" s="262" t="s">
        <v>27</v>
      </c>
      <c r="U5" s="262">
        <v>1.5</v>
      </c>
      <c r="V5" s="262" t="s">
        <v>27</v>
      </c>
      <c r="W5" s="262">
        <v>4.5</v>
      </c>
      <c r="X5" s="262" t="s">
        <v>27</v>
      </c>
      <c r="Y5" s="262">
        <v>1</v>
      </c>
      <c r="Z5" s="262" t="s">
        <v>27</v>
      </c>
      <c r="AA5" s="262">
        <v>2</v>
      </c>
      <c r="AB5" s="262" t="s">
        <v>27</v>
      </c>
      <c r="AC5" s="244" t="s">
        <v>128</v>
      </c>
      <c r="AD5" s="103" t="s">
        <v>467</v>
      </c>
      <c r="AE5" s="103" t="s">
        <v>468</v>
      </c>
      <c r="AF5" s="104" t="s">
        <v>283</v>
      </c>
      <c r="AG5" s="297"/>
      <c r="AH5" s="228" t="s">
        <v>469</v>
      </c>
      <c r="AI5" s="194" t="s">
        <v>240</v>
      </c>
      <c r="AJ5" s="106"/>
      <c r="AK5" s="106"/>
      <c r="AL5" s="106"/>
      <c r="AM5" s="106"/>
      <c r="AN5" s="144"/>
      <c r="AO5" s="140"/>
      <c r="AP5" s="140"/>
      <c r="AQ5" s="140"/>
      <c r="AR5" s="140"/>
      <c r="AS5" s="140"/>
      <c r="AT5" s="140"/>
      <c r="AU5" s="140"/>
      <c r="AV5" s="140"/>
      <c r="AW5" s="140"/>
      <c r="AX5" s="140"/>
      <c r="AY5" s="140"/>
      <c r="AZ5" s="140"/>
      <c r="BA5" s="140"/>
      <c r="BB5" s="140" t="s">
        <v>291</v>
      </c>
      <c r="BC5" s="140" t="s">
        <v>264</v>
      </c>
      <c r="BD5" s="140" t="s">
        <v>264</v>
      </c>
    </row>
    <row r="6" spans="1:57" s="48" customFormat="1" x14ac:dyDescent="0.15">
      <c r="A6" s="200" t="s">
        <v>354</v>
      </c>
      <c r="B6" s="200">
        <v>1429</v>
      </c>
      <c r="C6" s="200" t="s">
        <v>29</v>
      </c>
      <c r="D6" s="200" t="s">
        <v>276</v>
      </c>
      <c r="E6" s="200" t="s">
        <v>38</v>
      </c>
      <c r="F6" s="200" t="s">
        <v>470</v>
      </c>
      <c r="G6" s="200" t="s">
        <v>44</v>
      </c>
      <c r="H6" s="200">
        <v>31330</v>
      </c>
      <c r="I6" s="200">
        <v>16468</v>
      </c>
      <c r="J6" s="230">
        <v>11000000</v>
      </c>
      <c r="K6" s="208">
        <v>1</v>
      </c>
      <c r="L6" s="206">
        <v>5</v>
      </c>
      <c r="M6" s="206" t="s">
        <v>27</v>
      </c>
      <c r="N6" s="196">
        <v>44742</v>
      </c>
      <c r="O6" s="195">
        <v>1</v>
      </c>
      <c r="P6" s="261" t="s">
        <v>27</v>
      </c>
      <c r="Q6" s="243" t="s">
        <v>128</v>
      </c>
      <c r="R6" s="262" t="s">
        <v>27</v>
      </c>
      <c r="S6" s="262">
        <v>1.5</v>
      </c>
      <c r="T6" s="262" t="s">
        <v>27</v>
      </c>
      <c r="U6" s="262">
        <v>2.5</v>
      </c>
      <c r="V6" s="262" t="s">
        <v>27</v>
      </c>
      <c r="W6" s="262">
        <v>2</v>
      </c>
      <c r="X6" s="262" t="s">
        <v>27</v>
      </c>
      <c r="Y6" s="262">
        <v>1</v>
      </c>
      <c r="Z6" s="262" t="s">
        <v>27</v>
      </c>
      <c r="AA6" s="262">
        <v>1.5</v>
      </c>
      <c r="AB6" s="262" t="s">
        <v>27</v>
      </c>
      <c r="AC6" s="262">
        <v>1.5</v>
      </c>
      <c r="AD6" s="103" t="s">
        <v>278</v>
      </c>
      <c r="AE6" s="103" t="s">
        <v>468</v>
      </c>
      <c r="AF6" s="104" t="s">
        <v>283</v>
      </c>
      <c r="AG6" s="297"/>
      <c r="AH6" s="228" t="s">
        <v>268</v>
      </c>
      <c r="AI6" s="194" t="s">
        <v>240</v>
      </c>
      <c r="AJ6" s="106"/>
      <c r="AK6" s="106"/>
      <c r="AL6" s="106"/>
      <c r="AM6" s="106"/>
      <c r="AN6" s="144"/>
      <c r="AO6" s="140"/>
      <c r="AP6" s="140"/>
      <c r="AQ6" s="140"/>
      <c r="AR6" s="140"/>
      <c r="AS6" s="140"/>
      <c r="AT6" s="140"/>
      <c r="AU6" s="140"/>
      <c r="AV6" s="140"/>
      <c r="AW6" s="140"/>
      <c r="AX6" s="140"/>
      <c r="AY6" s="140"/>
      <c r="AZ6" s="140"/>
      <c r="BA6" s="140"/>
      <c r="BB6" s="140" t="s">
        <v>269</v>
      </c>
      <c r="BC6" s="140" t="s">
        <v>264</v>
      </c>
      <c r="BD6" s="140" t="s">
        <v>264</v>
      </c>
    </row>
    <row r="7" spans="1:57" s="48" customFormat="1" x14ac:dyDescent="0.15">
      <c r="A7" s="200" t="s">
        <v>354</v>
      </c>
      <c r="B7" s="200">
        <v>1431</v>
      </c>
      <c r="C7" s="200" t="s">
        <v>29</v>
      </c>
      <c r="D7" s="233" t="s">
        <v>471</v>
      </c>
      <c r="E7" s="200" t="s">
        <v>66</v>
      </c>
      <c r="F7" s="200" t="s">
        <v>472</v>
      </c>
      <c r="G7" s="200" t="s">
        <v>147</v>
      </c>
      <c r="H7" s="200" t="s">
        <v>402</v>
      </c>
      <c r="I7" s="200">
        <v>6581</v>
      </c>
      <c r="J7" s="230">
        <v>25739600</v>
      </c>
      <c r="K7" s="201">
        <v>1</v>
      </c>
      <c r="L7" s="206">
        <v>5</v>
      </c>
      <c r="M7" s="198" t="s">
        <v>27</v>
      </c>
      <c r="N7" s="196">
        <v>44742</v>
      </c>
      <c r="O7" s="195">
        <v>1</v>
      </c>
      <c r="P7" s="261" t="s">
        <v>27</v>
      </c>
      <c r="Q7" s="243" t="s">
        <v>128</v>
      </c>
      <c r="R7" s="262" t="s">
        <v>27</v>
      </c>
      <c r="S7" s="262">
        <v>1</v>
      </c>
      <c r="T7" s="262" t="s">
        <v>27</v>
      </c>
      <c r="U7" s="262">
        <v>3.5</v>
      </c>
      <c r="V7" s="262" t="s">
        <v>27</v>
      </c>
      <c r="W7" s="262">
        <v>4</v>
      </c>
      <c r="X7" s="262" t="s">
        <v>27</v>
      </c>
      <c r="Y7" s="262">
        <v>1.5</v>
      </c>
      <c r="Z7" s="262" t="s">
        <v>27</v>
      </c>
      <c r="AA7" s="262" t="s">
        <v>473</v>
      </c>
      <c r="AB7" s="262" t="s">
        <v>27</v>
      </c>
      <c r="AC7" s="244" t="s">
        <v>128</v>
      </c>
      <c r="AD7" s="103"/>
      <c r="AE7" s="103"/>
      <c r="AF7" s="104"/>
      <c r="AG7" s="297"/>
      <c r="AH7" s="228"/>
      <c r="AI7" s="194"/>
      <c r="AJ7" s="106"/>
      <c r="AK7" s="106"/>
      <c r="AL7" s="106"/>
      <c r="AM7" s="106"/>
      <c r="AN7" s="144"/>
      <c r="AO7" s="140"/>
      <c r="AP7" s="140"/>
      <c r="AQ7" s="140"/>
      <c r="AR7" s="140"/>
      <c r="AS7" s="140"/>
      <c r="AT7" s="140"/>
      <c r="AU7" s="140"/>
      <c r="AV7" s="140"/>
      <c r="AW7" s="140"/>
      <c r="AX7" s="140"/>
      <c r="AY7" s="140"/>
      <c r="AZ7" s="140"/>
      <c r="BA7" s="140"/>
      <c r="BB7" s="140" t="s">
        <v>291</v>
      </c>
      <c r="BC7" s="140" t="s">
        <v>264</v>
      </c>
      <c r="BD7" s="140" t="s">
        <v>264</v>
      </c>
    </row>
    <row r="8" spans="1:57" s="48" customFormat="1" x14ac:dyDescent="0.15">
      <c r="A8" s="200" t="s">
        <v>354</v>
      </c>
      <c r="B8" s="200">
        <v>1425</v>
      </c>
      <c r="C8" s="200" t="s">
        <v>29</v>
      </c>
      <c r="D8" s="200" t="s">
        <v>474</v>
      </c>
      <c r="E8" s="200" t="s">
        <v>66</v>
      </c>
      <c r="F8" s="200" t="s">
        <v>472</v>
      </c>
      <c r="G8" s="200" t="s">
        <v>147</v>
      </c>
      <c r="H8" s="200" t="s">
        <v>402</v>
      </c>
      <c r="I8" s="200">
        <v>6458</v>
      </c>
      <c r="J8" s="230">
        <v>16975000</v>
      </c>
      <c r="K8" s="201">
        <v>1</v>
      </c>
      <c r="L8" s="206">
        <v>5</v>
      </c>
      <c r="M8" s="198" t="s">
        <v>27</v>
      </c>
      <c r="N8" s="196">
        <v>44742</v>
      </c>
      <c r="O8" s="195">
        <v>1</v>
      </c>
      <c r="P8" s="261" t="s">
        <v>27</v>
      </c>
      <c r="Q8" s="243" t="s">
        <v>128</v>
      </c>
      <c r="R8" s="262" t="s">
        <v>27</v>
      </c>
      <c r="S8" s="262">
        <v>1</v>
      </c>
      <c r="T8" s="262" t="s">
        <v>27</v>
      </c>
      <c r="U8" s="262">
        <v>3</v>
      </c>
      <c r="V8" s="262" t="s">
        <v>27</v>
      </c>
      <c r="W8" s="262">
        <v>6.5</v>
      </c>
      <c r="X8" s="262" t="s">
        <v>27</v>
      </c>
      <c r="Y8" s="262">
        <v>1.5</v>
      </c>
      <c r="Z8" s="262" t="s">
        <v>27</v>
      </c>
      <c r="AA8" s="262">
        <v>7.5</v>
      </c>
      <c r="AB8" s="262" t="s">
        <v>27</v>
      </c>
      <c r="AC8" s="244" t="s">
        <v>128</v>
      </c>
      <c r="AD8" s="103"/>
      <c r="AE8" s="103"/>
      <c r="AF8" s="104"/>
      <c r="AG8" s="297"/>
      <c r="AH8" s="228"/>
      <c r="AI8" s="194"/>
      <c r="AJ8" s="106"/>
      <c r="AK8" s="106"/>
      <c r="AL8" s="106"/>
      <c r="AM8" s="106"/>
      <c r="AN8" s="144"/>
      <c r="AO8" s="140"/>
      <c r="AP8" s="140"/>
      <c r="AQ8" s="140"/>
      <c r="AR8" s="140"/>
      <c r="AS8" s="140"/>
      <c r="AT8" s="140"/>
      <c r="AU8" s="140"/>
      <c r="AV8" s="140"/>
      <c r="AW8" s="140"/>
      <c r="AX8" s="140"/>
      <c r="AY8" s="140"/>
      <c r="AZ8" s="140"/>
      <c r="BA8" s="140"/>
      <c r="BB8" s="140" t="s">
        <v>291</v>
      </c>
      <c r="BC8" s="140" t="s">
        <v>264</v>
      </c>
      <c r="BD8" s="140" t="s">
        <v>264</v>
      </c>
    </row>
    <row r="9" spans="1:57" s="48" customFormat="1" x14ac:dyDescent="0.2">
      <c r="A9" s="200" t="s">
        <v>354</v>
      </c>
      <c r="B9" s="200">
        <v>1178</v>
      </c>
      <c r="C9" s="200" t="s">
        <v>22</v>
      </c>
      <c r="D9" s="200" t="s">
        <v>37</v>
      </c>
      <c r="E9" s="200" t="s">
        <v>31</v>
      </c>
      <c r="F9" s="200" t="s">
        <v>475</v>
      </c>
      <c r="G9" s="200" t="s">
        <v>68</v>
      </c>
      <c r="H9" s="200" t="s">
        <v>379</v>
      </c>
      <c r="I9" s="200">
        <v>7101138</v>
      </c>
      <c r="J9" s="230">
        <v>17200000</v>
      </c>
      <c r="K9" s="201">
        <v>1</v>
      </c>
      <c r="L9" s="206">
        <v>3</v>
      </c>
      <c r="M9" s="206" t="s">
        <v>27</v>
      </c>
      <c r="N9" s="196">
        <v>44727</v>
      </c>
      <c r="O9" s="195">
        <v>1</v>
      </c>
      <c r="P9" s="261" t="s">
        <v>27</v>
      </c>
      <c r="Q9" s="243" t="s">
        <v>128</v>
      </c>
      <c r="R9" s="262" t="s">
        <v>27</v>
      </c>
      <c r="S9" s="262">
        <v>1</v>
      </c>
      <c r="T9" s="262" t="s">
        <v>27</v>
      </c>
      <c r="U9" s="262">
        <v>6.5</v>
      </c>
      <c r="V9" s="262" t="s">
        <v>27</v>
      </c>
      <c r="W9" s="262">
        <v>7</v>
      </c>
      <c r="X9" s="262" t="s">
        <v>27</v>
      </c>
      <c r="Y9" s="262">
        <v>1.5</v>
      </c>
      <c r="Z9" s="262" t="s">
        <v>27</v>
      </c>
      <c r="AA9" s="262">
        <v>8</v>
      </c>
      <c r="AB9" s="262" t="s">
        <v>27</v>
      </c>
      <c r="AC9" s="262">
        <v>2</v>
      </c>
      <c r="AD9" s="103" t="s">
        <v>266</v>
      </c>
      <c r="AE9" s="103" t="s">
        <v>240</v>
      </c>
      <c r="AF9" s="104" t="s">
        <v>476</v>
      </c>
      <c r="AG9" s="297" t="s">
        <v>240</v>
      </c>
      <c r="AH9" s="205" t="s">
        <v>365</v>
      </c>
      <c r="AI9" s="194"/>
      <c r="AJ9" s="106"/>
      <c r="AK9" s="106"/>
      <c r="AL9" s="106"/>
      <c r="AM9" s="106"/>
      <c r="AN9" s="144" t="s">
        <v>391</v>
      </c>
      <c r="AO9" s="140" t="s">
        <v>264</v>
      </c>
      <c r="AP9" s="140" t="s">
        <v>477</v>
      </c>
      <c r="AQ9" s="140" t="s">
        <v>264</v>
      </c>
      <c r="AR9" s="140" t="s">
        <v>372</v>
      </c>
      <c r="AS9" s="140" t="s">
        <v>264</v>
      </c>
      <c r="AT9" s="140" t="s">
        <v>478</v>
      </c>
      <c r="AU9" s="140" t="s">
        <v>264</v>
      </c>
      <c r="AV9" s="140" t="s">
        <v>479</v>
      </c>
      <c r="AW9" s="140" t="s">
        <v>381</v>
      </c>
      <c r="AX9" s="140" t="s">
        <v>480</v>
      </c>
      <c r="AY9" s="140" t="s">
        <v>381</v>
      </c>
      <c r="AZ9" s="140" t="s">
        <v>481</v>
      </c>
      <c r="BA9" s="140" t="s">
        <v>388</v>
      </c>
      <c r="BB9" s="140" t="s">
        <v>291</v>
      </c>
      <c r="BC9" s="140" t="s">
        <v>264</v>
      </c>
      <c r="BD9" s="140" t="s">
        <v>264</v>
      </c>
      <c r="BE9" s="148"/>
    </row>
    <row r="10" spans="1:57" s="48" customFormat="1" x14ac:dyDescent="0.15">
      <c r="A10" s="200" t="s">
        <v>354</v>
      </c>
      <c r="B10" s="200">
        <v>1434</v>
      </c>
      <c r="C10" s="200" t="s">
        <v>29</v>
      </c>
      <c r="D10" s="200" t="s">
        <v>482</v>
      </c>
      <c r="E10" s="200" t="s">
        <v>24</v>
      </c>
      <c r="F10" s="200" t="s">
        <v>483</v>
      </c>
      <c r="G10" s="200" t="s">
        <v>44</v>
      </c>
      <c r="H10" s="200">
        <v>17230</v>
      </c>
      <c r="I10" s="200">
        <v>15906</v>
      </c>
      <c r="J10" s="230">
        <v>19300000</v>
      </c>
      <c r="K10" s="201">
        <v>1</v>
      </c>
      <c r="L10" s="206">
        <v>5</v>
      </c>
      <c r="M10" s="206" t="s">
        <v>27</v>
      </c>
      <c r="N10" s="196">
        <v>44746</v>
      </c>
      <c r="O10" s="195">
        <v>1</v>
      </c>
      <c r="P10" s="261" t="s">
        <v>27</v>
      </c>
      <c r="Q10" s="243" t="s">
        <v>128</v>
      </c>
      <c r="R10" s="262" t="s">
        <v>27</v>
      </c>
      <c r="S10" s="262">
        <v>1</v>
      </c>
      <c r="T10" s="262" t="s">
        <v>27</v>
      </c>
      <c r="U10" s="262">
        <v>5</v>
      </c>
      <c r="V10" s="262" t="s">
        <v>27</v>
      </c>
      <c r="W10" s="262">
        <v>4.5</v>
      </c>
      <c r="X10" s="262" t="s">
        <v>27</v>
      </c>
      <c r="Y10" s="262">
        <v>1</v>
      </c>
      <c r="Z10" s="262" t="s">
        <v>27</v>
      </c>
      <c r="AA10" s="262">
        <v>6</v>
      </c>
      <c r="AB10" s="262" t="s">
        <v>27</v>
      </c>
      <c r="AC10" s="262">
        <v>3</v>
      </c>
      <c r="AD10" s="103"/>
      <c r="AE10" s="103"/>
      <c r="AF10" s="104"/>
      <c r="AG10" s="297"/>
      <c r="AH10" s="205"/>
      <c r="AI10" s="194"/>
      <c r="AJ10" s="106"/>
      <c r="AK10" s="106"/>
      <c r="AL10" s="106"/>
      <c r="AM10" s="106"/>
      <c r="AN10" s="144"/>
      <c r="AO10" s="140"/>
      <c r="AP10" s="140"/>
      <c r="AQ10" s="140"/>
      <c r="AR10" s="140"/>
      <c r="AS10" s="140"/>
      <c r="AT10" s="140"/>
      <c r="AU10" s="140"/>
      <c r="AV10" s="140"/>
      <c r="AW10" s="140"/>
      <c r="AX10" s="140"/>
      <c r="AY10" s="140"/>
      <c r="AZ10" s="140"/>
      <c r="BA10" s="140"/>
      <c r="BB10" s="140" t="s">
        <v>484</v>
      </c>
      <c r="BC10" s="140" t="s">
        <v>264</v>
      </c>
      <c r="BD10" s="140" t="s">
        <v>264</v>
      </c>
    </row>
    <row r="11" spans="1:57" s="48" customFormat="1" x14ac:dyDescent="0.15">
      <c r="A11" s="200" t="s">
        <v>354</v>
      </c>
      <c r="B11" s="200">
        <v>1238</v>
      </c>
      <c r="C11" s="200" t="s">
        <v>22</v>
      </c>
      <c r="D11" s="200" t="s">
        <v>37</v>
      </c>
      <c r="E11" s="200" t="s">
        <v>24</v>
      </c>
      <c r="F11" s="200" t="s">
        <v>485</v>
      </c>
      <c r="G11" s="200" t="s">
        <v>60</v>
      </c>
      <c r="H11" s="200" t="s">
        <v>486</v>
      </c>
      <c r="I11" s="200">
        <v>1099</v>
      </c>
      <c r="J11" s="230">
        <v>21500000</v>
      </c>
      <c r="K11" s="201">
        <v>1</v>
      </c>
      <c r="L11" s="206">
        <v>2</v>
      </c>
      <c r="M11" s="206" t="s">
        <v>27</v>
      </c>
      <c r="N11" s="196">
        <v>44718</v>
      </c>
      <c r="O11" s="195">
        <v>1</v>
      </c>
      <c r="P11" s="261" t="s">
        <v>27</v>
      </c>
      <c r="Q11" s="243" t="s">
        <v>128</v>
      </c>
      <c r="R11" s="262" t="s">
        <v>27</v>
      </c>
      <c r="S11" s="262">
        <v>2</v>
      </c>
      <c r="T11" s="262" t="s">
        <v>27</v>
      </c>
      <c r="U11" s="262">
        <v>7</v>
      </c>
      <c r="V11" s="262" t="s">
        <v>27</v>
      </c>
      <c r="W11" s="262">
        <v>5.5</v>
      </c>
      <c r="X11" s="262" t="s">
        <v>27</v>
      </c>
      <c r="Y11" s="262">
        <v>1</v>
      </c>
      <c r="Z11" s="262" t="s">
        <v>27</v>
      </c>
      <c r="AA11" s="262">
        <v>4</v>
      </c>
      <c r="AB11" s="262" t="s">
        <v>27</v>
      </c>
      <c r="AC11" s="262">
        <v>3</v>
      </c>
      <c r="AD11" s="103" t="s">
        <v>258</v>
      </c>
      <c r="AE11" s="103" t="s">
        <v>487</v>
      </c>
      <c r="AF11" s="104" t="s">
        <v>283</v>
      </c>
      <c r="AG11" s="297" t="s">
        <v>240</v>
      </c>
      <c r="AH11" s="205" t="s">
        <v>365</v>
      </c>
      <c r="AI11" s="194"/>
      <c r="AJ11" s="106"/>
      <c r="AK11" s="106"/>
      <c r="AL11" s="106"/>
      <c r="AM11" s="106"/>
      <c r="AN11" s="144"/>
      <c r="AO11" s="140"/>
      <c r="AP11" s="140"/>
      <c r="AQ11" s="140"/>
      <c r="AR11" s="140"/>
      <c r="AS11" s="140"/>
      <c r="AT11" s="140"/>
      <c r="AU11" s="140"/>
      <c r="AV11" s="140"/>
      <c r="AW11" s="140"/>
      <c r="AX11" s="140"/>
      <c r="AY11" s="140"/>
      <c r="AZ11" s="140"/>
      <c r="BA11" s="140"/>
      <c r="BB11" s="140" t="s">
        <v>358</v>
      </c>
      <c r="BC11" s="140" t="s">
        <v>264</v>
      </c>
      <c r="BD11" s="140" t="s">
        <v>264</v>
      </c>
    </row>
    <row r="12" spans="1:57" s="48" customFormat="1" x14ac:dyDescent="0.15">
      <c r="A12" s="200" t="s">
        <v>354</v>
      </c>
      <c r="B12" s="200">
        <v>1322</v>
      </c>
      <c r="C12" s="200" t="s">
        <v>22</v>
      </c>
      <c r="D12" s="200" t="s">
        <v>276</v>
      </c>
      <c r="E12" s="200" t="s">
        <v>31</v>
      </c>
      <c r="F12" s="200" t="s">
        <v>475</v>
      </c>
      <c r="G12" s="200" t="s">
        <v>147</v>
      </c>
      <c r="H12" s="200" t="s">
        <v>404</v>
      </c>
      <c r="I12" s="200">
        <v>112950</v>
      </c>
      <c r="J12" s="230">
        <v>17300000</v>
      </c>
      <c r="K12" s="201">
        <v>1</v>
      </c>
      <c r="L12" s="206">
        <v>5</v>
      </c>
      <c r="M12" s="206" t="s">
        <v>27</v>
      </c>
      <c r="N12" s="196">
        <v>44755</v>
      </c>
      <c r="O12" s="195">
        <v>1</v>
      </c>
      <c r="P12" s="261" t="s">
        <v>27</v>
      </c>
      <c r="Q12" s="243" t="s">
        <v>128</v>
      </c>
      <c r="R12" s="262" t="s">
        <v>27</v>
      </c>
      <c r="S12" s="262">
        <v>1.5</v>
      </c>
      <c r="T12" s="262" t="s">
        <v>27</v>
      </c>
      <c r="U12" s="262">
        <v>5</v>
      </c>
      <c r="V12" s="262" t="s">
        <v>27</v>
      </c>
      <c r="W12" s="262">
        <v>6.5</v>
      </c>
      <c r="X12" s="262" t="s">
        <v>27</v>
      </c>
      <c r="Y12" s="262">
        <v>1</v>
      </c>
      <c r="Z12" s="262" t="s">
        <v>27</v>
      </c>
      <c r="AA12" s="244" t="s">
        <v>128</v>
      </c>
      <c r="AB12" s="262" t="s">
        <v>27</v>
      </c>
      <c r="AC12" s="244" t="s">
        <v>128</v>
      </c>
      <c r="AD12" s="103"/>
      <c r="AE12" s="103"/>
      <c r="AF12" s="104"/>
      <c r="AG12" s="297"/>
      <c r="AH12" s="205"/>
      <c r="AI12" s="194"/>
      <c r="AJ12" s="106"/>
      <c r="AK12" s="106"/>
      <c r="AL12" s="106"/>
      <c r="AM12" s="106"/>
      <c r="AN12" s="144"/>
      <c r="AO12" s="140"/>
      <c r="AP12" s="140"/>
      <c r="AQ12" s="140"/>
      <c r="AR12" s="140"/>
      <c r="AS12" s="140"/>
      <c r="AT12" s="140"/>
      <c r="AU12" s="140"/>
      <c r="AV12" s="140"/>
      <c r="AW12" s="140"/>
      <c r="AX12" s="140"/>
      <c r="AY12" s="140"/>
      <c r="AZ12" s="140"/>
      <c r="BA12" s="140"/>
      <c r="BB12" s="140" t="s">
        <v>269</v>
      </c>
      <c r="BC12" s="140" t="s">
        <v>264</v>
      </c>
      <c r="BD12" s="140" t="s">
        <v>264</v>
      </c>
    </row>
    <row r="13" spans="1:57" s="48" customFormat="1" x14ac:dyDescent="0.2">
      <c r="A13" s="200" t="s">
        <v>354</v>
      </c>
      <c r="B13" s="200">
        <v>1269</v>
      </c>
      <c r="C13" s="200" t="s">
        <v>22</v>
      </c>
      <c r="D13" s="200" t="s">
        <v>488</v>
      </c>
      <c r="E13" s="200" t="s">
        <v>24</v>
      </c>
      <c r="F13" s="200" t="s">
        <v>25</v>
      </c>
      <c r="G13" s="200" t="s">
        <v>23</v>
      </c>
      <c r="H13" s="200" t="s">
        <v>26</v>
      </c>
      <c r="I13" s="200">
        <v>181344</v>
      </c>
      <c r="J13" s="230">
        <v>21000000</v>
      </c>
      <c r="K13" s="201">
        <v>1</v>
      </c>
      <c r="L13" s="206">
        <v>4</v>
      </c>
      <c r="M13" s="206" t="s">
        <v>27</v>
      </c>
      <c r="N13" s="196">
        <v>44735</v>
      </c>
      <c r="O13" s="195">
        <v>1</v>
      </c>
      <c r="P13" s="261" t="s">
        <v>27</v>
      </c>
      <c r="Q13" s="243" t="s">
        <v>128</v>
      </c>
      <c r="R13" s="262" t="s">
        <v>27</v>
      </c>
      <c r="S13" s="262">
        <v>1.5</v>
      </c>
      <c r="T13" s="262" t="s">
        <v>27</v>
      </c>
      <c r="U13" s="262">
        <v>5.5</v>
      </c>
      <c r="V13" s="262" t="s">
        <v>27</v>
      </c>
      <c r="W13" s="262">
        <v>4.5</v>
      </c>
      <c r="X13" s="262" t="s">
        <v>27</v>
      </c>
      <c r="Y13" s="262">
        <v>2</v>
      </c>
      <c r="Z13" s="262" t="s">
        <v>27</v>
      </c>
      <c r="AA13" s="262">
        <v>5.5</v>
      </c>
      <c r="AB13" s="262" t="s">
        <v>27</v>
      </c>
      <c r="AC13" s="262">
        <v>2</v>
      </c>
      <c r="AD13" s="103" t="s">
        <v>258</v>
      </c>
      <c r="AE13" s="103" t="s">
        <v>240</v>
      </c>
      <c r="AF13" s="104" t="s">
        <v>283</v>
      </c>
      <c r="AG13" s="297" t="s">
        <v>240</v>
      </c>
      <c r="AH13" s="205"/>
      <c r="AI13" s="194"/>
      <c r="AJ13" s="106"/>
      <c r="AK13" s="106"/>
      <c r="AL13" s="106"/>
      <c r="AM13" s="106"/>
      <c r="AN13" s="144"/>
      <c r="AO13" s="140"/>
      <c r="AP13" s="140"/>
      <c r="AQ13" s="140"/>
      <c r="AR13" s="140"/>
      <c r="AS13" s="140"/>
      <c r="AT13" s="140"/>
      <c r="AU13" s="140"/>
      <c r="AV13" s="140"/>
      <c r="AW13" s="140"/>
      <c r="AX13" s="140"/>
      <c r="AY13" s="140"/>
      <c r="AZ13" s="140"/>
      <c r="BA13" s="140"/>
      <c r="BB13" s="140" t="s">
        <v>358</v>
      </c>
      <c r="BC13" s="140" t="s">
        <v>264</v>
      </c>
      <c r="BD13" s="140" t="s">
        <v>264</v>
      </c>
      <c r="BE13" s="148"/>
    </row>
    <row r="14" spans="1:57" s="48" customFormat="1" x14ac:dyDescent="0.15">
      <c r="A14" s="200" t="s">
        <v>354</v>
      </c>
      <c r="B14" s="200">
        <v>1155</v>
      </c>
      <c r="C14" s="200" t="s">
        <v>22</v>
      </c>
      <c r="D14" s="200" t="s">
        <v>489</v>
      </c>
      <c r="E14" s="200" t="s">
        <v>46</v>
      </c>
      <c r="F14" s="200" t="s">
        <v>139</v>
      </c>
      <c r="G14" s="200" t="s">
        <v>33</v>
      </c>
      <c r="H14" s="200">
        <v>3342</v>
      </c>
      <c r="I14" s="200">
        <v>535861</v>
      </c>
      <c r="J14" s="230"/>
      <c r="K14" s="201">
        <v>1</v>
      </c>
      <c r="L14" s="206">
        <v>5</v>
      </c>
      <c r="M14" s="206" t="s">
        <v>27</v>
      </c>
      <c r="N14" s="196">
        <v>44742</v>
      </c>
      <c r="O14" s="195">
        <v>1</v>
      </c>
      <c r="P14" s="261" t="s">
        <v>27</v>
      </c>
      <c r="Q14" s="243" t="s">
        <v>128</v>
      </c>
      <c r="R14" s="262" t="s">
        <v>27</v>
      </c>
      <c r="S14" s="262">
        <v>1</v>
      </c>
      <c r="T14" s="262" t="s">
        <v>27</v>
      </c>
      <c r="U14" s="244" t="s">
        <v>128</v>
      </c>
      <c r="V14" s="262" t="s">
        <v>27</v>
      </c>
      <c r="W14" s="244" t="s">
        <v>128</v>
      </c>
      <c r="X14" s="262" t="s">
        <v>27</v>
      </c>
      <c r="Y14" s="244" t="s">
        <v>128</v>
      </c>
      <c r="Z14" s="262" t="s">
        <v>27</v>
      </c>
      <c r="AA14" s="244" t="s">
        <v>128</v>
      </c>
      <c r="AB14" s="262" t="s">
        <v>27</v>
      </c>
      <c r="AC14" s="262">
        <v>6.5</v>
      </c>
      <c r="AD14" s="103"/>
      <c r="AE14" s="103"/>
      <c r="AF14" s="104"/>
      <c r="AG14" s="297"/>
      <c r="AH14" s="205"/>
      <c r="AI14" s="194"/>
      <c r="AJ14" s="106"/>
      <c r="AK14" s="106"/>
      <c r="AL14" s="106"/>
      <c r="AM14" s="106"/>
      <c r="AN14" s="144"/>
      <c r="AO14" s="140"/>
      <c r="AP14" s="140"/>
      <c r="AQ14" s="140"/>
      <c r="AR14" s="140"/>
      <c r="AS14" s="140"/>
      <c r="AT14" s="140"/>
      <c r="AU14" s="140"/>
      <c r="AV14" s="140"/>
      <c r="AW14" s="140"/>
      <c r="AX14" s="140"/>
      <c r="AY14" s="140"/>
      <c r="AZ14" s="140"/>
      <c r="BA14" s="140"/>
      <c r="BB14" s="140" t="s">
        <v>490</v>
      </c>
      <c r="BC14" s="140" t="s">
        <v>264</v>
      </c>
      <c r="BD14" s="140" t="s">
        <v>264</v>
      </c>
    </row>
    <row r="15" spans="1:57" s="48" customFormat="1" x14ac:dyDescent="0.2">
      <c r="A15" s="200" t="s">
        <v>354</v>
      </c>
      <c r="B15" s="200">
        <v>1393</v>
      </c>
      <c r="C15" s="200" t="s">
        <v>29</v>
      </c>
      <c r="D15" s="200" t="s">
        <v>491</v>
      </c>
      <c r="E15" s="200" t="s">
        <v>46</v>
      </c>
      <c r="F15" s="200" t="s">
        <v>492</v>
      </c>
      <c r="G15" s="200" t="s">
        <v>130</v>
      </c>
      <c r="H15" s="200" t="s">
        <v>493</v>
      </c>
      <c r="I15" s="200">
        <v>77837</v>
      </c>
      <c r="J15" s="230">
        <v>49200000</v>
      </c>
      <c r="K15" s="201">
        <v>1</v>
      </c>
      <c r="L15" s="206">
        <v>3</v>
      </c>
      <c r="M15" s="206" t="s">
        <v>27</v>
      </c>
      <c r="N15" s="196">
        <v>44727</v>
      </c>
      <c r="O15" s="195">
        <v>1</v>
      </c>
      <c r="P15" s="261" t="s">
        <v>27</v>
      </c>
      <c r="Q15" s="243" t="s">
        <v>128</v>
      </c>
      <c r="R15" s="262" t="s">
        <v>27</v>
      </c>
      <c r="S15" s="262">
        <v>1</v>
      </c>
      <c r="T15" s="262" t="s">
        <v>27</v>
      </c>
      <c r="U15" s="262">
        <v>23</v>
      </c>
      <c r="V15" s="262" t="s">
        <v>27</v>
      </c>
      <c r="W15" s="244" t="s">
        <v>128</v>
      </c>
      <c r="X15" s="262" t="s">
        <v>27</v>
      </c>
      <c r="Y15" s="244" t="s">
        <v>128</v>
      </c>
      <c r="Z15" s="262" t="s">
        <v>27</v>
      </c>
      <c r="AA15" s="244" t="s">
        <v>128</v>
      </c>
      <c r="AB15" s="262" t="s">
        <v>27</v>
      </c>
      <c r="AC15" s="262">
        <v>5.5</v>
      </c>
      <c r="AD15" s="103" t="s">
        <v>278</v>
      </c>
      <c r="AE15" s="103"/>
      <c r="AF15" s="104" t="s">
        <v>283</v>
      </c>
      <c r="AG15" s="297" t="s">
        <v>240</v>
      </c>
      <c r="AH15" s="205" t="s">
        <v>365</v>
      </c>
      <c r="AI15" s="194"/>
      <c r="AJ15" s="106"/>
      <c r="AK15" s="106"/>
      <c r="AL15" s="106"/>
      <c r="AM15" s="106"/>
      <c r="AN15" s="144" t="s">
        <v>370</v>
      </c>
      <c r="AO15" s="140" t="s">
        <v>494</v>
      </c>
      <c r="AP15" s="140" t="s">
        <v>371</v>
      </c>
      <c r="AQ15" s="140" t="s">
        <v>494</v>
      </c>
      <c r="AR15" s="140" t="s">
        <v>372</v>
      </c>
      <c r="AS15" s="140"/>
      <c r="AT15" s="140" t="s">
        <v>373</v>
      </c>
      <c r="AU15" s="140" t="s">
        <v>494</v>
      </c>
      <c r="AV15" s="140" t="s">
        <v>374</v>
      </c>
      <c r="AW15" s="140" t="s">
        <v>494</v>
      </c>
      <c r="AX15" s="140" t="s">
        <v>375</v>
      </c>
      <c r="AY15" s="140"/>
      <c r="AZ15" s="140" t="s">
        <v>377</v>
      </c>
      <c r="BA15" s="140" t="s">
        <v>494</v>
      </c>
      <c r="BB15" s="140" t="s">
        <v>495</v>
      </c>
      <c r="BC15" s="140" t="s">
        <v>264</v>
      </c>
      <c r="BD15" s="140" t="s">
        <v>264</v>
      </c>
      <c r="BE15" s="148"/>
    </row>
    <row r="16" spans="1:57" s="48" customFormat="1" x14ac:dyDescent="0.15">
      <c r="A16" s="200" t="s">
        <v>354</v>
      </c>
      <c r="B16" s="200">
        <v>1403</v>
      </c>
      <c r="C16" s="200" t="s">
        <v>29</v>
      </c>
      <c r="D16" s="200" t="s">
        <v>491</v>
      </c>
      <c r="E16" s="200" t="s">
        <v>46</v>
      </c>
      <c r="F16" s="200" t="s">
        <v>492</v>
      </c>
      <c r="G16" s="200" t="s">
        <v>130</v>
      </c>
      <c r="H16" s="200" t="s">
        <v>493</v>
      </c>
      <c r="I16" s="200">
        <v>891520</v>
      </c>
      <c r="J16" s="230">
        <v>49200000</v>
      </c>
      <c r="K16" s="201">
        <v>1</v>
      </c>
      <c r="L16" s="206">
        <v>5</v>
      </c>
      <c r="M16" s="206" t="s">
        <v>27</v>
      </c>
      <c r="N16" s="196">
        <v>44748</v>
      </c>
      <c r="O16" s="195">
        <v>1</v>
      </c>
      <c r="P16" s="261" t="s">
        <v>27</v>
      </c>
      <c r="Q16" s="243" t="s">
        <v>128</v>
      </c>
      <c r="R16" s="262" t="s">
        <v>27</v>
      </c>
      <c r="S16" s="262">
        <v>2</v>
      </c>
      <c r="T16" s="262" t="s">
        <v>27</v>
      </c>
      <c r="U16" s="262">
        <v>11</v>
      </c>
      <c r="V16" s="262" t="s">
        <v>27</v>
      </c>
      <c r="W16" s="262">
        <v>7.5</v>
      </c>
      <c r="X16" s="262" t="s">
        <v>27</v>
      </c>
      <c r="Y16" s="262">
        <v>2</v>
      </c>
      <c r="Z16" s="262" t="s">
        <v>27</v>
      </c>
      <c r="AA16" s="262">
        <v>9</v>
      </c>
      <c r="AB16" s="262" t="s">
        <v>27</v>
      </c>
      <c r="AC16" s="262">
        <v>2.5</v>
      </c>
      <c r="AD16" s="103"/>
      <c r="AE16" s="103"/>
      <c r="AF16" s="104"/>
      <c r="AG16" s="297"/>
      <c r="AH16" s="205"/>
      <c r="AI16" s="194"/>
      <c r="AJ16" s="106"/>
      <c r="AK16" s="106"/>
      <c r="AL16" s="106"/>
      <c r="AM16" s="106"/>
      <c r="AN16" s="144"/>
      <c r="AO16" s="140"/>
      <c r="AP16" s="140"/>
      <c r="AQ16" s="140"/>
      <c r="AR16" s="140"/>
      <c r="AS16" s="140"/>
      <c r="AT16" s="140"/>
      <c r="AU16" s="140"/>
      <c r="AV16" s="140"/>
      <c r="AW16" s="140"/>
      <c r="AX16" s="140"/>
      <c r="AY16" s="140"/>
      <c r="AZ16" s="140"/>
      <c r="BA16" s="140"/>
      <c r="BB16" s="140" t="s">
        <v>495</v>
      </c>
      <c r="BC16" s="140" t="s">
        <v>264</v>
      </c>
      <c r="BD16" s="140" t="s">
        <v>264</v>
      </c>
    </row>
    <row r="17" spans="1:56" s="48" customFormat="1" x14ac:dyDescent="0.15">
      <c r="A17" s="200" t="s">
        <v>354</v>
      </c>
      <c r="B17" s="200">
        <v>1266</v>
      </c>
      <c r="C17" s="200" t="s">
        <v>22</v>
      </c>
      <c r="D17" s="200" t="s">
        <v>42</v>
      </c>
      <c r="E17" s="200" t="s">
        <v>38</v>
      </c>
      <c r="F17" s="200" t="s">
        <v>97</v>
      </c>
      <c r="G17" s="200" t="s">
        <v>44</v>
      </c>
      <c r="H17" s="200">
        <v>31330</v>
      </c>
      <c r="I17" s="200">
        <v>16455</v>
      </c>
      <c r="J17" s="230">
        <v>16250000</v>
      </c>
      <c r="K17" s="201">
        <v>1</v>
      </c>
      <c r="L17" s="206">
        <v>4</v>
      </c>
      <c r="M17" s="206" t="s">
        <v>27</v>
      </c>
      <c r="N17" s="196">
        <v>44736</v>
      </c>
      <c r="O17" s="195">
        <v>1</v>
      </c>
      <c r="P17" s="261" t="s">
        <v>27</v>
      </c>
      <c r="Q17" s="243" t="s">
        <v>128</v>
      </c>
      <c r="R17" s="262" t="s">
        <v>27</v>
      </c>
      <c r="S17" s="262">
        <v>2</v>
      </c>
      <c r="T17" s="262" t="s">
        <v>27</v>
      </c>
      <c r="U17" s="262">
        <v>3.5</v>
      </c>
      <c r="V17" s="262" t="s">
        <v>27</v>
      </c>
      <c r="W17" s="262">
        <v>2.5</v>
      </c>
      <c r="X17" s="262" t="s">
        <v>27</v>
      </c>
      <c r="Y17" s="262">
        <v>1.5</v>
      </c>
      <c r="Z17" s="262" t="s">
        <v>27</v>
      </c>
      <c r="AA17" s="262">
        <v>1.5</v>
      </c>
      <c r="AB17" s="262" t="s">
        <v>27</v>
      </c>
      <c r="AC17" s="262">
        <v>1.5</v>
      </c>
      <c r="AD17" s="103"/>
      <c r="AE17" s="103"/>
      <c r="AF17" s="104"/>
      <c r="AG17" s="297"/>
      <c r="AH17" s="205" t="s">
        <v>268</v>
      </c>
      <c r="AI17" s="194" t="s">
        <v>240</v>
      </c>
      <c r="AJ17" s="106"/>
      <c r="AK17" s="106"/>
      <c r="AL17" s="106"/>
      <c r="AM17" s="106"/>
      <c r="AN17" s="144"/>
      <c r="AO17" s="140"/>
      <c r="AP17" s="140"/>
      <c r="AQ17" s="140"/>
      <c r="AR17" s="140"/>
      <c r="AS17" s="140"/>
      <c r="AT17" s="140"/>
      <c r="AU17" s="140"/>
      <c r="AV17" s="140"/>
      <c r="AW17" s="140"/>
      <c r="AX17" s="140"/>
      <c r="AY17" s="140"/>
      <c r="AZ17" s="140"/>
      <c r="BA17" s="140"/>
      <c r="BB17" s="140" t="s">
        <v>269</v>
      </c>
      <c r="BC17" s="140" t="s">
        <v>264</v>
      </c>
      <c r="BD17" s="140" t="s">
        <v>264</v>
      </c>
    </row>
    <row r="18" spans="1:56" s="48" customFormat="1" x14ac:dyDescent="0.15">
      <c r="A18" s="200" t="s">
        <v>354</v>
      </c>
      <c r="B18" s="200">
        <v>1298</v>
      </c>
      <c r="C18" s="200" t="s">
        <v>22</v>
      </c>
      <c r="D18" s="200" t="s">
        <v>42</v>
      </c>
      <c r="E18" s="200" t="s">
        <v>38</v>
      </c>
      <c r="F18" s="200" t="s">
        <v>496</v>
      </c>
      <c r="G18" s="200" t="s">
        <v>44</v>
      </c>
      <c r="H18" s="200">
        <v>32360</v>
      </c>
      <c r="I18" s="200">
        <v>11609</v>
      </c>
      <c r="J18" s="230">
        <v>18220000</v>
      </c>
      <c r="K18" s="201">
        <v>1</v>
      </c>
      <c r="L18" s="206">
        <v>4</v>
      </c>
      <c r="M18" s="206" t="s">
        <v>27</v>
      </c>
      <c r="N18" s="196">
        <v>44735</v>
      </c>
      <c r="O18" s="195">
        <v>1</v>
      </c>
      <c r="P18" s="261" t="s">
        <v>27</v>
      </c>
      <c r="Q18" s="243" t="s">
        <v>128</v>
      </c>
      <c r="R18" s="262" t="s">
        <v>27</v>
      </c>
      <c r="S18" s="262">
        <v>2</v>
      </c>
      <c r="T18" s="262" t="s">
        <v>27</v>
      </c>
      <c r="U18" s="262">
        <v>4</v>
      </c>
      <c r="V18" s="262" t="s">
        <v>27</v>
      </c>
      <c r="W18" s="262">
        <v>2.5</v>
      </c>
      <c r="X18" s="262" t="s">
        <v>27</v>
      </c>
      <c r="Y18" s="262">
        <v>1</v>
      </c>
      <c r="Z18" s="262" t="s">
        <v>27</v>
      </c>
      <c r="AA18" s="262">
        <v>1.5</v>
      </c>
      <c r="AB18" s="262" t="s">
        <v>27</v>
      </c>
      <c r="AC18" s="244" t="s">
        <v>128</v>
      </c>
      <c r="AD18" s="103"/>
      <c r="AE18" s="103"/>
      <c r="AF18" s="104"/>
      <c r="AG18" s="297"/>
      <c r="AH18" s="205" t="s">
        <v>268</v>
      </c>
      <c r="AI18" s="194" t="s">
        <v>240</v>
      </c>
      <c r="AJ18" s="106"/>
      <c r="AK18" s="106"/>
      <c r="AL18" s="106"/>
      <c r="AM18" s="106"/>
      <c r="AN18" s="144"/>
      <c r="AO18" s="140"/>
      <c r="AP18" s="140"/>
      <c r="AQ18" s="140"/>
      <c r="AR18" s="140"/>
      <c r="AS18" s="140"/>
      <c r="AT18" s="140"/>
      <c r="AU18" s="140"/>
      <c r="AV18" s="140"/>
      <c r="AW18" s="140"/>
      <c r="AX18" s="140"/>
      <c r="AY18" s="140"/>
      <c r="AZ18" s="140"/>
      <c r="BA18" s="140"/>
      <c r="BB18" s="140" t="s">
        <v>269</v>
      </c>
      <c r="BC18" s="140" t="s">
        <v>264</v>
      </c>
      <c r="BD18" s="140" t="s">
        <v>264</v>
      </c>
    </row>
    <row r="19" spans="1:56" s="48" customFormat="1" x14ac:dyDescent="0.15">
      <c r="A19" s="200" t="s">
        <v>354</v>
      </c>
      <c r="B19" s="200">
        <v>1439</v>
      </c>
      <c r="C19" s="200" t="s">
        <v>29</v>
      </c>
      <c r="D19" s="200" t="s">
        <v>276</v>
      </c>
      <c r="E19" s="200" t="s">
        <v>38</v>
      </c>
      <c r="F19" s="200" t="s">
        <v>97</v>
      </c>
      <c r="G19" s="200" t="s">
        <v>44</v>
      </c>
      <c r="H19" s="200">
        <v>31330</v>
      </c>
      <c r="I19" s="200">
        <v>17202</v>
      </c>
      <c r="J19" s="230">
        <v>11000000</v>
      </c>
      <c r="K19" s="201">
        <v>1</v>
      </c>
      <c r="L19" s="206">
        <v>3</v>
      </c>
      <c r="M19" s="206" t="s">
        <v>27</v>
      </c>
      <c r="N19" s="196">
        <v>44726</v>
      </c>
      <c r="O19" s="195">
        <v>1</v>
      </c>
      <c r="P19" s="261" t="s">
        <v>27</v>
      </c>
      <c r="Q19" s="243" t="s">
        <v>128</v>
      </c>
      <c r="R19" s="262" t="s">
        <v>27</v>
      </c>
      <c r="S19" s="262">
        <v>1.5</v>
      </c>
      <c r="T19" s="262" t="s">
        <v>27</v>
      </c>
      <c r="U19" s="262">
        <v>2.5</v>
      </c>
      <c r="V19" s="262" t="s">
        <v>27</v>
      </c>
      <c r="W19" s="262">
        <v>4</v>
      </c>
      <c r="X19" s="262" t="s">
        <v>27</v>
      </c>
      <c r="Y19" s="262">
        <v>1</v>
      </c>
      <c r="Z19" s="262" t="s">
        <v>27</v>
      </c>
      <c r="AA19" s="262">
        <v>1.5</v>
      </c>
      <c r="AB19" s="262" t="s">
        <v>27</v>
      </c>
      <c r="AC19" s="262">
        <v>1.5</v>
      </c>
      <c r="AD19" s="103"/>
      <c r="AE19" s="103"/>
      <c r="AF19" s="104"/>
      <c r="AG19" s="297"/>
      <c r="AH19" s="205" t="s">
        <v>268</v>
      </c>
      <c r="AI19" s="194" t="s">
        <v>240</v>
      </c>
      <c r="AJ19" s="106"/>
      <c r="AK19" s="106"/>
      <c r="AL19" s="106"/>
      <c r="AM19" s="106"/>
      <c r="AN19" s="144"/>
      <c r="AO19" s="140"/>
      <c r="AP19" s="140"/>
      <c r="AQ19" s="140"/>
      <c r="AR19" s="140"/>
      <c r="AS19" s="140"/>
      <c r="AT19" s="140"/>
      <c r="AU19" s="140"/>
      <c r="AV19" s="140"/>
      <c r="AW19" s="140"/>
      <c r="AX19" s="140"/>
      <c r="AY19" s="140"/>
      <c r="AZ19" s="140"/>
      <c r="BA19" s="140"/>
      <c r="BB19" s="140" t="s">
        <v>269</v>
      </c>
      <c r="BC19" s="140" t="s">
        <v>264</v>
      </c>
      <c r="BD19" s="140" t="s">
        <v>264</v>
      </c>
    </row>
    <row r="20" spans="1:56" s="48" customFormat="1" x14ac:dyDescent="0.15">
      <c r="A20" s="200" t="s">
        <v>354</v>
      </c>
      <c r="B20" s="200">
        <v>1236</v>
      </c>
      <c r="C20" s="200" t="s">
        <v>29</v>
      </c>
      <c r="D20" s="233" t="s">
        <v>497</v>
      </c>
      <c r="E20" s="200" t="s">
        <v>38</v>
      </c>
      <c r="F20" s="200" t="s">
        <v>97</v>
      </c>
      <c r="G20" s="200" t="s">
        <v>44</v>
      </c>
      <c r="H20" s="200">
        <v>32360</v>
      </c>
      <c r="I20" s="200">
        <v>11616</v>
      </c>
      <c r="J20" s="230">
        <v>14700000</v>
      </c>
      <c r="K20" s="201">
        <v>1</v>
      </c>
      <c r="L20" s="206">
        <v>3</v>
      </c>
      <c r="M20" s="206" t="s">
        <v>27</v>
      </c>
      <c r="N20" s="196">
        <v>44727</v>
      </c>
      <c r="O20" s="195">
        <v>1</v>
      </c>
      <c r="P20" s="261" t="s">
        <v>27</v>
      </c>
      <c r="Q20" s="243" t="s">
        <v>128</v>
      </c>
      <c r="R20" s="262" t="s">
        <v>27</v>
      </c>
      <c r="S20" s="262">
        <v>1.5</v>
      </c>
      <c r="T20" s="262" t="s">
        <v>27</v>
      </c>
      <c r="U20" s="262">
        <v>2</v>
      </c>
      <c r="V20" s="262" t="s">
        <v>27</v>
      </c>
      <c r="W20" s="262">
        <v>2.5</v>
      </c>
      <c r="X20" s="262" t="s">
        <v>27</v>
      </c>
      <c r="Y20" s="262">
        <v>1</v>
      </c>
      <c r="Z20" s="262" t="s">
        <v>27</v>
      </c>
      <c r="AA20" s="262">
        <v>1.5</v>
      </c>
      <c r="AB20" s="262" t="s">
        <v>27</v>
      </c>
      <c r="AC20" s="262">
        <v>1.5</v>
      </c>
      <c r="AD20" s="103"/>
      <c r="AE20" s="103"/>
      <c r="AF20" s="104"/>
      <c r="AG20" s="297"/>
      <c r="AH20" s="205" t="s">
        <v>268</v>
      </c>
      <c r="AI20" s="194" t="s">
        <v>240</v>
      </c>
      <c r="AJ20" s="106"/>
      <c r="AK20" s="106"/>
      <c r="AL20" s="106"/>
      <c r="AM20" s="106"/>
      <c r="AN20" s="144"/>
      <c r="AO20" s="140"/>
      <c r="AP20" s="140"/>
      <c r="AQ20" s="140"/>
      <c r="AR20" s="140"/>
      <c r="AS20" s="140"/>
      <c r="AT20" s="140"/>
      <c r="AU20" s="140"/>
      <c r="AV20" s="140"/>
      <c r="AW20" s="140"/>
      <c r="AX20" s="140"/>
      <c r="AY20" s="140"/>
      <c r="AZ20" s="140"/>
      <c r="BA20" s="140"/>
      <c r="BB20" s="140" t="s">
        <v>269</v>
      </c>
      <c r="BC20" s="140" t="s">
        <v>264</v>
      </c>
      <c r="BD20" s="140" t="s">
        <v>264</v>
      </c>
    </row>
    <row r="21" spans="1:56" s="48" customFormat="1" x14ac:dyDescent="0.15">
      <c r="A21" s="200" t="s">
        <v>354</v>
      </c>
      <c r="B21" s="200">
        <v>1379</v>
      </c>
      <c r="C21" s="200" t="s">
        <v>29</v>
      </c>
      <c r="D21" s="200" t="s">
        <v>363</v>
      </c>
      <c r="E21" s="200" t="s">
        <v>24</v>
      </c>
      <c r="F21" s="200" t="s">
        <v>94</v>
      </c>
      <c r="G21" s="200" t="s">
        <v>23</v>
      </c>
      <c r="H21" s="200" t="s">
        <v>26</v>
      </c>
      <c r="I21" s="200">
        <v>180536</v>
      </c>
      <c r="J21" s="230">
        <v>26500000</v>
      </c>
      <c r="K21" s="201">
        <v>1</v>
      </c>
      <c r="L21" s="206">
        <v>5</v>
      </c>
      <c r="M21" s="206" t="s">
        <v>27</v>
      </c>
      <c r="N21" s="196">
        <v>44746</v>
      </c>
      <c r="O21" s="195">
        <v>1</v>
      </c>
      <c r="P21" s="261" t="s">
        <v>27</v>
      </c>
      <c r="Q21" s="243" t="s">
        <v>128</v>
      </c>
      <c r="R21" s="262" t="s">
        <v>27</v>
      </c>
      <c r="S21" s="262">
        <v>1</v>
      </c>
      <c r="T21" s="262" t="s">
        <v>27</v>
      </c>
      <c r="U21" s="262">
        <v>5.5</v>
      </c>
      <c r="V21" s="262" t="s">
        <v>27</v>
      </c>
      <c r="W21" s="262">
        <v>6.5</v>
      </c>
      <c r="X21" s="262" t="s">
        <v>27</v>
      </c>
      <c r="Y21" s="262">
        <v>1</v>
      </c>
      <c r="Z21" s="262" t="s">
        <v>27</v>
      </c>
      <c r="AA21" s="262">
        <v>5.5</v>
      </c>
      <c r="AB21" s="262" t="s">
        <v>27</v>
      </c>
      <c r="AC21" s="262">
        <v>3</v>
      </c>
      <c r="AD21" s="103"/>
      <c r="AE21" s="103"/>
      <c r="AF21" s="104"/>
      <c r="AG21" s="297"/>
      <c r="AH21" s="205"/>
      <c r="AI21" s="194"/>
      <c r="AJ21" s="106"/>
      <c r="AK21" s="106"/>
      <c r="AL21" s="106"/>
      <c r="AM21" s="106"/>
      <c r="AN21" s="144"/>
      <c r="AO21" s="140"/>
      <c r="AP21" s="140"/>
      <c r="AQ21" s="140"/>
      <c r="AR21" s="140"/>
      <c r="AS21" s="140"/>
      <c r="AT21" s="140"/>
      <c r="AU21" s="140"/>
      <c r="AV21" s="140"/>
      <c r="AW21" s="140"/>
      <c r="AX21" s="140"/>
      <c r="AY21" s="140"/>
      <c r="AZ21" s="140"/>
      <c r="BA21" s="140"/>
      <c r="BB21" s="140" t="s">
        <v>495</v>
      </c>
      <c r="BC21" s="140" t="s">
        <v>264</v>
      </c>
      <c r="BD21" s="140" t="s">
        <v>264</v>
      </c>
    </row>
    <row r="22" spans="1:56" s="48" customFormat="1" hidden="1" x14ac:dyDescent="0.2">
      <c r="A22" s="207"/>
      <c r="B22" s="207"/>
      <c r="C22" s="207"/>
      <c r="D22" s="207"/>
      <c r="E22" s="207"/>
      <c r="F22" s="207"/>
      <c r="G22" s="207"/>
      <c r="H22" s="207"/>
      <c r="I22" s="207"/>
      <c r="J22" s="222"/>
      <c r="K22" s="271"/>
      <c r="L22" s="28"/>
      <c r="M22" s="27"/>
      <c r="N22" s="29"/>
      <c r="O22" s="46"/>
      <c r="P22" s="245" t="s">
        <v>128</v>
      </c>
      <c r="Q22" s="243" t="s">
        <v>128</v>
      </c>
      <c r="R22" s="244" t="s">
        <v>128</v>
      </c>
      <c r="S22" s="244" t="s">
        <v>128</v>
      </c>
      <c r="T22" s="244" t="s">
        <v>128</v>
      </c>
      <c r="U22" s="244" t="s">
        <v>128</v>
      </c>
      <c r="V22" s="244" t="s">
        <v>128</v>
      </c>
      <c r="W22" s="244" t="s">
        <v>128</v>
      </c>
      <c r="X22" s="244" t="s">
        <v>128</v>
      </c>
      <c r="Y22" s="244" t="s">
        <v>128</v>
      </c>
      <c r="Z22" s="244" t="s">
        <v>128</v>
      </c>
      <c r="AA22" s="244" t="s">
        <v>128</v>
      </c>
      <c r="AB22" s="244" t="s">
        <v>128</v>
      </c>
      <c r="AC22" s="244" t="s">
        <v>128</v>
      </c>
    </row>
    <row r="23" spans="1:56" s="48" customFormat="1" hidden="1" x14ac:dyDescent="0.15">
      <c r="A23" s="299"/>
      <c r="B23" s="209"/>
      <c r="C23" s="209"/>
      <c r="D23" s="209"/>
      <c r="E23" s="209"/>
      <c r="F23" s="209"/>
      <c r="G23" s="209"/>
      <c r="H23" s="209"/>
      <c r="I23" s="209"/>
      <c r="J23" s="37"/>
      <c r="K23" s="271"/>
      <c r="L23" s="198"/>
      <c r="M23" s="198"/>
      <c r="N23" s="195"/>
      <c r="O23" s="195"/>
      <c r="P23" s="245" t="s">
        <v>128</v>
      </c>
      <c r="Q23" s="243" t="s">
        <v>128</v>
      </c>
      <c r="R23" s="244" t="s">
        <v>128</v>
      </c>
      <c r="S23" s="244" t="s">
        <v>128</v>
      </c>
      <c r="T23" s="244" t="s">
        <v>128</v>
      </c>
      <c r="U23" s="244" t="s">
        <v>128</v>
      </c>
      <c r="V23" s="244" t="s">
        <v>128</v>
      </c>
      <c r="W23" s="244" t="s">
        <v>128</v>
      </c>
      <c r="X23" s="244" t="s">
        <v>128</v>
      </c>
      <c r="Y23" s="244" t="s">
        <v>128</v>
      </c>
      <c r="Z23" s="244" t="s">
        <v>128</v>
      </c>
      <c r="AA23" s="244" t="s">
        <v>128</v>
      </c>
      <c r="AB23" s="244" t="s">
        <v>128</v>
      </c>
      <c r="AC23" s="244" t="s">
        <v>128</v>
      </c>
      <c r="AD23" s="103"/>
      <c r="AE23" s="103"/>
      <c r="AF23" s="104"/>
      <c r="AG23" s="297"/>
      <c r="AH23" s="205"/>
      <c r="AI23" s="194"/>
      <c r="AJ23" s="106"/>
      <c r="AK23" s="106"/>
      <c r="AL23" s="106"/>
      <c r="AM23" s="106"/>
      <c r="AN23" s="144"/>
      <c r="AO23" s="140"/>
      <c r="AP23" s="140"/>
      <c r="AQ23" s="140"/>
      <c r="AR23" s="140"/>
      <c r="AS23" s="140"/>
      <c r="AT23" s="140"/>
      <c r="AU23" s="140"/>
      <c r="AV23" s="140"/>
      <c r="AW23" s="140"/>
      <c r="AX23" s="140"/>
      <c r="AY23" s="140"/>
      <c r="AZ23" s="140"/>
      <c r="BA23" s="140"/>
      <c r="BB23" s="140"/>
      <c r="BC23" s="140"/>
      <c r="BD23" s="140"/>
    </row>
    <row r="24" spans="1:56" s="48" customFormat="1" hidden="1" x14ac:dyDescent="0.15">
      <c r="A24" s="300"/>
      <c r="B24" s="207"/>
      <c r="C24" s="207"/>
      <c r="D24" s="207"/>
      <c r="E24" s="207"/>
      <c r="F24" s="207"/>
      <c r="G24" s="207"/>
      <c r="H24" s="207"/>
      <c r="I24" s="207"/>
      <c r="J24" s="222"/>
      <c r="K24" s="271"/>
      <c r="L24" s="198"/>
      <c r="M24" s="198"/>
      <c r="N24" s="195"/>
      <c r="O24" s="195"/>
      <c r="P24" s="245" t="s">
        <v>128</v>
      </c>
      <c r="Q24" s="243" t="s">
        <v>128</v>
      </c>
      <c r="R24" s="244" t="s">
        <v>128</v>
      </c>
      <c r="S24" s="244" t="s">
        <v>128</v>
      </c>
      <c r="T24" s="244" t="s">
        <v>128</v>
      </c>
      <c r="U24" s="244" t="s">
        <v>128</v>
      </c>
      <c r="V24" s="244" t="s">
        <v>128</v>
      </c>
      <c r="W24" s="244" t="s">
        <v>128</v>
      </c>
      <c r="X24" s="244" t="s">
        <v>128</v>
      </c>
      <c r="Y24" s="244" t="s">
        <v>128</v>
      </c>
      <c r="Z24" s="244" t="s">
        <v>128</v>
      </c>
      <c r="AA24" s="244" t="s">
        <v>128</v>
      </c>
      <c r="AB24" s="244" t="s">
        <v>128</v>
      </c>
      <c r="AC24" s="244" t="s">
        <v>128</v>
      </c>
      <c r="AD24" s="103"/>
      <c r="AE24" s="103"/>
      <c r="AF24" s="104"/>
      <c r="AG24" s="297"/>
      <c r="AH24" s="205"/>
      <c r="AI24" s="194"/>
      <c r="AJ24" s="106"/>
      <c r="AK24" s="106"/>
      <c r="AL24" s="106"/>
      <c r="AM24" s="106"/>
      <c r="AN24" s="144"/>
      <c r="AO24" s="140"/>
      <c r="AP24" s="140"/>
      <c r="AQ24" s="140"/>
      <c r="AR24" s="140"/>
      <c r="AS24" s="140"/>
      <c r="AT24" s="140"/>
      <c r="AU24" s="140"/>
      <c r="AV24" s="140"/>
      <c r="AW24" s="140"/>
      <c r="AX24" s="140"/>
      <c r="AY24" s="140"/>
      <c r="AZ24" s="140"/>
      <c r="BA24" s="140"/>
      <c r="BB24" s="140"/>
      <c r="BC24" s="140"/>
      <c r="BD24" s="140"/>
    </row>
    <row r="25" spans="1:56" s="48" customFormat="1" hidden="1" x14ac:dyDescent="0.15">
      <c r="A25" s="299"/>
      <c r="B25" s="209"/>
      <c r="C25" s="209"/>
      <c r="D25" s="209"/>
      <c r="E25" s="209"/>
      <c r="F25" s="209"/>
      <c r="G25" s="209"/>
      <c r="H25" s="209"/>
      <c r="I25" s="209"/>
      <c r="J25" s="37"/>
      <c r="K25" s="271"/>
      <c r="L25" s="198"/>
      <c r="M25" s="198"/>
      <c r="N25" s="195"/>
      <c r="O25" s="195"/>
      <c r="P25" s="245" t="s">
        <v>128</v>
      </c>
      <c r="Q25" s="243" t="s">
        <v>128</v>
      </c>
      <c r="R25" s="244" t="s">
        <v>128</v>
      </c>
      <c r="S25" s="244" t="s">
        <v>128</v>
      </c>
      <c r="T25" s="244" t="s">
        <v>128</v>
      </c>
      <c r="U25" s="244" t="s">
        <v>128</v>
      </c>
      <c r="V25" s="244" t="s">
        <v>128</v>
      </c>
      <c r="W25" s="244" t="s">
        <v>128</v>
      </c>
      <c r="X25" s="244" t="s">
        <v>128</v>
      </c>
      <c r="Y25" s="244" t="s">
        <v>128</v>
      </c>
      <c r="Z25" s="244" t="s">
        <v>128</v>
      </c>
      <c r="AA25" s="244" t="s">
        <v>128</v>
      </c>
      <c r="AB25" s="244" t="s">
        <v>128</v>
      </c>
      <c r="AC25" s="244" t="s">
        <v>128</v>
      </c>
      <c r="AD25" s="103"/>
      <c r="AE25" s="103"/>
      <c r="AF25" s="104"/>
      <c r="AG25" s="297"/>
      <c r="AH25" s="205"/>
      <c r="AI25" s="194"/>
      <c r="AJ25" s="106"/>
      <c r="AK25" s="106"/>
      <c r="AL25" s="106"/>
      <c r="AM25" s="106"/>
      <c r="AN25" s="144"/>
      <c r="AO25" s="140"/>
      <c r="AP25" s="140"/>
      <c r="AQ25" s="140"/>
      <c r="AR25" s="140"/>
      <c r="AS25" s="140"/>
      <c r="AT25" s="140"/>
      <c r="AU25" s="140"/>
      <c r="AV25" s="140"/>
      <c r="AW25" s="140"/>
      <c r="AX25" s="140"/>
      <c r="AY25" s="140"/>
      <c r="AZ25" s="140"/>
      <c r="BA25" s="140"/>
      <c r="BB25" s="140"/>
      <c r="BC25" s="140"/>
      <c r="BD25" s="140"/>
    </row>
    <row r="26" spans="1:56" s="48" customFormat="1" hidden="1" x14ac:dyDescent="0.15">
      <c r="A26" s="300"/>
      <c r="B26" s="207"/>
      <c r="C26" s="207"/>
      <c r="D26" s="207"/>
      <c r="E26" s="207"/>
      <c r="F26" s="207"/>
      <c r="G26" s="207"/>
      <c r="H26" s="207"/>
      <c r="I26" s="207"/>
      <c r="J26" s="222"/>
      <c r="K26" s="271"/>
      <c r="L26" s="198"/>
      <c r="M26" s="198"/>
      <c r="N26" s="195"/>
      <c r="O26" s="195"/>
      <c r="P26" s="245" t="s">
        <v>128</v>
      </c>
      <c r="Q26" s="243" t="s">
        <v>128</v>
      </c>
      <c r="R26" s="244" t="s">
        <v>128</v>
      </c>
      <c r="S26" s="244" t="s">
        <v>128</v>
      </c>
      <c r="T26" s="244" t="s">
        <v>128</v>
      </c>
      <c r="U26" s="244" t="s">
        <v>128</v>
      </c>
      <c r="V26" s="244" t="s">
        <v>128</v>
      </c>
      <c r="W26" s="244" t="s">
        <v>128</v>
      </c>
      <c r="X26" s="244" t="s">
        <v>128</v>
      </c>
      <c r="Y26" s="244" t="s">
        <v>128</v>
      </c>
      <c r="Z26" s="244" t="s">
        <v>128</v>
      </c>
      <c r="AA26" s="244" t="s">
        <v>128</v>
      </c>
      <c r="AB26" s="244" t="s">
        <v>128</v>
      </c>
      <c r="AC26" s="244" t="s">
        <v>128</v>
      </c>
      <c r="AD26" s="103"/>
      <c r="AE26" s="103"/>
      <c r="AF26" s="104"/>
      <c r="AG26" s="297"/>
      <c r="AH26" s="205"/>
      <c r="AI26" s="194"/>
      <c r="AJ26" s="106"/>
      <c r="AK26" s="106"/>
      <c r="AL26" s="106"/>
      <c r="AM26" s="106"/>
      <c r="AN26" s="144"/>
      <c r="AO26" s="140"/>
      <c r="AP26" s="140"/>
      <c r="AQ26" s="140"/>
      <c r="AR26" s="140"/>
      <c r="AS26" s="140"/>
      <c r="AT26" s="140"/>
      <c r="AU26" s="140"/>
      <c r="AV26" s="140"/>
      <c r="AW26" s="140"/>
      <c r="AX26" s="140"/>
      <c r="AY26" s="140"/>
      <c r="AZ26" s="140"/>
      <c r="BA26" s="140"/>
      <c r="BB26" s="140"/>
      <c r="BC26" s="140"/>
      <c r="BD26" s="140"/>
    </row>
    <row r="27" spans="1:56" s="48" customFormat="1" hidden="1" x14ac:dyDescent="0.15">
      <c r="A27" s="209"/>
      <c r="B27" s="209"/>
      <c r="C27" s="209"/>
      <c r="D27" s="209"/>
      <c r="E27" s="209"/>
      <c r="F27" s="209"/>
      <c r="G27" s="209"/>
      <c r="H27" s="209"/>
      <c r="I27" s="209"/>
      <c r="J27" s="37"/>
      <c r="K27" s="271"/>
      <c r="L27" s="198"/>
      <c r="M27" s="198"/>
      <c r="N27" s="197"/>
      <c r="O27" s="195"/>
      <c r="P27" s="245" t="s">
        <v>128</v>
      </c>
      <c r="Q27" s="243" t="s">
        <v>128</v>
      </c>
      <c r="R27" s="244" t="s">
        <v>128</v>
      </c>
      <c r="S27" s="244" t="s">
        <v>128</v>
      </c>
      <c r="T27" s="244" t="s">
        <v>128</v>
      </c>
      <c r="U27" s="244" t="s">
        <v>128</v>
      </c>
      <c r="V27" s="244" t="s">
        <v>128</v>
      </c>
      <c r="W27" s="244" t="s">
        <v>128</v>
      </c>
      <c r="X27" s="244" t="s">
        <v>128</v>
      </c>
      <c r="Y27" s="244" t="s">
        <v>128</v>
      </c>
      <c r="Z27" s="244" t="s">
        <v>128</v>
      </c>
      <c r="AA27" s="244" t="s">
        <v>128</v>
      </c>
      <c r="AB27" s="244" t="s">
        <v>128</v>
      </c>
      <c r="AC27" s="244" t="s">
        <v>128</v>
      </c>
      <c r="AD27" s="103"/>
      <c r="AE27" s="103"/>
      <c r="AF27" s="104"/>
      <c r="AG27" s="297"/>
      <c r="AH27" s="228"/>
      <c r="AI27" s="194"/>
      <c r="AJ27" s="106"/>
      <c r="AK27" s="106"/>
      <c r="AL27" s="106"/>
      <c r="AM27" s="106"/>
      <c r="AN27" s="144"/>
      <c r="AO27" s="140"/>
      <c r="AP27" s="140"/>
      <c r="AQ27" s="140"/>
      <c r="AR27" s="140"/>
      <c r="AS27" s="140"/>
      <c r="AT27" s="140"/>
      <c r="AU27" s="140"/>
      <c r="AV27" s="140"/>
      <c r="AW27" s="140"/>
      <c r="AX27" s="140"/>
      <c r="AY27" s="140"/>
      <c r="AZ27" s="140"/>
      <c r="BA27" s="140"/>
      <c r="BB27" s="227"/>
      <c r="BC27" s="140"/>
      <c r="BD27" s="140"/>
    </row>
    <row r="28" spans="1:56" s="48" customFormat="1" hidden="1" x14ac:dyDescent="0.15">
      <c r="A28" s="207"/>
      <c r="B28" s="207"/>
      <c r="C28" s="207"/>
      <c r="D28" s="207"/>
      <c r="E28" s="207"/>
      <c r="F28" s="207"/>
      <c r="G28" s="207"/>
      <c r="H28" s="207"/>
      <c r="I28" s="207"/>
      <c r="J28" s="222"/>
      <c r="K28" s="271"/>
      <c r="L28" s="198"/>
      <c r="M28" s="198"/>
      <c r="N28" s="195"/>
      <c r="O28" s="195"/>
      <c r="P28" s="245" t="s">
        <v>128</v>
      </c>
      <c r="Q28" s="243" t="s">
        <v>128</v>
      </c>
      <c r="R28" s="244" t="s">
        <v>128</v>
      </c>
      <c r="S28" s="244" t="s">
        <v>128</v>
      </c>
      <c r="T28" s="244" t="s">
        <v>128</v>
      </c>
      <c r="U28" s="244" t="s">
        <v>128</v>
      </c>
      <c r="V28" s="244" t="s">
        <v>128</v>
      </c>
      <c r="W28" s="244" t="s">
        <v>128</v>
      </c>
      <c r="X28" s="244" t="s">
        <v>128</v>
      </c>
      <c r="Y28" s="244" t="s">
        <v>128</v>
      </c>
      <c r="Z28" s="244" t="s">
        <v>128</v>
      </c>
      <c r="AA28" s="244" t="s">
        <v>128</v>
      </c>
      <c r="AB28" s="244" t="s">
        <v>128</v>
      </c>
      <c r="AC28" s="244" t="s">
        <v>128</v>
      </c>
      <c r="AD28" s="103"/>
      <c r="AE28" s="103"/>
      <c r="AF28" s="104"/>
      <c r="AG28" s="297"/>
      <c r="AH28" s="228"/>
      <c r="AI28" s="194"/>
      <c r="AJ28" s="106"/>
      <c r="AK28" s="106"/>
      <c r="AL28" s="106"/>
      <c r="AM28" s="106"/>
      <c r="AN28" s="144"/>
      <c r="AO28" s="140"/>
      <c r="AP28" s="140"/>
      <c r="AQ28" s="140"/>
      <c r="AR28" s="140"/>
      <c r="AS28" s="140"/>
      <c r="AT28" s="140"/>
      <c r="AU28" s="140"/>
      <c r="AV28" s="140"/>
      <c r="AW28" s="140"/>
      <c r="AX28" s="140"/>
      <c r="AY28" s="140"/>
      <c r="AZ28" s="140"/>
      <c r="BA28" s="140"/>
      <c r="BB28" s="227"/>
      <c r="BC28" s="140"/>
      <c r="BD28" s="140"/>
    </row>
    <row r="29" spans="1:56" s="48" customFormat="1" hidden="1" x14ac:dyDescent="0.15">
      <c r="A29" s="209"/>
      <c r="B29" s="209"/>
      <c r="C29" s="209"/>
      <c r="D29" s="209"/>
      <c r="E29" s="209"/>
      <c r="F29" s="209"/>
      <c r="G29" s="209"/>
      <c r="H29" s="209"/>
      <c r="I29" s="209"/>
      <c r="J29" s="37"/>
      <c r="K29" s="271"/>
      <c r="L29" s="198"/>
      <c r="M29" s="198"/>
      <c r="N29" s="195"/>
      <c r="O29" s="195"/>
      <c r="P29" s="245" t="s">
        <v>128</v>
      </c>
      <c r="Q29" s="243" t="s">
        <v>128</v>
      </c>
      <c r="R29" s="244" t="s">
        <v>128</v>
      </c>
      <c r="S29" s="244" t="s">
        <v>128</v>
      </c>
      <c r="T29" s="244" t="s">
        <v>128</v>
      </c>
      <c r="U29" s="244" t="s">
        <v>128</v>
      </c>
      <c r="V29" s="244" t="s">
        <v>128</v>
      </c>
      <c r="W29" s="244" t="s">
        <v>128</v>
      </c>
      <c r="X29" s="244" t="s">
        <v>128</v>
      </c>
      <c r="Y29" s="244" t="s">
        <v>128</v>
      </c>
      <c r="Z29" s="244" t="s">
        <v>128</v>
      </c>
      <c r="AA29" s="244" t="s">
        <v>128</v>
      </c>
      <c r="AB29" s="244" t="s">
        <v>128</v>
      </c>
      <c r="AC29" s="244" t="s">
        <v>128</v>
      </c>
      <c r="AD29" s="103"/>
      <c r="AE29" s="103"/>
      <c r="AF29" s="104"/>
      <c r="AG29" s="297"/>
      <c r="AH29" s="228"/>
      <c r="AI29" s="194"/>
      <c r="AJ29" s="106"/>
      <c r="AK29" s="106"/>
      <c r="AL29" s="106"/>
      <c r="AM29" s="106"/>
      <c r="AN29" s="144"/>
      <c r="AO29" s="140"/>
      <c r="AP29" s="140"/>
      <c r="AQ29" s="140"/>
      <c r="AR29" s="140"/>
      <c r="AS29" s="140"/>
      <c r="AT29" s="140"/>
      <c r="AU29" s="140"/>
      <c r="AV29" s="140"/>
      <c r="AW29" s="140"/>
      <c r="AX29" s="140"/>
      <c r="AY29" s="140"/>
      <c r="AZ29" s="140"/>
      <c r="BA29" s="140"/>
      <c r="BB29" s="140"/>
      <c r="BC29" s="140"/>
      <c r="BD29" s="140"/>
    </row>
    <row r="30" spans="1:56" s="48" customFormat="1" hidden="1" x14ac:dyDescent="0.15">
      <c r="A30" s="207"/>
      <c r="B30" s="207"/>
      <c r="C30" s="207"/>
      <c r="D30" s="207"/>
      <c r="E30" s="207"/>
      <c r="F30" s="207"/>
      <c r="G30" s="207"/>
      <c r="H30" s="207"/>
      <c r="I30" s="207"/>
      <c r="J30" s="222"/>
      <c r="K30" s="271"/>
      <c r="L30" s="198"/>
      <c r="M30" s="198"/>
      <c r="N30" s="195"/>
      <c r="O30" s="195"/>
      <c r="P30" s="245" t="s">
        <v>128</v>
      </c>
      <c r="Q30" s="243" t="s">
        <v>128</v>
      </c>
      <c r="R30" s="244" t="s">
        <v>128</v>
      </c>
      <c r="S30" s="244" t="s">
        <v>128</v>
      </c>
      <c r="T30" s="244" t="s">
        <v>128</v>
      </c>
      <c r="U30" s="244" t="s">
        <v>128</v>
      </c>
      <c r="V30" s="244" t="s">
        <v>128</v>
      </c>
      <c r="W30" s="244" t="s">
        <v>128</v>
      </c>
      <c r="X30" s="244" t="s">
        <v>128</v>
      </c>
      <c r="Y30" s="244" t="s">
        <v>128</v>
      </c>
      <c r="Z30" s="244" t="s">
        <v>128</v>
      </c>
      <c r="AA30" s="244" t="s">
        <v>128</v>
      </c>
      <c r="AB30" s="244" t="s">
        <v>128</v>
      </c>
      <c r="AC30" s="244" t="s">
        <v>128</v>
      </c>
      <c r="AD30" s="103"/>
      <c r="AE30" s="103"/>
      <c r="AF30" s="104"/>
      <c r="AG30" s="297"/>
      <c r="AH30" s="228"/>
      <c r="AI30" s="194"/>
      <c r="AJ30" s="106"/>
      <c r="AK30" s="106"/>
      <c r="AL30" s="106"/>
      <c r="AM30" s="106"/>
      <c r="AN30" s="144"/>
      <c r="AO30" s="140"/>
      <c r="AP30" s="140"/>
      <c r="AQ30" s="140"/>
      <c r="AR30" s="140"/>
      <c r="AS30" s="140"/>
      <c r="AT30" s="140"/>
      <c r="AU30" s="140"/>
      <c r="AV30" s="140"/>
      <c r="AW30" s="140"/>
      <c r="AX30" s="140"/>
      <c r="AY30" s="140"/>
      <c r="AZ30" s="140"/>
      <c r="BA30" s="140"/>
      <c r="BB30" s="227"/>
      <c r="BC30" s="140"/>
      <c r="BD30" s="140"/>
    </row>
    <row r="31" spans="1:56" s="48" customFormat="1" hidden="1" x14ac:dyDescent="0.15">
      <c r="A31" s="209"/>
      <c r="B31" s="209"/>
      <c r="C31" s="209"/>
      <c r="D31" s="209"/>
      <c r="E31" s="209"/>
      <c r="F31" s="209"/>
      <c r="G31" s="209"/>
      <c r="H31" s="209"/>
      <c r="I31" s="209"/>
      <c r="J31" s="37"/>
      <c r="K31" s="271"/>
      <c r="L31" s="198"/>
      <c r="M31" s="198"/>
      <c r="N31" s="195"/>
      <c r="O31" s="195"/>
      <c r="P31" s="245" t="s">
        <v>128</v>
      </c>
      <c r="Q31" s="243" t="s">
        <v>128</v>
      </c>
      <c r="R31" s="244" t="s">
        <v>128</v>
      </c>
      <c r="S31" s="244" t="s">
        <v>128</v>
      </c>
      <c r="T31" s="244" t="s">
        <v>128</v>
      </c>
      <c r="U31" s="244" t="s">
        <v>128</v>
      </c>
      <c r="V31" s="244" t="s">
        <v>128</v>
      </c>
      <c r="W31" s="244" t="s">
        <v>128</v>
      </c>
      <c r="X31" s="244" t="s">
        <v>128</v>
      </c>
      <c r="Y31" s="244" t="s">
        <v>128</v>
      </c>
      <c r="Z31" s="244" t="s">
        <v>128</v>
      </c>
      <c r="AA31" s="244" t="s">
        <v>128</v>
      </c>
      <c r="AB31" s="244" t="s">
        <v>128</v>
      </c>
      <c r="AC31" s="244" t="s">
        <v>128</v>
      </c>
      <c r="AD31" s="103"/>
      <c r="AE31" s="103"/>
      <c r="AF31" s="104"/>
      <c r="AG31" s="297"/>
      <c r="AH31" s="205"/>
      <c r="AI31" s="194"/>
      <c r="AJ31" s="106"/>
      <c r="AK31" s="106"/>
      <c r="AL31" s="106"/>
      <c r="AM31" s="106"/>
      <c r="AN31" s="144"/>
      <c r="AO31" s="140"/>
      <c r="AP31" s="140"/>
      <c r="AQ31" s="140"/>
      <c r="AR31" s="140"/>
      <c r="AS31" s="140"/>
      <c r="AT31" s="140"/>
      <c r="AU31" s="140"/>
      <c r="AV31" s="140"/>
      <c r="AW31" s="140"/>
      <c r="AX31" s="140"/>
      <c r="AY31" s="140"/>
      <c r="AZ31" s="140"/>
      <c r="BA31" s="140"/>
      <c r="BB31" s="140"/>
      <c r="BC31" s="140"/>
      <c r="BD31" s="140"/>
    </row>
    <row r="32" spans="1:56" s="48" customFormat="1" hidden="1" x14ac:dyDescent="0.15">
      <c r="A32" s="207"/>
      <c r="B32" s="207"/>
      <c r="C32" s="207"/>
      <c r="D32" s="207"/>
      <c r="E32" s="207"/>
      <c r="F32" s="207"/>
      <c r="G32" s="207"/>
      <c r="H32" s="207"/>
      <c r="I32" s="207"/>
      <c r="J32" s="222"/>
      <c r="K32" s="271"/>
      <c r="L32" s="198"/>
      <c r="M32" s="198"/>
      <c r="N32" s="195"/>
      <c r="O32" s="195"/>
      <c r="P32" s="245" t="s">
        <v>128</v>
      </c>
      <c r="Q32" s="243" t="s">
        <v>128</v>
      </c>
      <c r="R32" s="244" t="s">
        <v>128</v>
      </c>
      <c r="S32" s="244" t="s">
        <v>128</v>
      </c>
      <c r="T32" s="244" t="s">
        <v>128</v>
      </c>
      <c r="U32" s="244" t="s">
        <v>128</v>
      </c>
      <c r="V32" s="244" t="s">
        <v>128</v>
      </c>
      <c r="W32" s="244" t="s">
        <v>128</v>
      </c>
      <c r="X32" s="244" t="s">
        <v>128</v>
      </c>
      <c r="Y32" s="244" t="s">
        <v>128</v>
      </c>
      <c r="Z32" s="244" t="s">
        <v>128</v>
      </c>
      <c r="AA32" s="244" t="s">
        <v>128</v>
      </c>
      <c r="AB32" s="244" t="s">
        <v>128</v>
      </c>
      <c r="AC32" s="244" t="s">
        <v>128</v>
      </c>
      <c r="AD32" s="103"/>
      <c r="AE32" s="103"/>
      <c r="AF32" s="104"/>
      <c r="AG32" s="297"/>
      <c r="AH32" s="205"/>
      <c r="AI32" s="194"/>
      <c r="AJ32" s="106"/>
      <c r="AK32" s="106"/>
      <c r="AL32" s="106"/>
      <c r="AM32" s="106"/>
      <c r="AN32" s="144"/>
      <c r="AO32" s="140"/>
      <c r="AP32" s="140"/>
      <c r="AQ32" s="140"/>
      <c r="AR32" s="140"/>
      <c r="AS32" s="140"/>
      <c r="AT32" s="140"/>
      <c r="AU32" s="140"/>
      <c r="AV32" s="140"/>
      <c r="AW32" s="140"/>
      <c r="AX32" s="140"/>
      <c r="AY32" s="140"/>
      <c r="AZ32" s="140"/>
      <c r="BA32" s="140"/>
      <c r="BB32" s="227"/>
      <c r="BC32" s="140"/>
      <c r="BD32" s="140"/>
    </row>
    <row r="33" spans="1:56" s="48" customFormat="1" hidden="1" x14ac:dyDescent="0.15">
      <c r="A33" s="209"/>
      <c r="B33" s="209"/>
      <c r="C33" s="209"/>
      <c r="D33" s="209"/>
      <c r="E33" s="209"/>
      <c r="F33" s="209"/>
      <c r="G33" s="209"/>
      <c r="H33" s="209"/>
      <c r="I33" s="209"/>
      <c r="J33" s="37"/>
      <c r="K33" s="271"/>
      <c r="L33" s="198"/>
      <c r="M33" s="198"/>
      <c r="N33" s="195"/>
      <c r="O33" s="195"/>
      <c r="P33" s="245" t="s">
        <v>128</v>
      </c>
      <c r="Q33" s="243" t="s">
        <v>128</v>
      </c>
      <c r="R33" s="244" t="s">
        <v>128</v>
      </c>
      <c r="S33" s="244" t="s">
        <v>128</v>
      </c>
      <c r="T33" s="244" t="s">
        <v>128</v>
      </c>
      <c r="U33" s="244" t="s">
        <v>128</v>
      </c>
      <c r="V33" s="244" t="s">
        <v>128</v>
      </c>
      <c r="W33" s="244" t="s">
        <v>128</v>
      </c>
      <c r="X33" s="244" t="s">
        <v>128</v>
      </c>
      <c r="Y33" s="244" t="s">
        <v>128</v>
      </c>
      <c r="Z33" s="244" t="s">
        <v>128</v>
      </c>
      <c r="AA33" s="244" t="s">
        <v>128</v>
      </c>
      <c r="AB33" s="244" t="s">
        <v>128</v>
      </c>
      <c r="AC33" s="244" t="s">
        <v>128</v>
      </c>
      <c r="AD33" s="103"/>
      <c r="AE33" s="103"/>
      <c r="AF33" s="104"/>
      <c r="AG33" s="297"/>
      <c r="AH33" s="205"/>
      <c r="AI33" s="194"/>
      <c r="AJ33" s="106"/>
      <c r="AK33" s="106"/>
      <c r="AL33" s="106"/>
      <c r="AM33" s="106"/>
      <c r="AN33" s="144"/>
      <c r="AO33" s="140"/>
      <c r="AP33" s="140"/>
      <c r="AQ33" s="140"/>
      <c r="AR33" s="140"/>
      <c r="AS33" s="140"/>
      <c r="AT33" s="140"/>
      <c r="AU33" s="140"/>
      <c r="AV33" s="140"/>
      <c r="AW33" s="140"/>
      <c r="AX33" s="140"/>
      <c r="AY33" s="140"/>
      <c r="AZ33" s="140"/>
      <c r="BA33" s="140"/>
      <c r="BB33" s="140"/>
      <c r="BC33" s="140"/>
      <c r="BD33" s="140"/>
    </row>
    <row r="34" spans="1:56" s="48" customFormat="1" hidden="1" x14ac:dyDescent="0.15">
      <c r="A34" s="207"/>
      <c r="B34" s="207"/>
      <c r="C34" s="207"/>
      <c r="D34" s="207"/>
      <c r="E34" s="207"/>
      <c r="F34" s="207"/>
      <c r="G34" s="207"/>
      <c r="H34" s="207"/>
      <c r="I34" s="207"/>
      <c r="J34" s="222"/>
      <c r="K34" s="271"/>
      <c r="L34" s="198"/>
      <c r="M34" s="198"/>
      <c r="N34" s="195"/>
      <c r="O34" s="195"/>
      <c r="P34" s="245" t="s">
        <v>128</v>
      </c>
      <c r="Q34" s="243" t="s">
        <v>128</v>
      </c>
      <c r="R34" s="244" t="s">
        <v>128</v>
      </c>
      <c r="S34" s="244" t="s">
        <v>128</v>
      </c>
      <c r="T34" s="244" t="s">
        <v>128</v>
      </c>
      <c r="U34" s="244" t="s">
        <v>128</v>
      </c>
      <c r="V34" s="244" t="s">
        <v>128</v>
      </c>
      <c r="W34" s="244" t="s">
        <v>128</v>
      </c>
      <c r="X34" s="244" t="s">
        <v>128</v>
      </c>
      <c r="Y34" s="244" t="s">
        <v>128</v>
      </c>
      <c r="Z34" s="244" t="s">
        <v>128</v>
      </c>
      <c r="AA34" s="244" t="s">
        <v>128</v>
      </c>
      <c r="AB34" s="244" t="s">
        <v>128</v>
      </c>
      <c r="AC34" s="244" t="s">
        <v>128</v>
      </c>
      <c r="AD34" s="103"/>
      <c r="AE34" s="103"/>
      <c r="AF34" s="104"/>
      <c r="AG34" s="297"/>
      <c r="AH34" s="205"/>
      <c r="AI34" s="194"/>
      <c r="AJ34" s="106"/>
      <c r="AK34" s="106"/>
      <c r="AL34" s="106"/>
      <c r="AM34" s="106"/>
      <c r="AN34" s="144"/>
      <c r="AO34" s="140"/>
      <c r="AP34" s="140"/>
      <c r="AQ34" s="140"/>
      <c r="AR34" s="140"/>
      <c r="AS34" s="140"/>
      <c r="AT34" s="140"/>
      <c r="AU34" s="140"/>
      <c r="AV34" s="140"/>
      <c r="AW34" s="140"/>
      <c r="AX34" s="140"/>
      <c r="AY34" s="140"/>
      <c r="AZ34" s="140"/>
      <c r="BA34" s="140"/>
      <c r="BB34" s="140"/>
      <c r="BC34" s="140"/>
      <c r="BD34" s="140"/>
    </row>
    <row r="35" spans="1:56" s="48" customFormat="1" hidden="1" x14ac:dyDescent="0.2">
      <c r="A35" s="209"/>
      <c r="B35" s="209"/>
      <c r="C35" s="209"/>
      <c r="D35" s="209"/>
      <c r="E35" s="209"/>
      <c r="F35" s="209"/>
      <c r="G35" s="209"/>
      <c r="H35" s="209"/>
      <c r="I35" s="209"/>
      <c r="J35" s="37"/>
      <c r="K35" s="271"/>
      <c r="L35" s="198"/>
      <c r="M35" s="198"/>
      <c r="N35" s="195"/>
      <c r="O35" s="195"/>
      <c r="P35" s="245" t="s">
        <v>128</v>
      </c>
      <c r="Q35" s="243" t="s">
        <v>128</v>
      </c>
      <c r="R35" s="244" t="s">
        <v>128</v>
      </c>
      <c r="S35" s="244" t="s">
        <v>128</v>
      </c>
      <c r="T35" s="244" t="s">
        <v>128</v>
      </c>
      <c r="U35" s="244" t="s">
        <v>128</v>
      </c>
      <c r="V35" s="244" t="s">
        <v>128</v>
      </c>
      <c r="W35" s="244" t="s">
        <v>128</v>
      </c>
      <c r="X35" s="244" t="s">
        <v>128</v>
      </c>
      <c r="Y35" s="244" t="s">
        <v>128</v>
      </c>
      <c r="Z35" s="244" t="s">
        <v>128</v>
      </c>
      <c r="AA35" s="244" t="s">
        <v>128</v>
      </c>
      <c r="AB35" s="244" t="s">
        <v>128</v>
      </c>
      <c r="AC35" s="244" t="s">
        <v>128</v>
      </c>
      <c r="BB35" s="232"/>
      <c r="BD35" s="43"/>
    </row>
    <row r="36" spans="1:56" s="48" customFormat="1" hidden="1" x14ac:dyDescent="0.2">
      <c r="A36" s="207"/>
      <c r="B36" s="207"/>
      <c r="C36" s="207"/>
      <c r="D36" s="207"/>
      <c r="E36" s="207"/>
      <c r="F36" s="207"/>
      <c r="G36" s="207"/>
      <c r="H36" s="207"/>
      <c r="I36" s="207"/>
      <c r="J36" s="222"/>
      <c r="K36" s="271"/>
      <c r="L36" s="206"/>
      <c r="M36" s="206"/>
      <c r="N36" s="29"/>
      <c r="O36" s="46"/>
      <c r="P36" s="245" t="s">
        <v>128</v>
      </c>
      <c r="Q36" s="243" t="s">
        <v>128</v>
      </c>
      <c r="R36" s="244" t="s">
        <v>128</v>
      </c>
      <c r="S36" s="244" t="s">
        <v>128</v>
      </c>
      <c r="T36" s="244" t="s">
        <v>128</v>
      </c>
      <c r="U36" s="244" t="s">
        <v>128</v>
      </c>
      <c r="V36" s="244" t="s">
        <v>128</v>
      </c>
      <c r="W36" s="244" t="s">
        <v>128</v>
      </c>
      <c r="X36" s="244" t="s">
        <v>128</v>
      </c>
      <c r="Y36" s="244" t="s">
        <v>128</v>
      </c>
      <c r="Z36" s="244" t="s">
        <v>128</v>
      </c>
      <c r="AA36" s="244" t="s">
        <v>128</v>
      </c>
      <c r="AB36" s="244" t="s">
        <v>128</v>
      </c>
      <c r="AC36" s="244" t="s">
        <v>128</v>
      </c>
    </row>
    <row r="37" spans="1:56" s="48" customFormat="1" hidden="1" x14ac:dyDescent="0.2">
      <c r="A37" s="209"/>
      <c r="B37" s="209"/>
      <c r="C37" s="209"/>
      <c r="D37" s="209"/>
      <c r="E37" s="209"/>
      <c r="F37" s="209"/>
      <c r="G37" s="209"/>
      <c r="H37" s="209"/>
      <c r="I37" s="209"/>
      <c r="J37" s="37"/>
      <c r="K37" s="271"/>
      <c r="L37" s="206"/>
      <c r="M37" s="206"/>
      <c r="N37" s="29"/>
      <c r="O37" s="46"/>
      <c r="P37" s="245" t="s">
        <v>128</v>
      </c>
      <c r="Q37" s="243" t="s">
        <v>128</v>
      </c>
      <c r="R37" s="244" t="s">
        <v>128</v>
      </c>
      <c r="S37" s="244" t="s">
        <v>128</v>
      </c>
      <c r="T37" s="244" t="s">
        <v>128</v>
      </c>
      <c r="U37" s="244" t="s">
        <v>128</v>
      </c>
      <c r="V37" s="244" t="s">
        <v>128</v>
      </c>
      <c r="W37" s="244" t="s">
        <v>128</v>
      </c>
      <c r="X37" s="244" t="s">
        <v>128</v>
      </c>
      <c r="Y37" s="244" t="s">
        <v>128</v>
      </c>
      <c r="Z37" s="244" t="s">
        <v>128</v>
      </c>
      <c r="AA37" s="244" t="s">
        <v>128</v>
      </c>
      <c r="AB37" s="244" t="s">
        <v>128</v>
      </c>
      <c r="AC37" s="244" t="s">
        <v>128</v>
      </c>
    </row>
    <row r="38" spans="1:56" s="48" customFormat="1" hidden="1" x14ac:dyDescent="0.2">
      <c r="A38" s="207"/>
      <c r="B38" s="207"/>
      <c r="C38" s="207"/>
      <c r="D38" s="207"/>
      <c r="E38" s="207"/>
      <c r="F38" s="207"/>
      <c r="G38" s="207"/>
      <c r="H38" s="207"/>
      <c r="I38" s="207"/>
      <c r="J38" s="222"/>
      <c r="K38" s="271"/>
      <c r="L38" s="206"/>
      <c r="M38" s="206"/>
      <c r="N38" s="29"/>
      <c r="O38" s="46"/>
      <c r="P38" s="245" t="s">
        <v>128</v>
      </c>
      <c r="Q38" s="243" t="s">
        <v>128</v>
      </c>
      <c r="R38" s="244" t="s">
        <v>128</v>
      </c>
      <c r="S38" s="244" t="s">
        <v>128</v>
      </c>
      <c r="T38" s="244" t="s">
        <v>128</v>
      </c>
      <c r="U38" s="244" t="s">
        <v>128</v>
      </c>
      <c r="V38" s="244" t="s">
        <v>128</v>
      </c>
      <c r="W38" s="244" t="s">
        <v>128</v>
      </c>
      <c r="X38" s="244" t="s">
        <v>128</v>
      </c>
      <c r="Y38" s="244" t="s">
        <v>128</v>
      </c>
      <c r="Z38" s="244" t="s">
        <v>128</v>
      </c>
      <c r="AA38" s="244" t="s">
        <v>128</v>
      </c>
      <c r="AB38" s="244" t="s">
        <v>128</v>
      </c>
      <c r="AC38" s="244" t="s">
        <v>128</v>
      </c>
    </row>
    <row r="39" spans="1:56" s="48" customFormat="1" hidden="1" x14ac:dyDescent="0.2">
      <c r="A39" s="209"/>
      <c r="B39" s="209"/>
      <c r="C39" s="209"/>
      <c r="D39" s="209"/>
      <c r="E39" s="209"/>
      <c r="F39" s="209"/>
      <c r="G39" s="209"/>
      <c r="H39" s="209"/>
      <c r="I39" s="209"/>
      <c r="J39" s="37"/>
      <c r="K39" s="271"/>
      <c r="L39" s="206"/>
      <c r="M39" s="206"/>
      <c r="N39" s="29"/>
      <c r="O39" s="46"/>
      <c r="P39" s="245" t="s">
        <v>128</v>
      </c>
      <c r="Q39" s="243" t="s">
        <v>128</v>
      </c>
      <c r="R39" s="244" t="s">
        <v>128</v>
      </c>
      <c r="S39" s="244" t="s">
        <v>128</v>
      </c>
      <c r="T39" s="244" t="s">
        <v>128</v>
      </c>
      <c r="U39" s="244" t="s">
        <v>128</v>
      </c>
      <c r="V39" s="244" t="s">
        <v>128</v>
      </c>
      <c r="W39" s="244" t="s">
        <v>128</v>
      </c>
      <c r="X39" s="244" t="s">
        <v>128</v>
      </c>
      <c r="Y39" s="244" t="s">
        <v>128</v>
      </c>
      <c r="Z39" s="244" t="s">
        <v>128</v>
      </c>
      <c r="AA39" s="244" t="s">
        <v>128</v>
      </c>
      <c r="AB39" s="244" t="s">
        <v>128</v>
      </c>
      <c r="AC39" s="244" t="s">
        <v>128</v>
      </c>
    </row>
    <row r="40" spans="1:56" s="48" customFormat="1" hidden="1" x14ac:dyDescent="0.2">
      <c r="A40" s="207"/>
      <c r="B40" s="207"/>
      <c r="C40" s="207"/>
      <c r="D40" s="207"/>
      <c r="E40" s="207"/>
      <c r="F40" s="207"/>
      <c r="G40" s="207"/>
      <c r="H40" s="207"/>
      <c r="I40" s="207"/>
      <c r="J40" s="222"/>
      <c r="K40" s="271"/>
      <c r="L40" s="206"/>
      <c r="M40" s="206"/>
      <c r="N40" s="29"/>
      <c r="O40" s="46"/>
      <c r="P40" s="245" t="s">
        <v>128</v>
      </c>
      <c r="Q40" s="243" t="s">
        <v>128</v>
      </c>
      <c r="R40" s="244" t="s">
        <v>128</v>
      </c>
      <c r="S40" s="244" t="s">
        <v>128</v>
      </c>
      <c r="T40" s="244" t="s">
        <v>128</v>
      </c>
      <c r="U40" s="244" t="s">
        <v>128</v>
      </c>
      <c r="V40" s="244" t="s">
        <v>128</v>
      </c>
      <c r="W40" s="244" t="s">
        <v>128</v>
      </c>
      <c r="X40" s="244" t="s">
        <v>128</v>
      </c>
      <c r="Y40" s="244" t="s">
        <v>128</v>
      </c>
      <c r="Z40" s="244" t="s">
        <v>128</v>
      </c>
      <c r="AA40" s="244" t="s">
        <v>128</v>
      </c>
      <c r="AB40" s="244" t="s">
        <v>128</v>
      </c>
      <c r="AC40" s="244" t="s">
        <v>128</v>
      </c>
    </row>
    <row r="41" spans="1:56" x14ac:dyDescent="0.2">
      <c r="C41" s="8"/>
      <c r="D41" s="23"/>
      <c r="E41" s="8"/>
      <c r="F41" s="8"/>
      <c r="G41" s="8"/>
      <c r="H41" s="8"/>
      <c r="I41" s="8"/>
      <c r="J41" s="35"/>
      <c r="K41" s="19"/>
      <c r="L41" s="33"/>
      <c r="M41" s="19"/>
      <c r="N41"/>
      <c r="O41"/>
      <c r="P41"/>
      <c r="Q41"/>
      <c r="R41"/>
      <c r="S41"/>
      <c r="T41"/>
      <c r="U41"/>
      <c r="V41"/>
      <c r="W41"/>
      <c r="X41"/>
      <c r="Y41"/>
      <c r="Z41"/>
      <c r="AA41"/>
      <c r="AB41"/>
      <c r="AC41"/>
    </row>
    <row r="42" spans="1:56" s="8" customFormat="1" x14ac:dyDescent="0.2">
      <c r="C42" s="366" t="s">
        <v>83</v>
      </c>
      <c r="D42" s="366"/>
      <c r="E42" s="43" t="s">
        <v>4</v>
      </c>
      <c r="F42" s="1"/>
      <c r="G42" s="1"/>
      <c r="H42" s="31" t="s">
        <v>498</v>
      </c>
      <c r="I42" s="43">
        <f>SUM(O2:O40)</f>
        <v>20</v>
      </c>
      <c r="J42" s="20">
        <f>SUM(J2:J40)</f>
        <v>395414600</v>
      </c>
      <c r="K42" s="24">
        <f>SUM(P42:AB42)</f>
        <v>1</v>
      </c>
      <c r="L42" s="1"/>
      <c r="M42" s="1"/>
      <c r="N42" s="21"/>
      <c r="P42" s="19">
        <v>0.03</v>
      </c>
      <c r="Q42" s="19"/>
      <c r="R42" s="19">
        <v>0.1</v>
      </c>
      <c r="S42" s="19"/>
      <c r="T42" s="19">
        <v>0.3</v>
      </c>
      <c r="U42" s="19"/>
      <c r="V42" s="19">
        <v>0.3</v>
      </c>
      <c r="W42" s="19"/>
      <c r="X42" s="19">
        <v>0.1</v>
      </c>
      <c r="Y42" s="19"/>
      <c r="Z42" s="19">
        <v>0.12</v>
      </c>
      <c r="AA42" s="19"/>
      <c r="AB42" s="19">
        <v>0.05</v>
      </c>
      <c r="AC42" s="19"/>
    </row>
    <row r="43" spans="1:56" x14ac:dyDescent="0.2">
      <c r="C43" s="23" t="s">
        <v>24</v>
      </c>
      <c r="D43" s="8">
        <f t="shared" ref="D43:D49" si="0">SUMIF($E$2:$E$40,C43,$O$2:$O$40)</f>
        <v>4</v>
      </c>
      <c r="E43" s="23" t="s">
        <v>29</v>
      </c>
      <c r="F43" s="8">
        <f>SUMIF($C$2:$C$40,E43,$O$2:$O$40)</f>
        <v>12</v>
      </c>
      <c r="M43" s="360" t="s">
        <v>406</v>
      </c>
      <c r="N43" s="360"/>
      <c r="O43" s="360"/>
    </row>
    <row r="44" spans="1:56" s="8" customFormat="1" x14ac:dyDescent="0.2">
      <c r="C44" s="23" t="s">
        <v>66</v>
      </c>
      <c r="D44" s="8">
        <f t="shared" si="0"/>
        <v>2</v>
      </c>
      <c r="E44" s="23" t="s">
        <v>22</v>
      </c>
      <c r="F44" s="8">
        <f>SUMIF($C$2:$C$40,E44,$O$2:$O$40)</f>
        <v>8</v>
      </c>
      <c r="G44" s="1"/>
      <c r="H44" s="348" t="s">
        <v>75</v>
      </c>
      <c r="I44" s="348"/>
      <c r="J44" s="20">
        <f>SUMIF(K2:K40,K44,J2:J40)</f>
        <v>395414600</v>
      </c>
      <c r="K44" s="24">
        <v>1</v>
      </c>
      <c r="L44" s="1"/>
      <c r="M44" s="48"/>
      <c r="N44" s="43">
        <f>SUMIF($K$2:$K$40,K44,$O$2:$O$40)</f>
        <v>20</v>
      </c>
      <c r="O44" s="43"/>
      <c r="P44" s="1"/>
      <c r="Q44" s="1"/>
      <c r="R44" s="1"/>
      <c r="S44" s="1"/>
      <c r="T44" s="1"/>
      <c r="U44" s="1"/>
      <c r="V44" s="1"/>
      <c r="W44" s="1"/>
      <c r="X44" s="1"/>
      <c r="Y44" s="1"/>
      <c r="Z44" s="1"/>
      <c r="AA44" s="1"/>
      <c r="AB44" s="1"/>
      <c r="AC44" s="1"/>
      <c r="BB44" s="1"/>
    </row>
    <row r="45" spans="1:56" s="8" customFormat="1" x14ac:dyDescent="0.2">
      <c r="C45" s="1" t="s">
        <v>34</v>
      </c>
      <c r="D45" s="8">
        <f t="shared" si="0"/>
        <v>0</v>
      </c>
      <c r="E45" s="1"/>
      <c r="F45" s="1"/>
      <c r="G45" s="1"/>
      <c r="H45" s="1" t="s">
        <v>76</v>
      </c>
      <c r="I45" s="2" t="s">
        <v>410</v>
      </c>
      <c r="J45" s="20">
        <f>SUMIF($L$2:$L$40,K45,$J$2:$J$40)</f>
        <v>0</v>
      </c>
      <c r="K45" s="25">
        <v>1</v>
      </c>
      <c r="L45" s="1"/>
      <c r="M45" s="1"/>
      <c r="N45" s="21"/>
      <c r="P45" s="1"/>
      <c r="Q45" s="1"/>
      <c r="R45" s="1"/>
      <c r="S45" s="1"/>
      <c r="T45" s="1"/>
      <c r="U45" s="1"/>
      <c r="V45" s="1"/>
      <c r="W45" s="1"/>
      <c r="X45" s="1"/>
      <c r="Y45" s="1"/>
      <c r="Z45" s="1"/>
      <c r="AA45" s="1"/>
      <c r="AB45" s="1"/>
      <c r="AC45" s="1"/>
    </row>
    <row r="46" spans="1:56" s="8" customFormat="1" x14ac:dyDescent="0.2">
      <c r="C46" s="23" t="s">
        <v>31</v>
      </c>
      <c r="D46" s="8">
        <f t="shared" si="0"/>
        <v>2</v>
      </c>
      <c r="E46" s="1"/>
      <c r="F46" s="1"/>
      <c r="G46" s="1"/>
      <c r="H46" s="1" t="s">
        <v>76</v>
      </c>
      <c r="I46" s="2" t="s">
        <v>499</v>
      </c>
      <c r="J46" s="20">
        <f>SUMIF($L$2:$L$40,K46,$J$2:$J$40)</f>
        <v>43500000</v>
      </c>
      <c r="K46" s="25">
        <v>2</v>
      </c>
      <c r="L46" s="1"/>
      <c r="M46" s="1"/>
      <c r="N46" s="21"/>
      <c r="P46" s="1"/>
      <c r="Q46" s="1"/>
      <c r="R46" s="1"/>
      <c r="S46" s="1"/>
      <c r="T46" s="1"/>
      <c r="U46" s="1"/>
      <c r="V46" s="1"/>
      <c r="W46" s="1"/>
      <c r="X46" s="1"/>
      <c r="Y46" s="1"/>
      <c r="Z46" s="1"/>
      <c r="AA46" s="1"/>
      <c r="AB46" s="1"/>
      <c r="AC46" s="1"/>
    </row>
    <row r="47" spans="1:56" s="8" customFormat="1" x14ac:dyDescent="0.2">
      <c r="C47" s="23" t="s">
        <v>85</v>
      </c>
      <c r="D47" s="8">
        <f t="shared" si="0"/>
        <v>0</v>
      </c>
      <c r="E47" s="1"/>
      <c r="F47" s="1"/>
      <c r="G47" s="1"/>
      <c r="H47" s="1" t="s">
        <v>76</v>
      </c>
      <c r="I47" s="2" t="s">
        <v>500</v>
      </c>
      <c r="J47" s="20">
        <f>SUMIF($L$2:$L$40,K47,$J$2:$J$40)</f>
        <v>123430000</v>
      </c>
      <c r="K47" s="25">
        <v>3</v>
      </c>
      <c r="L47" s="1"/>
      <c r="M47" s="1"/>
      <c r="N47" s="21"/>
      <c r="P47" s="1"/>
      <c r="Q47" s="1"/>
      <c r="R47" s="1"/>
      <c r="S47" s="1"/>
      <c r="T47" s="1"/>
      <c r="U47" s="1"/>
      <c r="V47" s="1"/>
      <c r="W47" s="1"/>
      <c r="X47" s="1"/>
      <c r="Y47" s="1"/>
      <c r="Z47" s="1"/>
      <c r="AA47" s="1"/>
      <c r="AB47" s="1"/>
      <c r="AC47" s="1"/>
    </row>
    <row r="48" spans="1:56" s="8" customFormat="1" x14ac:dyDescent="0.2">
      <c r="C48" s="23" t="s">
        <v>46</v>
      </c>
      <c r="D48" s="8">
        <f t="shared" si="0"/>
        <v>3</v>
      </c>
      <c r="E48" s="1"/>
      <c r="F48" s="1"/>
      <c r="G48" s="1"/>
      <c r="H48" s="1" t="s">
        <v>76</v>
      </c>
      <c r="I48" s="2" t="s">
        <v>501</v>
      </c>
      <c r="J48" s="20">
        <f>SUMIF($L$2:$L$40,K48,$J$2:$J$40)</f>
        <v>55470000</v>
      </c>
      <c r="K48" s="25">
        <v>4</v>
      </c>
      <c r="L48" s="1"/>
      <c r="M48" s="1"/>
      <c r="N48" s="21"/>
      <c r="P48" s="1"/>
      <c r="Q48" s="1"/>
      <c r="R48" s="1"/>
      <c r="S48" s="1"/>
      <c r="T48" s="1"/>
      <c r="U48" s="1"/>
      <c r="V48" s="1"/>
      <c r="W48" s="1"/>
      <c r="X48" s="1"/>
      <c r="Y48" s="1"/>
      <c r="Z48" s="1"/>
      <c r="AA48" s="1"/>
      <c r="AB48" s="1"/>
      <c r="AC48" s="1"/>
    </row>
    <row r="49" spans="1:15" x14ac:dyDescent="0.2">
      <c r="C49" s="23" t="s">
        <v>38</v>
      </c>
      <c r="D49" s="8">
        <f t="shared" si="0"/>
        <v>9</v>
      </c>
      <c r="H49" s="1" t="s">
        <v>76</v>
      </c>
      <c r="I49" s="2" t="s">
        <v>502</v>
      </c>
      <c r="J49" s="20">
        <f>SUMIF($L$2:$L$40,K49,$J$2:$J$40)</f>
        <v>173014600</v>
      </c>
      <c r="K49" s="25">
        <v>5</v>
      </c>
    </row>
    <row r="51" spans="1:15" x14ac:dyDescent="0.2">
      <c r="C51" s="3" t="s">
        <v>157</v>
      </c>
      <c r="D51" s="8">
        <f>SUM(D43:D50)</f>
        <v>20</v>
      </c>
      <c r="E51" s="3" t="s">
        <v>157</v>
      </c>
      <c r="F51" s="8">
        <f>SUM(F43:F50)</f>
        <v>20</v>
      </c>
    </row>
    <row r="52" spans="1:15" s="57" customFormat="1" ht="29.25" customHeight="1" x14ac:dyDescent="0.2">
      <c r="A52" s="383" t="s">
        <v>158</v>
      </c>
      <c r="B52" s="383"/>
      <c r="C52" s="383"/>
      <c r="D52" s="383"/>
      <c r="E52" s="383"/>
      <c r="F52" s="383"/>
      <c r="G52" s="383"/>
      <c r="H52" s="384"/>
      <c r="I52" s="181" t="s">
        <v>159</v>
      </c>
      <c r="J52" s="181" t="s">
        <v>160</v>
      </c>
      <c r="N52" s="59"/>
      <c r="O52" s="7"/>
    </row>
    <row r="53" spans="1:15" x14ac:dyDescent="0.2">
      <c r="A53" s="109">
        <v>44713</v>
      </c>
      <c r="B53" s="110" t="s">
        <v>162</v>
      </c>
      <c r="C53" s="355"/>
      <c r="D53" s="355"/>
      <c r="E53" s="355"/>
      <c r="F53" s="355"/>
      <c r="G53" s="355"/>
      <c r="H53" s="355"/>
      <c r="I53" s="111"/>
      <c r="J53" s="112"/>
    </row>
    <row r="54" spans="1:15" x14ac:dyDescent="0.2">
      <c r="A54" s="113">
        <f>+A53+1</f>
        <v>44714</v>
      </c>
      <c r="B54" s="50" t="s">
        <v>163</v>
      </c>
      <c r="C54" s="353"/>
      <c r="D54" s="353"/>
      <c r="E54" s="353"/>
      <c r="F54" s="353"/>
      <c r="G54" s="353"/>
      <c r="H54" s="353"/>
      <c r="I54" s="51"/>
      <c r="J54" s="114"/>
    </row>
    <row r="55" spans="1:15" x14ac:dyDescent="0.2">
      <c r="A55" s="113">
        <v>44714</v>
      </c>
      <c r="B55" s="50" t="s">
        <v>163</v>
      </c>
      <c r="C55" s="353"/>
      <c r="D55" s="353"/>
      <c r="E55" s="353"/>
      <c r="F55" s="353"/>
      <c r="G55" s="353"/>
      <c r="H55" s="353"/>
      <c r="I55" s="51"/>
      <c r="J55" s="114"/>
    </row>
    <row r="56" spans="1:15" x14ac:dyDescent="0.2">
      <c r="A56" s="121">
        <v>44714</v>
      </c>
      <c r="B56" s="91" t="s">
        <v>163</v>
      </c>
      <c r="C56" s="354"/>
      <c r="D56" s="354"/>
      <c r="E56" s="354"/>
      <c r="F56" s="354"/>
      <c r="G56" s="354"/>
      <c r="H56" s="354"/>
      <c r="I56" s="92"/>
      <c r="J56" s="122"/>
    </row>
    <row r="57" spans="1:15" x14ac:dyDescent="0.2">
      <c r="A57" s="109">
        <f>+A54+1</f>
        <v>44715</v>
      </c>
      <c r="B57" s="110" t="s">
        <v>164</v>
      </c>
      <c r="C57" s="355" t="s">
        <v>503</v>
      </c>
      <c r="D57" s="355"/>
      <c r="E57" s="355"/>
      <c r="F57" s="355"/>
      <c r="G57" s="355"/>
      <c r="H57" s="355"/>
      <c r="I57" s="111" t="s">
        <v>181</v>
      </c>
      <c r="J57" s="112" t="s">
        <v>170</v>
      </c>
    </row>
    <row r="58" spans="1:15" x14ac:dyDescent="0.2">
      <c r="A58" s="113">
        <v>44715</v>
      </c>
      <c r="B58" s="50" t="s">
        <v>164</v>
      </c>
      <c r="C58" s="374" t="s">
        <v>504</v>
      </c>
      <c r="D58" s="375"/>
      <c r="E58" s="375"/>
      <c r="F58" s="375"/>
      <c r="G58" s="375"/>
      <c r="H58" s="376"/>
      <c r="I58" s="51" t="s">
        <v>172</v>
      </c>
      <c r="J58" s="114" t="s">
        <v>191</v>
      </c>
    </row>
    <row r="59" spans="1:15" x14ac:dyDescent="0.2">
      <c r="A59" s="113">
        <v>44715</v>
      </c>
      <c r="B59" s="50" t="s">
        <v>164</v>
      </c>
      <c r="C59" s="353" t="s">
        <v>505</v>
      </c>
      <c r="D59" s="353"/>
      <c r="E59" s="353"/>
      <c r="F59" s="353"/>
      <c r="G59" s="353"/>
      <c r="H59" s="353"/>
      <c r="I59" s="51" t="s">
        <v>181</v>
      </c>
      <c r="J59" s="114" t="s">
        <v>174</v>
      </c>
    </row>
    <row r="60" spans="1:15" x14ac:dyDescent="0.2">
      <c r="A60" s="113">
        <v>44715</v>
      </c>
      <c r="B60" s="50" t="s">
        <v>164</v>
      </c>
      <c r="C60" s="353" t="s">
        <v>506</v>
      </c>
      <c r="D60" s="353"/>
      <c r="E60" s="353"/>
      <c r="F60" s="353"/>
      <c r="G60" s="353"/>
      <c r="H60" s="353"/>
      <c r="I60" s="51"/>
      <c r="J60" s="114" t="s">
        <v>174</v>
      </c>
    </row>
    <row r="61" spans="1:15" x14ac:dyDescent="0.2">
      <c r="A61" s="113">
        <v>44715</v>
      </c>
      <c r="B61" s="50" t="s">
        <v>164</v>
      </c>
      <c r="C61" s="353" t="s">
        <v>507</v>
      </c>
      <c r="D61" s="353"/>
      <c r="E61" s="353"/>
      <c r="F61" s="353"/>
      <c r="G61" s="353"/>
      <c r="H61" s="353"/>
      <c r="I61" s="51" t="s">
        <v>181</v>
      </c>
      <c r="J61" s="114" t="s">
        <v>170</v>
      </c>
    </row>
    <row r="62" spans="1:15" x14ac:dyDescent="0.2">
      <c r="A62" s="115">
        <v>44715</v>
      </c>
      <c r="B62" s="116" t="s">
        <v>164</v>
      </c>
      <c r="C62" s="352" t="s">
        <v>503</v>
      </c>
      <c r="D62" s="352"/>
      <c r="E62" s="352"/>
      <c r="F62" s="352"/>
      <c r="G62" s="352"/>
      <c r="H62" s="352"/>
      <c r="I62" s="117" t="s">
        <v>181</v>
      </c>
      <c r="J62" s="118" t="s">
        <v>170</v>
      </c>
    </row>
    <row r="63" spans="1:15" x14ac:dyDescent="0.2">
      <c r="A63" s="151">
        <f>+A57+1</f>
        <v>44716</v>
      </c>
      <c r="B63" s="152" t="s">
        <v>165</v>
      </c>
      <c r="C63" s="364"/>
      <c r="D63" s="364"/>
      <c r="E63" s="364"/>
      <c r="F63" s="364"/>
      <c r="G63" s="364"/>
      <c r="H63" s="364"/>
      <c r="I63" s="153"/>
      <c r="J63" s="154"/>
    </row>
    <row r="64" spans="1:15" x14ac:dyDescent="0.2">
      <c r="A64" s="163">
        <f t="shared" ref="A64:A148" si="1">+A63+1</f>
        <v>44717</v>
      </c>
      <c r="B64" s="164" t="s">
        <v>166</v>
      </c>
      <c r="C64" s="373"/>
      <c r="D64" s="373"/>
      <c r="E64" s="373"/>
      <c r="F64" s="373"/>
      <c r="G64" s="373"/>
      <c r="H64" s="373"/>
      <c r="I64" s="165"/>
      <c r="J64" s="166"/>
    </row>
    <row r="65" spans="1:10" x14ac:dyDescent="0.2">
      <c r="A65" s="109">
        <f t="shared" si="1"/>
        <v>44718</v>
      </c>
      <c r="B65" s="110" t="s">
        <v>167</v>
      </c>
      <c r="C65" s="390" t="s">
        <v>508</v>
      </c>
      <c r="D65" s="391"/>
      <c r="E65" s="391"/>
      <c r="F65" s="391"/>
      <c r="G65" s="391"/>
      <c r="H65" s="420"/>
      <c r="I65" s="111" t="s">
        <v>169</v>
      </c>
      <c r="J65" s="112" t="s">
        <v>174</v>
      </c>
    </row>
    <row r="66" spans="1:10" x14ac:dyDescent="0.2">
      <c r="A66" s="113">
        <v>44718</v>
      </c>
      <c r="B66" s="50" t="s">
        <v>167</v>
      </c>
      <c r="C66" s="353" t="s">
        <v>509</v>
      </c>
      <c r="D66" s="353"/>
      <c r="E66" s="353"/>
      <c r="F66" s="353"/>
      <c r="G66" s="353"/>
      <c r="H66" s="353"/>
      <c r="I66" s="51" t="s">
        <v>181</v>
      </c>
      <c r="J66" s="114" t="s">
        <v>174</v>
      </c>
    </row>
    <row r="67" spans="1:10" x14ac:dyDescent="0.2">
      <c r="A67" s="113">
        <v>44718</v>
      </c>
      <c r="B67" s="50" t="s">
        <v>167</v>
      </c>
      <c r="C67" s="353" t="s">
        <v>510</v>
      </c>
      <c r="D67" s="353"/>
      <c r="E67" s="353"/>
      <c r="F67" s="353"/>
      <c r="G67" s="353"/>
      <c r="H67" s="353"/>
      <c r="I67" s="51" t="s">
        <v>181</v>
      </c>
      <c r="J67" s="114" t="s">
        <v>174</v>
      </c>
    </row>
    <row r="68" spans="1:10" x14ac:dyDescent="0.2">
      <c r="A68" s="113">
        <v>44718</v>
      </c>
      <c r="B68" s="50" t="s">
        <v>167</v>
      </c>
      <c r="C68" s="353" t="s">
        <v>505</v>
      </c>
      <c r="D68" s="353"/>
      <c r="E68" s="353"/>
      <c r="F68" s="353"/>
      <c r="G68" s="353"/>
      <c r="H68" s="353"/>
      <c r="I68" s="51" t="s">
        <v>181</v>
      </c>
      <c r="J68" s="114" t="s">
        <v>174</v>
      </c>
    </row>
    <row r="69" spans="1:10" x14ac:dyDescent="0.2">
      <c r="A69" s="113">
        <v>44718</v>
      </c>
      <c r="B69" s="50" t="s">
        <v>167</v>
      </c>
      <c r="C69" s="353" t="s">
        <v>511</v>
      </c>
      <c r="D69" s="353"/>
      <c r="E69" s="353"/>
      <c r="F69" s="353"/>
      <c r="G69" s="353"/>
      <c r="H69" s="353"/>
      <c r="I69" s="51"/>
      <c r="J69" s="114" t="s">
        <v>174</v>
      </c>
    </row>
    <row r="70" spans="1:10" x14ac:dyDescent="0.2">
      <c r="A70" s="113">
        <v>44718</v>
      </c>
      <c r="B70" s="50" t="s">
        <v>167</v>
      </c>
      <c r="C70" s="353" t="s">
        <v>503</v>
      </c>
      <c r="D70" s="353"/>
      <c r="E70" s="353"/>
      <c r="F70" s="353"/>
      <c r="G70" s="353"/>
      <c r="H70" s="353"/>
      <c r="I70" s="51" t="s">
        <v>181</v>
      </c>
      <c r="J70" s="114" t="s">
        <v>170</v>
      </c>
    </row>
    <row r="71" spans="1:10" x14ac:dyDescent="0.2">
      <c r="A71" s="113">
        <v>44718</v>
      </c>
      <c r="B71" s="50" t="s">
        <v>167</v>
      </c>
      <c r="C71" s="374" t="s">
        <v>504</v>
      </c>
      <c r="D71" s="375"/>
      <c r="E71" s="375"/>
      <c r="F71" s="375"/>
      <c r="G71" s="375"/>
      <c r="H71" s="376"/>
      <c r="I71" s="51" t="s">
        <v>172</v>
      </c>
      <c r="J71" s="114" t="s">
        <v>191</v>
      </c>
    </row>
    <row r="72" spans="1:10" x14ac:dyDescent="0.2">
      <c r="A72" s="113">
        <v>44718</v>
      </c>
      <c r="B72" s="50" t="s">
        <v>167</v>
      </c>
      <c r="C72" s="353" t="s">
        <v>512</v>
      </c>
      <c r="D72" s="353"/>
      <c r="E72" s="353"/>
      <c r="F72" s="353"/>
      <c r="G72" s="353"/>
      <c r="H72" s="353"/>
      <c r="I72" s="51" t="s">
        <v>181</v>
      </c>
      <c r="J72" s="114" t="s">
        <v>187</v>
      </c>
    </row>
    <row r="73" spans="1:10" x14ac:dyDescent="0.2">
      <c r="A73" s="113">
        <v>44718</v>
      </c>
      <c r="B73" s="50" t="s">
        <v>167</v>
      </c>
      <c r="C73" s="353" t="s">
        <v>513</v>
      </c>
      <c r="D73" s="353"/>
      <c r="E73" s="353"/>
      <c r="F73" s="353"/>
      <c r="G73" s="353"/>
      <c r="H73" s="353"/>
      <c r="I73" s="51" t="s">
        <v>181</v>
      </c>
      <c r="J73" s="114" t="s">
        <v>187</v>
      </c>
    </row>
    <row r="74" spans="1:10" x14ac:dyDescent="0.2">
      <c r="A74" s="113">
        <v>44718</v>
      </c>
      <c r="B74" s="50" t="s">
        <v>167</v>
      </c>
      <c r="C74" s="353" t="s">
        <v>514</v>
      </c>
      <c r="D74" s="353"/>
      <c r="E74" s="353"/>
      <c r="F74" s="353"/>
      <c r="G74" s="353"/>
      <c r="H74" s="353"/>
      <c r="I74" s="51" t="s">
        <v>183</v>
      </c>
      <c r="J74" s="114"/>
    </row>
    <row r="75" spans="1:10" x14ac:dyDescent="0.2">
      <c r="A75" s="115">
        <v>44718</v>
      </c>
      <c r="B75" s="116" t="s">
        <v>167</v>
      </c>
      <c r="C75" s="352" t="s">
        <v>515</v>
      </c>
      <c r="D75" s="352"/>
      <c r="E75" s="352"/>
      <c r="F75" s="352"/>
      <c r="G75" s="352"/>
      <c r="H75" s="352"/>
      <c r="I75" s="117" t="s">
        <v>216</v>
      </c>
      <c r="J75" s="118"/>
    </row>
    <row r="76" spans="1:10" x14ac:dyDescent="0.2">
      <c r="A76" s="123">
        <f>+A65+1</f>
        <v>44719</v>
      </c>
      <c r="B76" s="124" t="s">
        <v>161</v>
      </c>
      <c r="C76" s="363" t="s">
        <v>505</v>
      </c>
      <c r="D76" s="363"/>
      <c r="E76" s="363"/>
      <c r="F76" s="363"/>
      <c r="G76" s="363"/>
      <c r="H76" s="363"/>
      <c r="I76" s="65" t="s">
        <v>181</v>
      </c>
      <c r="J76" s="125" t="s">
        <v>174</v>
      </c>
    </row>
    <row r="77" spans="1:10" x14ac:dyDescent="0.2">
      <c r="A77" s="113">
        <v>44719</v>
      </c>
      <c r="B77" s="50" t="s">
        <v>161</v>
      </c>
      <c r="C77" s="380" t="s">
        <v>508</v>
      </c>
      <c r="D77" s="381"/>
      <c r="E77" s="381"/>
      <c r="F77" s="381"/>
      <c r="G77" s="381"/>
      <c r="H77" s="412"/>
      <c r="I77" s="51" t="s">
        <v>169</v>
      </c>
      <c r="J77" s="114" t="s">
        <v>174</v>
      </c>
    </row>
    <row r="78" spans="1:10" x14ac:dyDescent="0.2">
      <c r="A78" s="113">
        <v>44719</v>
      </c>
      <c r="B78" s="50" t="s">
        <v>161</v>
      </c>
      <c r="C78" s="353" t="s">
        <v>512</v>
      </c>
      <c r="D78" s="353"/>
      <c r="E78" s="353"/>
      <c r="F78" s="353"/>
      <c r="G78" s="353"/>
      <c r="H78" s="353"/>
      <c r="I78" s="51" t="s">
        <v>181</v>
      </c>
      <c r="J78" s="114" t="s">
        <v>187</v>
      </c>
    </row>
    <row r="79" spans="1:10" x14ac:dyDescent="0.2">
      <c r="A79" s="113">
        <v>44719</v>
      </c>
      <c r="B79" s="50" t="s">
        <v>161</v>
      </c>
      <c r="C79" s="353" t="s">
        <v>513</v>
      </c>
      <c r="D79" s="353"/>
      <c r="E79" s="353"/>
      <c r="F79" s="353"/>
      <c r="G79" s="353"/>
      <c r="H79" s="353"/>
      <c r="I79" s="51" t="s">
        <v>181</v>
      </c>
      <c r="J79" s="114" t="s">
        <v>187</v>
      </c>
    </row>
    <row r="80" spans="1:10" x14ac:dyDescent="0.2">
      <c r="A80" s="113">
        <v>44719</v>
      </c>
      <c r="B80" s="50" t="s">
        <v>161</v>
      </c>
      <c r="C80" s="353" t="s">
        <v>503</v>
      </c>
      <c r="D80" s="353"/>
      <c r="E80" s="353"/>
      <c r="F80" s="353"/>
      <c r="G80" s="353"/>
      <c r="H80" s="353"/>
      <c r="I80" s="51" t="s">
        <v>181</v>
      </c>
      <c r="J80" s="114" t="s">
        <v>170</v>
      </c>
    </row>
    <row r="81" spans="1:10" x14ac:dyDescent="0.2">
      <c r="A81" s="121">
        <v>44719</v>
      </c>
      <c r="B81" s="91" t="s">
        <v>161</v>
      </c>
      <c r="C81" s="354" t="s">
        <v>511</v>
      </c>
      <c r="D81" s="354"/>
      <c r="E81" s="354"/>
      <c r="F81" s="354"/>
      <c r="G81" s="354"/>
      <c r="H81" s="354"/>
      <c r="I81" s="92"/>
      <c r="J81" s="122" t="s">
        <v>174</v>
      </c>
    </row>
    <row r="82" spans="1:10" x14ac:dyDescent="0.2">
      <c r="A82" s="109">
        <f>+A76+1</f>
        <v>44720</v>
      </c>
      <c r="B82" s="110" t="s">
        <v>162</v>
      </c>
      <c r="C82" s="355" t="s">
        <v>505</v>
      </c>
      <c r="D82" s="355"/>
      <c r="E82" s="355"/>
      <c r="F82" s="355"/>
      <c r="G82" s="355"/>
      <c r="H82" s="355"/>
      <c r="I82" s="111" t="s">
        <v>181</v>
      </c>
      <c r="J82" s="112" t="s">
        <v>174</v>
      </c>
    </row>
    <row r="83" spans="1:10" x14ac:dyDescent="0.2">
      <c r="A83" s="113">
        <v>44720</v>
      </c>
      <c r="B83" s="50" t="s">
        <v>162</v>
      </c>
      <c r="C83" s="353" t="s">
        <v>506</v>
      </c>
      <c r="D83" s="353"/>
      <c r="E83" s="353"/>
      <c r="F83" s="353"/>
      <c r="G83" s="353"/>
      <c r="H83" s="353"/>
      <c r="I83" s="51"/>
      <c r="J83" s="114" t="s">
        <v>174</v>
      </c>
    </row>
    <row r="84" spans="1:10" x14ac:dyDescent="0.2">
      <c r="A84" s="113">
        <v>44720</v>
      </c>
      <c r="B84" s="50" t="s">
        <v>162</v>
      </c>
      <c r="C84" s="353" t="s">
        <v>503</v>
      </c>
      <c r="D84" s="353"/>
      <c r="E84" s="353"/>
      <c r="F84" s="353"/>
      <c r="G84" s="353"/>
      <c r="H84" s="353"/>
      <c r="I84" s="51" t="s">
        <v>181</v>
      </c>
      <c r="J84" s="114" t="s">
        <v>170</v>
      </c>
    </row>
    <row r="85" spans="1:10" x14ac:dyDescent="0.2">
      <c r="A85" s="113">
        <v>44720</v>
      </c>
      <c r="B85" s="50" t="s">
        <v>162</v>
      </c>
      <c r="C85" s="353" t="s">
        <v>512</v>
      </c>
      <c r="D85" s="353"/>
      <c r="E85" s="353"/>
      <c r="F85" s="353"/>
      <c r="G85" s="353"/>
      <c r="H85" s="353"/>
      <c r="I85" s="51" t="s">
        <v>181</v>
      </c>
      <c r="J85" s="114" t="s">
        <v>187</v>
      </c>
    </row>
    <row r="86" spans="1:10" x14ac:dyDescent="0.2">
      <c r="A86" s="113">
        <v>44720</v>
      </c>
      <c r="B86" s="50" t="s">
        <v>162</v>
      </c>
      <c r="C86" s="353" t="s">
        <v>513</v>
      </c>
      <c r="D86" s="353"/>
      <c r="E86" s="353"/>
      <c r="F86" s="353"/>
      <c r="G86" s="353"/>
      <c r="H86" s="353"/>
      <c r="I86" s="51" t="s">
        <v>181</v>
      </c>
      <c r="J86" s="114" t="s">
        <v>187</v>
      </c>
    </row>
    <row r="87" spans="1:10" x14ac:dyDescent="0.2">
      <c r="A87" s="113">
        <v>44720</v>
      </c>
      <c r="B87" s="50" t="s">
        <v>162</v>
      </c>
      <c r="C87" s="353" t="s">
        <v>514</v>
      </c>
      <c r="D87" s="353"/>
      <c r="E87" s="353"/>
      <c r="F87" s="353"/>
      <c r="G87" s="353"/>
      <c r="H87" s="353"/>
      <c r="I87" s="51" t="s">
        <v>183</v>
      </c>
      <c r="J87" s="114"/>
    </row>
    <row r="88" spans="1:10" x14ac:dyDescent="0.2">
      <c r="A88" s="113">
        <v>44720</v>
      </c>
      <c r="B88" s="50" t="s">
        <v>162</v>
      </c>
      <c r="C88" s="353" t="s">
        <v>515</v>
      </c>
      <c r="D88" s="353"/>
      <c r="E88" s="353"/>
      <c r="F88" s="353"/>
      <c r="G88" s="353"/>
      <c r="H88" s="353"/>
      <c r="I88" s="51" t="s">
        <v>216</v>
      </c>
      <c r="J88" s="114"/>
    </row>
    <row r="89" spans="1:10" x14ac:dyDescent="0.2">
      <c r="A89" s="121">
        <v>44720</v>
      </c>
      <c r="B89" s="91" t="s">
        <v>162</v>
      </c>
      <c r="C89" s="354" t="s">
        <v>516</v>
      </c>
      <c r="D89" s="354"/>
      <c r="E89" s="354"/>
      <c r="F89" s="354"/>
      <c r="G89" s="354"/>
      <c r="H89" s="354"/>
      <c r="I89" s="92" t="s">
        <v>181</v>
      </c>
      <c r="J89" s="122" t="s">
        <v>244</v>
      </c>
    </row>
    <row r="90" spans="1:10" x14ac:dyDescent="0.2">
      <c r="A90" s="109">
        <f>+A82+1</f>
        <v>44721</v>
      </c>
      <c r="B90" s="110" t="s">
        <v>163</v>
      </c>
      <c r="C90" s="355" t="s">
        <v>517</v>
      </c>
      <c r="D90" s="355"/>
      <c r="E90" s="355"/>
      <c r="F90" s="355"/>
      <c r="G90" s="355"/>
      <c r="H90" s="355"/>
      <c r="I90" s="111" t="s">
        <v>181</v>
      </c>
      <c r="J90" s="112" t="s">
        <v>174</v>
      </c>
    </row>
    <row r="91" spans="1:10" x14ac:dyDescent="0.2">
      <c r="A91" s="113">
        <v>44721</v>
      </c>
      <c r="B91" s="50" t="s">
        <v>163</v>
      </c>
      <c r="C91" s="353" t="s">
        <v>518</v>
      </c>
      <c r="D91" s="353"/>
      <c r="E91" s="353"/>
      <c r="F91" s="353"/>
      <c r="G91" s="353"/>
      <c r="H91" s="353"/>
      <c r="I91" s="51"/>
      <c r="J91" s="114" t="s">
        <v>174</v>
      </c>
    </row>
    <row r="92" spans="1:10" x14ac:dyDescent="0.2">
      <c r="A92" s="113">
        <v>44721</v>
      </c>
      <c r="B92" s="50" t="s">
        <v>163</v>
      </c>
      <c r="C92" s="353" t="s">
        <v>519</v>
      </c>
      <c r="D92" s="353"/>
      <c r="E92" s="353"/>
      <c r="F92" s="353"/>
      <c r="G92" s="353"/>
      <c r="H92" s="353"/>
      <c r="I92" s="51" t="s">
        <v>181</v>
      </c>
      <c r="J92" s="114" t="s">
        <v>174</v>
      </c>
    </row>
    <row r="93" spans="1:10" x14ac:dyDescent="0.2">
      <c r="A93" s="113">
        <v>44721</v>
      </c>
      <c r="B93" s="50" t="s">
        <v>163</v>
      </c>
      <c r="C93" s="353" t="s">
        <v>512</v>
      </c>
      <c r="D93" s="353"/>
      <c r="E93" s="353"/>
      <c r="F93" s="353"/>
      <c r="G93" s="353"/>
      <c r="H93" s="353"/>
      <c r="I93" s="51" t="s">
        <v>181</v>
      </c>
      <c r="J93" s="114" t="s">
        <v>187</v>
      </c>
    </row>
    <row r="94" spans="1:10" x14ac:dyDescent="0.2">
      <c r="A94" s="121">
        <v>44721</v>
      </c>
      <c r="B94" s="91" t="s">
        <v>163</v>
      </c>
      <c r="C94" s="354" t="s">
        <v>520</v>
      </c>
      <c r="D94" s="354"/>
      <c r="E94" s="354"/>
      <c r="F94" s="354"/>
      <c r="G94" s="354"/>
      <c r="H94" s="354"/>
      <c r="I94" s="92" t="s">
        <v>181</v>
      </c>
      <c r="J94" s="122" t="s">
        <v>187</v>
      </c>
    </row>
    <row r="95" spans="1:10" x14ac:dyDescent="0.2">
      <c r="A95" s="109">
        <f>+A90+1</f>
        <v>44722</v>
      </c>
      <c r="B95" s="110" t="s">
        <v>164</v>
      </c>
      <c r="C95" s="417"/>
      <c r="D95" s="418"/>
      <c r="E95" s="418"/>
      <c r="F95" s="418"/>
      <c r="G95" s="418"/>
      <c r="H95" s="419"/>
      <c r="I95" s="111"/>
      <c r="J95" s="112"/>
    </row>
    <row r="96" spans="1:10" x14ac:dyDescent="0.2">
      <c r="A96" s="189">
        <f t="shared" si="1"/>
        <v>44723</v>
      </c>
      <c r="B96" s="175" t="s">
        <v>165</v>
      </c>
      <c r="C96" s="393"/>
      <c r="D96" s="393"/>
      <c r="E96" s="393"/>
      <c r="F96" s="393"/>
      <c r="G96" s="393"/>
      <c r="H96" s="393"/>
      <c r="I96" s="176"/>
      <c r="J96" s="231"/>
    </row>
    <row r="97" spans="1:10" x14ac:dyDescent="0.2">
      <c r="A97" s="163">
        <f t="shared" si="1"/>
        <v>44724</v>
      </c>
      <c r="B97" s="164" t="s">
        <v>166</v>
      </c>
      <c r="C97" s="373"/>
      <c r="D97" s="373"/>
      <c r="E97" s="373"/>
      <c r="F97" s="373"/>
      <c r="G97" s="373"/>
      <c r="H97" s="373"/>
      <c r="I97" s="165"/>
      <c r="J97" s="166"/>
    </row>
    <row r="98" spans="1:10" x14ac:dyDescent="0.2">
      <c r="A98" s="109">
        <f t="shared" si="1"/>
        <v>44725</v>
      </c>
      <c r="B98" s="110" t="s">
        <v>167</v>
      </c>
      <c r="C98" s="355" t="s">
        <v>517</v>
      </c>
      <c r="D98" s="355"/>
      <c r="E98" s="355"/>
      <c r="F98" s="355"/>
      <c r="G98" s="355"/>
      <c r="H98" s="355"/>
      <c r="I98" s="111" t="s">
        <v>181</v>
      </c>
      <c r="J98" s="112" t="s">
        <v>174</v>
      </c>
    </row>
    <row r="99" spans="1:10" x14ac:dyDescent="0.2">
      <c r="A99" s="113">
        <v>44725</v>
      </c>
      <c r="B99" s="50" t="s">
        <v>167</v>
      </c>
      <c r="C99" s="353" t="s">
        <v>518</v>
      </c>
      <c r="D99" s="353"/>
      <c r="E99" s="353"/>
      <c r="F99" s="353"/>
      <c r="G99" s="353"/>
      <c r="H99" s="353"/>
      <c r="I99" s="51"/>
      <c r="J99" s="114" t="s">
        <v>174</v>
      </c>
    </row>
    <row r="100" spans="1:10" x14ac:dyDescent="0.2">
      <c r="A100" s="113">
        <v>44725</v>
      </c>
      <c r="B100" s="50" t="s">
        <v>167</v>
      </c>
      <c r="C100" s="353" t="s">
        <v>521</v>
      </c>
      <c r="D100" s="353"/>
      <c r="E100" s="353"/>
      <c r="F100" s="353"/>
      <c r="G100" s="353"/>
      <c r="H100" s="353"/>
      <c r="I100" s="51" t="s">
        <v>181</v>
      </c>
      <c r="J100" s="114" t="s">
        <v>174</v>
      </c>
    </row>
    <row r="101" spans="1:10" x14ac:dyDescent="0.2">
      <c r="A101" s="121">
        <v>44725</v>
      </c>
      <c r="B101" s="91" t="s">
        <v>167</v>
      </c>
      <c r="C101" s="354" t="s">
        <v>503</v>
      </c>
      <c r="D101" s="354"/>
      <c r="E101" s="354"/>
      <c r="F101" s="354"/>
      <c r="G101" s="354"/>
      <c r="H101" s="354"/>
      <c r="I101" s="92" t="s">
        <v>181</v>
      </c>
      <c r="J101" s="122" t="s">
        <v>170</v>
      </c>
    </row>
    <row r="102" spans="1:10" x14ac:dyDescent="0.2">
      <c r="A102" s="109">
        <f>+A98+1</f>
        <v>44726</v>
      </c>
      <c r="B102" s="110" t="s">
        <v>161</v>
      </c>
      <c r="C102" s="355" t="s">
        <v>517</v>
      </c>
      <c r="D102" s="355"/>
      <c r="E102" s="355"/>
      <c r="F102" s="355"/>
      <c r="G102" s="355"/>
      <c r="H102" s="355"/>
      <c r="I102" s="111" t="s">
        <v>181</v>
      </c>
      <c r="J102" s="112" t="s">
        <v>174</v>
      </c>
    </row>
    <row r="103" spans="1:10" x14ac:dyDescent="0.2">
      <c r="A103" s="113">
        <v>44726</v>
      </c>
      <c r="B103" s="50" t="s">
        <v>161</v>
      </c>
      <c r="C103" s="353" t="s">
        <v>518</v>
      </c>
      <c r="D103" s="353"/>
      <c r="E103" s="353"/>
      <c r="F103" s="353"/>
      <c r="G103" s="353"/>
      <c r="H103" s="353"/>
      <c r="I103" s="51"/>
      <c r="J103" s="114" t="s">
        <v>174</v>
      </c>
    </row>
    <row r="104" spans="1:10" x14ac:dyDescent="0.2">
      <c r="A104" s="113">
        <v>44726</v>
      </c>
      <c r="B104" s="50" t="s">
        <v>161</v>
      </c>
      <c r="C104" s="353" t="s">
        <v>522</v>
      </c>
      <c r="D104" s="353"/>
      <c r="E104" s="353"/>
      <c r="F104" s="353"/>
      <c r="G104" s="353"/>
      <c r="H104" s="353"/>
      <c r="I104" s="51" t="s">
        <v>181</v>
      </c>
      <c r="J104" s="114" t="s">
        <v>174</v>
      </c>
    </row>
    <row r="105" spans="1:10" x14ac:dyDescent="0.2">
      <c r="A105" s="113">
        <v>44726</v>
      </c>
      <c r="B105" s="50" t="s">
        <v>161</v>
      </c>
      <c r="C105" s="353" t="s">
        <v>523</v>
      </c>
      <c r="D105" s="353"/>
      <c r="E105" s="353"/>
      <c r="F105" s="353"/>
      <c r="G105" s="353"/>
      <c r="H105" s="353"/>
      <c r="I105" s="51" t="s">
        <v>214</v>
      </c>
      <c r="J105" s="114" t="s">
        <v>191</v>
      </c>
    </row>
    <row r="106" spans="1:10" x14ac:dyDescent="0.2">
      <c r="A106" s="113">
        <v>44726</v>
      </c>
      <c r="B106" s="50" t="s">
        <v>161</v>
      </c>
      <c r="C106" s="353" t="s">
        <v>503</v>
      </c>
      <c r="D106" s="353"/>
      <c r="E106" s="353"/>
      <c r="F106" s="353"/>
      <c r="G106" s="353"/>
      <c r="H106" s="353"/>
      <c r="I106" s="51" t="s">
        <v>181</v>
      </c>
      <c r="J106" s="114" t="s">
        <v>170</v>
      </c>
    </row>
    <row r="107" spans="1:10" x14ac:dyDescent="0.2">
      <c r="A107" s="113">
        <v>44726</v>
      </c>
      <c r="B107" s="50" t="s">
        <v>161</v>
      </c>
      <c r="C107" s="353" t="s">
        <v>430</v>
      </c>
      <c r="D107" s="353"/>
      <c r="E107" s="353"/>
      <c r="F107" s="353"/>
      <c r="G107" s="353"/>
      <c r="H107" s="353"/>
      <c r="I107" s="51" t="s">
        <v>172</v>
      </c>
      <c r="J107" s="114" t="s">
        <v>170</v>
      </c>
    </row>
    <row r="108" spans="1:10" x14ac:dyDescent="0.2">
      <c r="A108" s="121">
        <v>44726</v>
      </c>
      <c r="B108" s="91" t="s">
        <v>161</v>
      </c>
      <c r="C108" s="354" t="s">
        <v>524</v>
      </c>
      <c r="D108" s="354"/>
      <c r="E108" s="354"/>
      <c r="F108" s="354"/>
      <c r="G108" s="354"/>
      <c r="H108" s="354"/>
      <c r="I108" s="92" t="s">
        <v>216</v>
      </c>
      <c r="J108" s="122" t="s">
        <v>238</v>
      </c>
    </row>
    <row r="109" spans="1:10" x14ac:dyDescent="0.2">
      <c r="A109" s="109">
        <f>+A102+1</f>
        <v>44727</v>
      </c>
      <c r="B109" s="110" t="s">
        <v>162</v>
      </c>
      <c r="C109" s="355" t="s">
        <v>518</v>
      </c>
      <c r="D109" s="355"/>
      <c r="E109" s="355"/>
      <c r="F109" s="355"/>
      <c r="G109" s="355"/>
      <c r="H109" s="355"/>
      <c r="I109" s="111"/>
      <c r="J109" s="112" t="s">
        <v>174</v>
      </c>
    </row>
    <row r="110" spans="1:10" x14ac:dyDescent="0.2">
      <c r="A110" s="113">
        <v>44727</v>
      </c>
      <c r="B110" s="50" t="s">
        <v>162</v>
      </c>
      <c r="C110" s="353" t="s">
        <v>522</v>
      </c>
      <c r="D110" s="353"/>
      <c r="E110" s="353"/>
      <c r="F110" s="353"/>
      <c r="G110" s="353"/>
      <c r="H110" s="353"/>
      <c r="I110" s="51" t="s">
        <v>181</v>
      </c>
      <c r="J110" s="114" t="s">
        <v>174</v>
      </c>
    </row>
    <row r="111" spans="1:10" x14ac:dyDescent="0.2">
      <c r="A111" s="113">
        <v>44727</v>
      </c>
      <c r="B111" s="50" t="s">
        <v>162</v>
      </c>
      <c r="C111" s="353" t="s">
        <v>525</v>
      </c>
      <c r="D111" s="353"/>
      <c r="E111" s="353"/>
      <c r="F111" s="353"/>
      <c r="G111" s="353"/>
      <c r="H111" s="353"/>
      <c r="I111" s="51" t="s">
        <v>172</v>
      </c>
      <c r="J111" s="114" t="s">
        <v>191</v>
      </c>
    </row>
    <row r="112" spans="1:10" x14ac:dyDescent="0.2">
      <c r="A112" s="113">
        <v>44727</v>
      </c>
      <c r="B112" s="50" t="s">
        <v>162</v>
      </c>
      <c r="C112" s="353" t="s">
        <v>512</v>
      </c>
      <c r="D112" s="353"/>
      <c r="E112" s="353"/>
      <c r="F112" s="353"/>
      <c r="G112" s="353"/>
      <c r="H112" s="353"/>
      <c r="I112" s="51" t="s">
        <v>183</v>
      </c>
      <c r="J112" s="114" t="s">
        <v>187</v>
      </c>
    </row>
    <row r="113" spans="1:10" x14ac:dyDescent="0.2">
      <c r="A113" s="115">
        <v>44727</v>
      </c>
      <c r="B113" s="116" t="s">
        <v>162</v>
      </c>
      <c r="C113" s="352" t="s">
        <v>503</v>
      </c>
      <c r="D113" s="352"/>
      <c r="E113" s="352"/>
      <c r="F113" s="352"/>
      <c r="G113" s="352"/>
      <c r="H113" s="352"/>
      <c r="I113" s="117" t="s">
        <v>181</v>
      </c>
      <c r="J113" s="118" t="s">
        <v>170</v>
      </c>
    </row>
    <row r="114" spans="1:10" x14ac:dyDescent="0.2">
      <c r="A114" s="172">
        <f>+A109+1</f>
        <v>44728</v>
      </c>
      <c r="B114" s="173" t="s">
        <v>163</v>
      </c>
      <c r="C114" s="365"/>
      <c r="D114" s="365"/>
      <c r="E114" s="365"/>
      <c r="F114" s="365"/>
      <c r="G114" s="365"/>
      <c r="H114" s="365"/>
      <c r="I114" s="155"/>
      <c r="J114" s="156"/>
    </row>
    <row r="115" spans="1:10" x14ac:dyDescent="0.2">
      <c r="A115" s="109">
        <f t="shared" si="1"/>
        <v>44729</v>
      </c>
      <c r="B115" s="110" t="s">
        <v>164</v>
      </c>
      <c r="C115" s="355" t="s">
        <v>518</v>
      </c>
      <c r="D115" s="355"/>
      <c r="E115" s="355"/>
      <c r="F115" s="355"/>
      <c r="G115" s="355"/>
      <c r="H115" s="355"/>
      <c r="I115" s="111"/>
      <c r="J115" s="112" t="s">
        <v>174</v>
      </c>
    </row>
    <row r="116" spans="1:10" x14ac:dyDescent="0.2">
      <c r="A116" s="113">
        <v>44729</v>
      </c>
      <c r="B116" s="50" t="s">
        <v>164</v>
      </c>
      <c r="C116" s="353" t="s">
        <v>522</v>
      </c>
      <c r="D116" s="353"/>
      <c r="E116" s="353"/>
      <c r="F116" s="353"/>
      <c r="G116" s="353"/>
      <c r="H116" s="353"/>
      <c r="I116" s="51" t="s">
        <v>181</v>
      </c>
      <c r="J116" s="114" t="s">
        <v>174</v>
      </c>
    </row>
    <row r="117" spans="1:10" x14ac:dyDescent="0.2">
      <c r="A117" s="113">
        <v>44729</v>
      </c>
      <c r="B117" s="50" t="s">
        <v>164</v>
      </c>
      <c r="C117" s="353" t="s">
        <v>526</v>
      </c>
      <c r="D117" s="353"/>
      <c r="E117" s="353"/>
      <c r="F117" s="353"/>
      <c r="G117" s="353"/>
      <c r="H117" s="353"/>
      <c r="I117" s="51" t="s">
        <v>181</v>
      </c>
      <c r="J117" s="114" t="s">
        <v>174</v>
      </c>
    </row>
    <row r="118" spans="1:10" x14ac:dyDescent="0.2">
      <c r="A118" s="113">
        <v>44729</v>
      </c>
      <c r="B118" s="50" t="s">
        <v>164</v>
      </c>
      <c r="C118" s="353" t="s">
        <v>527</v>
      </c>
      <c r="D118" s="353"/>
      <c r="E118" s="353"/>
      <c r="F118" s="353"/>
      <c r="G118" s="353"/>
      <c r="H118" s="353"/>
      <c r="I118" s="51" t="s">
        <v>216</v>
      </c>
      <c r="J118" s="114" t="s">
        <v>174</v>
      </c>
    </row>
    <row r="119" spans="1:10" x14ac:dyDescent="0.2">
      <c r="A119" s="115">
        <v>44729</v>
      </c>
      <c r="B119" s="116" t="s">
        <v>164</v>
      </c>
      <c r="C119" s="352" t="s">
        <v>528</v>
      </c>
      <c r="D119" s="352"/>
      <c r="E119" s="352"/>
      <c r="F119" s="352"/>
      <c r="G119" s="352"/>
      <c r="H119" s="352"/>
      <c r="I119" s="117" t="s">
        <v>214</v>
      </c>
      <c r="J119" s="118" t="s">
        <v>185</v>
      </c>
    </row>
    <row r="120" spans="1:10" x14ac:dyDescent="0.2">
      <c r="A120" s="151">
        <f>+A115+1</f>
        <v>44730</v>
      </c>
      <c r="B120" s="152" t="s">
        <v>165</v>
      </c>
      <c r="C120" s="364"/>
      <c r="D120" s="364"/>
      <c r="E120" s="364"/>
      <c r="F120" s="364"/>
      <c r="G120" s="364"/>
      <c r="H120" s="364"/>
      <c r="I120" s="153"/>
      <c r="J120" s="154"/>
    </row>
    <row r="121" spans="1:10" x14ac:dyDescent="0.2">
      <c r="A121" s="189">
        <f t="shared" si="1"/>
        <v>44731</v>
      </c>
      <c r="B121" s="175" t="s">
        <v>166</v>
      </c>
      <c r="C121" s="393"/>
      <c r="D121" s="393"/>
      <c r="E121" s="393"/>
      <c r="F121" s="393"/>
      <c r="G121" s="393"/>
      <c r="H121" s="393"/>
      <c r="I121" s="176"/>
      <c r="J121" s="231"/>
    </row>
    <row r="122" spans="1:10" x14ac:dyDescent="0.2">
      <c r="A122" s="121">
        <f t="shared" si="1"/>
        <v>44732</v>
      </c>
      <c r="B122" s="91" t="s">
        <v>167</v>
      </c>
      <c r="C122" s="354" t="s">
        <v>529</v>
      </c>
      <c r="D122" s="354"/>
      <c r="E122" s="354"/>
      <c r="F122" s="354"/>
      <c r="G122" s="354"/>
      <c r="H122" s="354"/>
      <c r="I122" s="92"/>
      <c r="J122" s="122"/>
    </row>
    <row r="123" spans="1:10" x14ac:dyDescent="0.2">
      <c r="A123" s="234">
        <f t="shared" si="1"/>
        <v>44733</v>
      </c>
      <c r="B123" s="235" t="s">
        <v>161</v>
      </c>
      <c r="C123" s="427" t="s">
        <v>530</v>
      </c>
      <c r="D123" s="427"/>
      <c r="E123" s="427"/>
      <c r="F123" s="427"/>
      <c r="G123" s="427"/>
      <c r="H123" s="427"/>
      <c r="I123" s="236"/>
      <c r="J123" s="237" t="s">
        <v>232</v>
      </c>
    </row>
    <row r="124" spans="1:10" x14ac:dyDescent="0.2">
      <c r="A124" s="238">
        <v>44733</v>
      </c>
      <c r="B124" s="62" t="s">
        <v>161</v>
      </c>
      <c r="C124" s="429" t="s">
        <v>531</v>
      </c>
      <c r="D124" s="429"/>
      <c r="E124" s="429"/>
      <c r="F124" s="429"/>
      <c r="G124" s="429"/>
      <c r="H124" s="429"/>
      <c r="I124" s="63" t="s">
        <v>169</v>
      </c>
      <c r="J124" s="239" t="s">
        <v>174</v>
      </c>
    </row>
    <row r="125" spans="1:10" x14ac:dyDescent="0.2">
      <c r="A125" s="238">
        <v>44733</v>
      </c>
      <c r="B125" s="62" t="s">
        <v>161</v>
      </c>
      <c r="C125" s="429" t="s">
        <v>532</v>
      </c>
      <c r="D125" s="429"/>
      <c r="E125" s="429"/>
      <c r="F125" s="429"/>
      <c r="G125" s="429"/>
      <c r="H125" s="429"/>
      <c r="I125" s="63" t="s">
        <v>169</v>
      </c>
      <c r="J125" s="239" t="s">
        <v>187</v>
      </c>
    </row>
    <row r="126" spans="1:10" x14ac:dyDescent="0.2">
      <c r="A126" s="238">
        <v>44733</v>
      </c>
      <c r="B126" s="62" t="s">
        <v>161</v>
      </c>
      <c r="C126" s="429" t="s">
        <v>533</v>
      </c>
      <c r="D126" s="429"/>
      <c r="E126" s="429"/>
      <c r="F126" s="429"/>
      <c r="G126" s="429"/>
      <c r="H126" s="429"/>
      <c r="I126" s="63"/>
      <c r="J126" s="239" t="s">
        <v>174</v>
      </c>
    </row>
    <row r="127" spans="1:10" x14ac:dyDescent="0.2">
      <c r="A127" s="238">
        <v>44733</v>
      </c>
      <c r="B127" s="62" t="s">
        <v>161</v>
      </c>
      <c r="C127" s="429" t="s">
        <v>522</v>
      </c>
      <c r="D127" s="429"/>
      <c r="E127" s="429"/>
      <c r="F127" s="429"/>
      <c r="G127" s="429"/>
      <c r="H127" s="429"/>
      <c r="I127" s="63" t="s">
        <v>181</v>
      </c>
      <c r="J127" s="239" t="s">
        <v>174</v>
      </c>
    </row>
    <row r="128" spans="1:10" x14ac:dyDescent="0.2">
      <c r="A128" s="238">
        <v>44733</v>
      </c>
      <c r="B128" s="62" t="s">
        <v>161</v>
      </c>
      <c r="C128" s="429" t="s">
        <v>534</v>
      </c>
      <c r="D128" s="429"/>
      <c r="E128" s="429"/>
      <c r="F128" s="429"/>
      <c r="G128" s="429"/>
      <c r="H128" s="429"/>
      <c r="I128" s="63" t="s">
        <v>181</v>
      </c>
      <c r="J128" s="239" t="s">
        <v>174</v>
      </c>
    </row>
    <row r="129" spans="1:10" x14ac:dyDescent="0.2">
      <c r="A129" s="238">
        <v>44733</v>
      </c>
      <c r="B129" s="62" t="s">
        <v>161</v>
      </c>
      <c r="C129" s="429" t="s">
        <v>535</v>
      </c>
      <c r="D129" s="429"/>
      <c r="E129" s="429"/>
      <c r="F129" s="429"/>
      <c r="G129" s="429"/>
      <c r="H129" s="429"/>
      <c r="I129" s="63" t="s">
        <v>181</v>
      </c>
      <c r="J129" s="239" t="s">
        <v>191</v>
      </c>
    </row>
    <row r="130" spans="1:10" x14ac:dyDescent="0.2">
      <c r="A130" s="238">
        <v>44733</v>
      </c>
      <c r="B130" s="62" t="s">
        <v>161</v>
      </c>
      <c r="C130" s="429" t="s">
        <v>536</v>
      </c>
      <c r="D130" s="429"/>
      <c r="E130" s="429"/>
      <c r="F130" s="429"/>
      <c r="G130" s="429"/>
      <c r="H130" s="429"/>
      <c r="I130" s="63" t="s">
        <v>183</v>
      </c>
      <c r="J130" s="239" t="s">
        <v>174</v>
      </c>
    </row>
    <row r="131" spans="1:10" x14ac:dyDescent="0.2">
      <c r="A131" s="238">
        <v>44733</v>
      </c>
      <c r="B131" s="62" t="s">
        <v>161</v>
      </c>
      <c r="C131" s="429" t="s">
        <v>537</v>
      </c>
      <c r="D131" s="429"/>
      <c r="E131" s="429"/>
      <c r="F131" s="429"/>
      <c r="G131" s="429"/>
      <c r="H131" s="429"/>
      <c r="I131" s="63"/>
      <c r="J131" s="239" t="s">
        <v>174</v>
      </c>
    </row>
    <row r="132" spans="1:10" hidden="1" x14ac:dyDescent="0.2">
      <c r="A132" s="238">
        <v>44733</v>
      </c>
      <c r="B132" s="62" t="s">
        <v>161</v>
      </c>
      <c r="C132" s="429"/>
      <c r="D132" s="429"/>
      <c r="E132" s="429"/>
      <c r="F132" s="429"/>
      <c r="G132" s="429"/>
      <c r="H132" s="429"/>
      <c r="I132" s="63"/>
      <c r="J132" s="239"/>
    </row>
    <row r="133" spans="1:10" hidden="1" x14ac:dyDescent="0.2">
      <c r="A133" s="248">
        <v>44733</v>
      </c>
      <c r="B133" s="249" t="s">
        <v>161</v>
      </c>
      <c r="C133" s="428"/>
      <c r="D133" s="428"/>
      <c r="E133" s="428"/>
      <c r="F133" s="428"/>
      <c r="G133" s="428"/>
      <c r="H133" s="428"/>
      <c r="I133" s="250"/>
      <c r="J133" s="251"/>
    </row>
    <row r="134" spans="1:10" x14ac:dyDescent="0.2">
      <c r="A134" s="109">
        <f>+A123+1</f>
        <v>44734</v>
      </c>
      <c r="B134" s="110" t="s">
        <v>162</v>
      </c>
      <c r="C134" s="355" t="s">
        <v>511</v>
      </c>
      <c r="D134" s="355"/>
      <c r="E134" s="355"/>
      <c r="F134" s="355"/>
      <c r="G134" s="355"/>
      <c r="H134" s="355"/>
      <c r="I134" s="111"/>
      <c r="J134" s="112" t="s">
        <v>174</v>
      </c>
    </row>
    <row r="135" spans="1:10" x14ac:dyDescent="0.2">
      <c r="A135" s="113">
        <v>44734</v>
      </c>
      <c r="B135" s="50" t="s">
        <v>538</v>
      </c>
      <c r="C135" s="353" t="s">
        <v>539</v>
      </c>
      <c r="D135" s="353"/>
      <c r="E135" s="353"/>
      <c r="F135" s="353"/>
      <c r="G135" s="353"/>
      <c r="H135" s="353"/>
      <c r="I135" s="51" t="s">
        <v>181</v>
      </c>
      <c r="J135" s="114" t="s">
        <v>187</v>
      </c>
    </row>
    <row r="136" spans="1:10" x14ac:dyDescent="0.2">
      <c r="A136" s="115">
        <v>44734</v>
      </c>
      <c r="B136" s="116" t="s">
        <v>162</v>
      </c>
      <c r="C136" s="352" t="s">
        <v>531</v>
      </c>
      <c r="D136" s="352"/>
      <c r="E136" s="352"/>
      <c r="F136" s="352"/>
      <c r="G136" s="352"/>
      <c r="H136" s="352"/>
      <c r="I136" s="117" t="s">
        <v>169</v>
      </c>
      <c r="J136" s="118" t="s">
        <v>174</v>
      </c>
    </row>
    <row r="137" spans="1:10" hidden="1" x14ac:dyDescent="0.2">
      <c r="A137" s="123">
        <v>44734</v>
      </c>
      <c r="B137" s="124" t="s">
        <v>162</v>
      </c>
      <c r="C137" s="363"/>
      <c r="D137" s="363"/>
      <c r="E137" s="363"/>
      <c r="F137" s="363"/>
      <c r="G137" s="363"/>
      <c r="H137" s="363"/>
      <c r="I137" s="65"/>
      <c r="J137" s="125"/>
    </row>
    <row r="138" spans="1:10" hidden="1" x14ac:dyDescent="0.2">
      <c r="A138" s="115">
        <v>44734</v>
      </c>
      <c r="B138" s="116" t="s">
        <v>162</v>
      </c>
      <c r="C138" s="352"/>
      <c r="D138" s="352"/>
      <c r="E138" s="352"/>
      <c r="F138" s="352"/>
      <c r="G138" s="352"/>
      <c r="H138" s="352"/>
      <c r="I138" s="117"/>
      <c r="J138" s="118"/>
    </row>
    <row r="139" spans="1:10" x14ac:dyDescent="0.2">
      <c r="A139" s="123">
        <f>+A134+1</f>
        <v>44735</v>
      </c>
      <c r="B139" s="124" t="s">
        <v>163</v>
      </c>
      <c r="C139" s="363" t="s">
        <v>518</v>
      </c>
      <c r="D139" s="363"/>
      <c r="E139" s="363"/>
      <c r="F139" s="363"/>
      <c r="G139" s="363"/>
      <c r="H139" s="363"/>
      <c r="I139" s="65"/>
      <c r="J139" s="125" t="s">
        <v>174</v>
      </c>
    </row>
    <row r="140" spans="1:10" x14ac:dyDescent="0.2">
      <c r="A140" s="113">
        <v>44735</v>
      </c>
      <c r="B140" s="50" t="s">
        <v>163</v>
      </c>
      <c r="C140" s="353" t="s">
        <v>531</v>
      </c>
      <c r="D140" s="353"/>
      <c r="E140" s="353"/>
      <c r="F140" s="353"/>
      <c r="G140" s="353"/>
      <c r="H140" s="353"/>
      <c r="I140" s="51" t="s">
        <v>169</v>
      </c>
      <c r="J140" s="114" t="s">
        <v>174</v>
      </c>
    </row>
    <row r="141" spans="1:10" x14ac:dyDescent="0.2">
      <c r="A141" s="115">
        <v>44735</v>
      </c>
      <c r="B141" s="116" t="s">
        <v>163</v>
      </c>
      <c r="C141" s="352"/>
      <c r="D141" s="352"/>
      <c r="E141" s="352"/>
      <c r="F141" s="352"/>
      <c r="G141" s="352"/>
      <c r="H141" s="352"/>
      <c r="I141" s="117"/>
      <c r="J141" s="118"/>
    </row>
    <row r="142" spans="1:10" x14ac:dyDescent="0.2">
      <c r="A142" s="109">
        <f>+A139+1</f>
        <v>44736</v>
      </c>
      <c r="B142" s="110" t="s">
        <v>164</v>
      </c>
      <c r="C142" s="355" t="s">
        <v>518</v>
      </c>
      <c r="D142" s="355"/>
      <c r="E142" s="355"/>
      <c r="F142" s="355"/>
      <c r="G142" s="355"/>
      <c r="H142" s="355"/>
      <c r="I142" s="111"/>
      <c r="J142" s="112" t="s">
        <v>174</v>
      </c>
    </row>
    <row r="143" spans="1:10" x14ac:dyDescent="0.2">
      <c r="A143" s="113">
        <v>44736</v>
      </c>
      <c r="B143" s="50" t="s">
        <v>164</v>
      </c>
      <c r="C143" s="353" t="s">
        <v>531</v>
      </c>
      <c r="D143" s="353"/>
      <c r="E143" s="353"/>
      <c r="F143" s="353"/>
      <c r="G143" s="353"/>
      <c r="H143" s="353"/>
      <c r="I143" s="51" t="s">
        <v>169</v>
      </c>
      <c r="J143" s="114" t="s">
        <v>174</v>
      </c>
    </row>
    <row r="144" spans="1:10" x14ac:dyDescent="0.2">
      <c r="A144" s="115">
        <v>44736</v>
      </c>
      <c r="B144" s="116" t="s">
        <v>164</v>
      </c>
      <c r="C144" s="352"/>
      <c r="D144" s="352"/>
      <c r="E144" s="352"/>
      <c r="F144" s="352"/>
      <c r="G144" s="352"/>
      <c r="H144" s="352"/>
      <c r="I144" s="117"/>
      <c r="J144" s="118"/>
    </row>
    <row r="145" spans="1:21" x14ac:dyDescent="0.2">
      <c r="A145" s="189">
        <f>+A142+1</f>
        <v>44737</v>
      </c>
      <c r="B145" s="175" t="s">
        <v>165</v>
      </c>
      <c r="C145" s="393"/>
      <c r="D145" s="393"/>
      <c r="E145" s="393"/>
      <c r="F145" s="393"/>
      <c r="G145" s="393"/>
      <c r="H145" s="393"/>
      <c r="I145" s="176"/>
      <c r="J145" s="231"/>
    </row>
    <row r="146" spans="1:21" x14ac:dyDescent="0.2">
      <c r="A146" s="189">
        <f t="shared" si="1"/>
        <v>44738</v>
      </c>
      <c r="B146" s="175" t="s">
        <v>166</v>
      </c>
      <c r="C146" s="393"/>
      <c r="D146" s="393"/>
      <c r="E146" s="393"/>
      <c r="F146" s="393"/>
      <c r="G146" s="393"/>
      <c r="H146" s="393"/>
      <c r="I146" s="176"/>
      <c r="J146" s="231"/>
    </row>
    <row r="147" spans="1:21" x14ac:dyDescent="0.2">
      <c r="A147" s="248">
        <f t="shared" si="1"/>
        <v>44739</v>
      </c>
      <c r="B147" s="249" t="s">
        <v>167</v>
      </c>
      <c r="C147" s="428"/>
      <c r="D147" s="428"/>
      <c r="E147" s="428"/>
      <c r="F147" s="428"/>
      <c r="G147" s="428"/>
      <c r="H147" s="428"/>
      <c r="I147" s="250"/>
      <c r="J147" s="251"/>
    </row>
    <row r="148" spans="1:21" x14ac:dyDescent="0.2">
      <c r="A148" s="109">
        <f t="shared" si="1"/>
        <v>44740</v>
      </c>
      <c r="B148" s="110" t="s">
        <v>161</v>
      </c>
      <c r="C148" s="355" t="s">
        <v>518</v>
      </c>
      <c r="D148" s="355"/>
      <c r="E148" s="355"/>
      <c r="F148" s="355"/>
      <c r="G148" s="355"/>
      <c r="H148" s="355"/>
      <c r="I148" s="111"/>
      <c r="J148" s="112" t="s">
        <v>174</v>
      </c>
    </row>
    <row r="149" spans="1:21" x14ac:dyDescent="0.2">
      <c r="A149" s="113">
        <v>44740</v>
      </c>
      <c r="B149" s="50" t="s">
        <v>161</v>
      </c>
      <c r="C149" s="353"/>
      <c r="D149" s="353"/>
      <c r="E149" s="353"/>
      <c r="F149" s="353"/>
      <c r="G149" s="353"/>
      <c r="H149" s="353"/>
      <c r="I149" s="51"/>
      <c r="J149" s="114"/>
    </row>
    <row r="150" spans="1:21" x14ac:dyDescent="0.2">
      <c r="A150" s="115">
        <v>44740</v>
      </c>
      <c r="B150" s="116" t="s">
        <v>161</v>
      </c>
      <c r="C150" s="352"/>
      <c r="D150" s="352"/>
      <c r="E150" s="352"/>
      <c r="F150" s="352"/>
      <c r="G150" s="352"/>
      <c r="H150" s="352"/>
      <c r="I150" s="117"/>
      <c r="J150" s="118"/>
    </row>
    <row r="151" spans="1:21" x14ac:dyDescent="0.2">
      <c r="A151" s="123">
        <f>+A148+1</f>
        <v>44741</v>
      </c>
      <c r="B151" s="124" t="s">
        <v>162</v>
      </c>
      <c r="C151" s="363" t="s">
        <v>518</v>
      </c>
      <c r="D151" s="363"/>
      <c r="E151" s="363"/>
      <c r="F151" s="363"/>
      <c r="G151" s="363"/>
      <c r="H151" s="363"/>
      <c r="I151" s="65"/>
      <c r="J151" s="125" t="s">
        <v>174</v>
      </c>
    </row>
    <row r="152" spans="1:21" x14ac:dyDescent="0.2">
      <c r="A152" s="113">
        <v>44741</v>
      </c>
      <c r="B152" s="50" t="s">
        <v>162</v>
      </c>
      <c r="C152" s="353" t="s">
        <v>540</v>
      </c>
      <c r="D152" s="353"/>
      <c r="E152" s="353"/>
      <c r="F152" s="353"/>
      <c r="G152" s="353"/>
      <c r="H152" s="353"/>
      <c r="I152" s="51" t="s">
        <v>181</v>
      </c>
      <c r="J152" s="114" t="s">
        <v>244</v>
      </c>
    </row>
    <row r="153" spans="1:21" x14ac:dyDescent="0.2">
      <c r="A153" s="115">
        <v>44741</v>
      </c>
      <c r="B153" s="116" t="s">
        <v>162</v>
      </c>
      <c r="C153" s="352"/>
      <c r="D153" s="352"/>
      <c r="E153" s="352"/>
      <c r="F153" s="352"/>
      <c r="G153" s="352"/>
      <c r="H153" s="352"/>
      <c r="I153" s="117"/>
      <c r="J153" s="118"/>
    </row>
    <row r="154" spans="1:21" x14ac:dyDescent="0.2">
      <c r="A154" s="123">
        <v>44742</v>
      </c>
      <c r="B154" s="124" t="s">
        <v>163</v>
      </c>
      <c r="C154" s="363" t="s">
        <v>518</v>
      </c>
      <c r="D154" s="363"/>
      <c r="E154" s="363"/>
      <c r="F154" s="363"/>
      <c r="G154" s="363"/>
      <c r="H154" s="363"/>
      <c r="I154" s="65"/>
      <c r="J154" s="125" t="s">
        <v>174</v>
      </c>
    </row>
    <row r="155" spans="1:21" x14ac:dyDescent="0.2">
      <c r="A155" s="113">
        <v>44742</v>
      </c>
      <c r="B155" s="50" t="s">
        <v>163</v>
      </c>
      <c r="C155" s="353" t="s">
        <v>540</v>
      </c>
      <c r="D155" s="353"/>
      <c r="E155" s="353"/>
      <c r="F155" s="353"/>
      <c r="G155" s="353"/>
      <c r="H155" s="353"/>
      <c r="I155" s="51" t="s">
        <v>181</v>
      </c>
      <c r="J155" s="114" t="s">
        <v>244</v>
      </c>
    </row>
    <row r="156" spans="1:21" x14ac:dyDescent="0.2">
      <c r="A156" s="113">
        <v>44742</v>
      </c>
      <c r="B156" s="50" t="s">
        <v>163</v>
      </c>
      <c r="C156" s="353"/>
      <c r="D156" s="353"/>
      <c r="E156" s="353"/>
      <c r="F156" s="353"/>
      <c r="G156" s="353"/>
      <c r="H156" s="353"/>
      <c r="I156" s="51"/>
      <c r="J156" s="114"/>
    </row>
    <row r="157" spans="1:21" x14ac:dyDescent="0.2">
      <c r="A157" s="113">
        <f>+A151+1</f>
        <v>44742</v>
      </c>
      <c r="B157" s="50" t="s">
        <v>163</v>
      </c>
      <c r="C157" s="353"/>
      <c r="D157" s="353"/>
      <c r="E157" s="353"/>
      <c r="F157" s="353"/>
      <c r="G157" s="353"/>
      <c r="H157" s="353"/>
      <c r="I157" s="51"/>
      <c r="J157" s="114"/>
    </row>
    <row r="158" spans="1:21" x14ac:dyDescent="0.2">
      <c r="A158" s="32"/>
      <c r="I158" s="8"/>
      <c r="J158" s="8"/>
      <c r="R158" s="21"/>
      <c r="S158" s="21"/>
      <c r="T158" s="8"/>
      <c r="U158" s="8"/>
    </row>
    <row r="159" spans="1:21" x14ac:dyDescent="0.2">
      <c r="A159" s="367" t="s">
        <v>207</v>
      </c>
      <c r="B159" s="368"/>
      <c r="C159" s="368"/>
      <c r="D159" s="368"/>
      <c r="I159" s="8"/>
      <c r="J159" s="8"/>
      <c r="R159" s="21"/>
      <c r="S159" s="21"/>
      <c r="T159" s="8"/>
      <c r="U159" s="8"/>
    </row>
    <row r="160" spans="1:21" x14ac:dyDescent="0.2">
      <c r="A160" s="52"/>
      <c r="B160" s="53" t="s">
        <v>208</v>
      </c>
      <c r="C160" s="370" t="s">
        <v>209</v>
      </c>
      <c r="D160" s="370"/>
      <c r="I160" s="8"/>
      <c r="J160" s="8"/>
      <c r="R160" s="21"/>
      <c r="S160" s="21"/>
      <c r="T160" s="8"/>
      <c r="U160" s="8"/>
    </row>
    <row r="161" spans="1:21" x14ac:dyDescent="0.2">
      <c r="A161" s="52">
        <f t="shared" ref="A161:A166" si="2">COUNTIF($I$53:$I$160,B161)</f>
        <v>4</v>
      </c>
      <c r="B161" s="53" t="s">
        <v>172</v>
      </c>
      <c r="C161" s="370" t="s">
        <v>210</v>
      </c>
      <c r="D161" s="370"/>
      <c r="I161" s="8"/>
      <c r="J161" s="8"/>
      <c r="R161" s="21"/>
      <c r="S161" s="21"/>
      <c r="T161" s="8"/>
      <c r="U161" s="8"/>
    </row>
    <row r="162" spans="1:21" x14ac:dyDescent="0.2">
      <c r="A162" s="52">
        <f t="shared" si="2"/>
        <v>7</v>
      </c>
      <c r="B162" s="53" t="s">
        <v>169</v>
      </c>
      <c r="C162" s="370" t="s">
        <v>211</v>
      </c>
      <c r="D162" s="370"/>
      <c r="I162" s="8"/>
      <c r="J162" s="8"/>
      <c r="R162" s="21"/>
      <c r="S162" s="21"/>
      <c r="T162" s="8"/>
      <c r="U162" s="8"/>
    </row>
    <row r="163" spans="1:21" x14ac:dyDescent="0.2">
      <c r="A163" s="52">
        <f t="shared" si="2"/>
        <v>39</v>
      </c>
      <c r="B163" s="53" t="s">
        <v>181</v>
      </c>
      <c r="C163" s="370" t="s">
        <v>212</v>
      </c>
      <c r="D163" s="370"/>
      <c r="I163" s="8"/>
      <c r="J163" s="8"/>
      <c r="R163" s="21"/>
      <c r="S163" s="21"/>
      <c r="T163" s="8"/>
      <c r="U163" s="8"/>
    </row>
    <row r="164" spans="1:21" x14ac:dyDescent="0.2">
      <c r="A164" s="52">
        <f t="shared" si="2"/>
        <v>4</v>
      </c>
      <c r="B164" s="53" t="s">
        <v>183</v>
      </c>
      <c r="C164" s="370" t="s">
        <v>213</v>
      </c>
      <c r="D164" s="370"/>
      <c r="I164" s="8"/>
      <c r="J164" s="8"/>
      <c r="R164" s="21"/>
      <c r="S164" s="21"/>
      <c r="T164" s="8"/>
      <c r="U164" s="8"/>
    </row>
    <row r="165" spans="1:21" x14ac:dyDescent="0.2">
      <c r="A165" s="52">
        <f t="shared" si="2"/>
        <v>2</v>
      </c>
      <c r="B165" s="53" t="s">
        <v>214</v>
      </c>
      <c r="C165" s="370" t="s">
        <v>215</v>
      </c>
      <c r="D165" s="370"/>
      <c r="I165" s="8"/>
      <c r="J165" s="8"/>
      <c r="R165" s="21"/>
      <c r="S165" s="21"/>
      <c r="T165" s="8"/>
      <c r="U165" s="8"/>
    </row>
    <row r="166" spans="1:21" x14ac:dyDescent="0.2">
      <c r="A166" s="52">
        <f t="shared" si="2"/>
        <v>4</v>
      </c>
      <c r="B166" s="53" t="s">
        <v>216</v>
      </c>
      <c r="C166" s="370" t="s">
        <v>217</v>
      </c>
      <c r="D166" s="370"/>
      <c r="I166" s="8"/>
      <c r="J166" s="8"/>
      <c r="R166" s="21"/>
      <c r="S166" s="21"/>
      <c r="T166" s="8"/>
      <c r="U166" s="8"/>
    </row>
    <row r="167" spans="1:21" x14ac:dyDescent="0.2">
      <c r="A167" s="52"/>
      <c r="B167" s="53" t="s">
        <v>218</v>
      </c>
      <c r="C167" s="371" t="s">
        <v>219</v>
      </c>
      <c r="D167" s="372"/>
      <c r="I167" s="8"/>
      <c r="J167" s="8"/>
      <c r="R167" s="21"/>
      <c r="S167" s="21"/>
      <c r="T167" s="8"/>
      <c r="U167" s="8"/>
    </row>
    <row r="168" spans="1:21" x14ac:dyDescent="0.2">
      <c r="A168" s="52"/>
      <c r="B168" s="53" t="s">
        <v>220</v>
      </c>
      <c r="C168" s="370" t="s">
        <v>221</v>
      </c>
      <c r="D168" s="370"/>
      <c r="I168" s="8"/>
      <c r="J168" s="8"/>
    </row>
    <row r="169" spans="1:21" x14ac:dyDescent="0.2">
      <c r="A169" s="52"/>
      <c r="B169" s="53" t="s">
        <v>178</v>
      </c>
      <c r="C169" s="370" t="s">
        <v>222</v>
      </c>
      <c r="D169" s="370"/>
      <c r="I169" s="8"/>
      <c r="J169" s="8"/>
    </row>
    <row r="170" spans="1:21" x14ac:dyDescent="0.2">
      <c r="A170" s="52"/>
      <c r="B170" s="53" t="s">
        <v>223</v>
      </c>
      <c r="C170" s="370" t="s">
        <v>224</v>
      </c>
      <c r="D170" s="370"/>
      <c r="I170" s="8"/>
      <c r="J170" s="8"/>
    </row>
    <row r="171" spans="1:21" x14ac:dyDescent="0.2">
      <c r="A171" s="54"/>
      <c r="B171" s="55"/>
      <c r="C171" s="56"/>
      <c r="D171" s="56"/>
      <c r="I171" s="8"/>
      <c r="J171" s="8"/>
    </row>
    <row r="172" spans="1:21" x14ac:dyDescent="0.2">
      <c r="A172" s="54"/>
      <c r="B172" s="55"/>
      <c r="C172" s="56"/>
      <c r="D172" s="56"/>
      <c r="I172" s="8"/>
      <c r="J172" s="8"/>
    </row>
    <row r="173" spans="1:21" x14ac:dyDescent="0.2">
      <c r="A173" s="54"/>
      <c r="B173" s="55"/>
      <c r="C173" s="56"/>
      <c r="D173" s="56"/>
      <c r="I173" s="8"/>
      <c r="J173" s="8"/>
    </row>
    <row r="174" spans="1:21" x14ac:dyDescent="0.2">
      <c r="A174" s="54"/>
      <c r="B174" s="55"/>
      <c r="C174" s="56"/>
      <c r="D174" s="56"/>
      <c r="I174" s="8"/>
      <c r="J174" s="8"/>
    </row>
    <row r="175" spans="1:21" x14ac:dyDescent="0.2">
      <c r="A175" s="32"/>
      <c r="I175" s="8"/>
      <c r="J175" s="8"/>
    </row>
    <row r="176" spans="1:21" x14ac:dyDescent="0.2">
      <c r="A176" s="367" t="s">
        <v>225</v>
      </c>
      <c r="B176" s="368"/>
      <c r="C176" s="368"/>
      <c r="D176" s="368"/>
      <c r="I176" s="8"/>
      <c r="J176" s="8"/>
    </row>
    <row r="177" spans="1:14" x14ac:dyDescent="0.2">
      <c r="A177" s="52">
        <f>COUNTIF($J$53:$J$160,B177)</f>
        <v>10</v>
      </c>
      <c r="B177" s="52" t="s">
        <v>170</v>
      </c>
      <c r="C177" s="356" t="s">
        <v>226</v>
      </c>
      <c r="D177" s="356"/>
      <c r="I177" s="8"/>
      <c r="J177" s="8"/>
    </row>
    <row r="178" spans="1:14" x14ac:dyDescent="0.2">
      <c r="A178" s="52">
        <f>COUNTIF($J$53:$J$160,B178)</f>
        <v>5</v>
      </c>
      <c r="B178" s="52" t="s">
        <v>191</v>
      </c>
      <c r="C178" s="356" t="s">
        <v>227</v>
      </c>
      <c r="D178" s="356"/>
      <c r="I178" s="8"/>
      <c r="J178" s="8"/>
      <c r="N178" s="21" t="s">
        <v>3</v>
      </c>
    </row>
    <row r="179" spans="1:14" x14ac:dyDescent="0.2">
      <c r="A179" s="52"/>
      <c r="B179" s="52" t="s">
        <v>179</v>
      </c>
      <c r="C179" s="356" t="s">
        <v>228</v>
      </c>
      <c r="D179" s="356"/>
      <c r="I179" s="8"/>
      <c r="J179" s="8"/>
    </row>
    <row r="180" spans="1:14" x14ac:dyDescent="0.2">
      <c r="A180" s="52"/>
      <c r="B180" s="52" t="s">
        <v>229</v>
      </c>
      <c r="C180" s="356" t="s">
        <v>230</v>
      </c>
      <c r="D180" s="356"/>
      <c r="I180" s="8"/>
      <c r="J180" s="8"/>
    </row>
    <row r="181" spans="1:14" x14ac:dyDescent="0.2">
      <c r="A181" s="52">
        <f>COUNTIF($J$53:$J$160,B181)</f>
        <v>42</v>
      </c>
      <c r="B181" s="52" t="s">
        <v>174</v>
      </c>
      <c r="C181" s="356" t="s">
        <v>231</v>
      </c>
      <c r="D181" s="356"/>
      <c r="I181" s="8"/>
      <c r="J181" s="8"/>
    </row>
    <row r="182" spans="1:14" x14ac:dyDescent="0.2">
      <c r="A182" s="52">
        <f>COUNTIF($J$53:$J$160,B182)</f>
        <v>1</v>
      </c>
      <c r="B182" s="52" t="s">
        <v>232</v>
      </c>
      <c r="C182" s="356" t="s">
        <v>233</v>
      </c>
      <c r="D182" s="356"/>
      <c r="I182" s="8"/>
      <c r="J182" s="8"/>
    </row>
    <row r="183" spans="1:14" x14ac:dyDescent="0.2">
      <c r="A183" s="52">
        <f>COUNTIF($J$53:$J$160,B183)</f>
        <v>11</v>
      </c>
      <c r="B183" s="52" t="s">
        <v>187</v>
      </c>
      <c r="C183" s="356" t="s">
        <v>234</v>
      </c>
      <c r="D183" s="356"/>
      <c r="I183" s="8"/>
      <c r="J183" s="8"/>
    </row>
    <row r="184" spans="1:14" x14ac:dyDescent="0.2">
      <c r="A184" s="52"/>
      <c r="B184" s="52" t="s">
        <v>235</v>
      </c>
      <c r="C184" s="356" t="s">
        <v>236</v>
      </c>
      <c r="D184" s="356"/>
      <c r="I184" s="8"/>
      <c r="J184" s="8"/>
    </row>
    <row r="185" spans="1:14" x14ac:dyDescent="0.2">
      <c r="A185" s="52">
        <f>COUNTIF($J$53:$J$160,B185)</f>
        <v>1</v>
      </c>
      <c r="B185" s="52" t="s">
        <v>185</v>
      </c>
      <c r="C185" s="356" t="s">
        <v>237</v>
      </c>
      <c r="D185" s="356"/>
      <c r="I185" s="8"/>
      <c r="J185" s="8"/>
    </row>
    <row r="186" spans="1:14" x14ac:dyDescent="0.2">
      <c r="A186" s="52">
        <f>COUNTIF($J$53:$J$160,B186)</f>
        <v>1</v>
      </c>
      <c r="B186" s="52" t="s">
        <v>238</v>
      </c>
      <c r="C186" s="356" t="s">
        <v>239</v>
      </c>
      <c r="D186" s="356"/>
      <c r="I186" s="8"/>
      <c r="J186" s="8"/>
    </row>
    <row r="187" spans="1:14" x14ac:dyDescent="0.2">
      <c r="A187" s="52"/>
      <c r="B187" s="52" t="s">
        <v>240</v>
      </c>
      <c r="C187" s="356" t="s">
        <v>241</v>
      </c>
      <c r="D187" s="356"/>
      <c r="I187" s="8"/>
      <c r="J187" s="8"/>
    </row>
    <row r="188" spans="1:14" x14ac:dyDescent="0.2">
      <c r="A188" s="52"/>
      <c r="B188" s="52" t="s">
        <v>242</v>
      </c>
      <c r="C188" s="356" t="s">
        <v>243</v>
      </c>
      <c r="D188" s="356"/>
      <c r="I188" s="8"/>
      <c r="J188" s="8"/>
    </row>
    <row r="189" spans="1:14" x14ac:dyDescent="0.2">
      <c r="A189" s="52">
        <f>COUNTIF($J$53:$J$160,B189)</f>
        <v>3</v>
      </c>
      <c r="B189" s="52" t="s">
        <v>244</v>
      </c>
      <c r="C189" s="356" t="s">
        <v>245</v>
      </c>
      <c r="D189" s="356"/>
      <c r="I189" s="8"/>
      <c r="J189" s="8"/>
    </row>
    <row r="190" spans="1:14" x14ac:dyDescent="0.2">
      <c r="A190" s="32"/>
      <c r="I190" s="8"/>
      <c r="J190" s="8"/>
    </row>
    <row r="191" spans="1:14" x14ac:dyDescent="0.2">
      <c r="A191" s="32"/>
      <c r="I191" s="8"/>
      <c r="J191" s="8"/>
    </row>
    <row r="192" spans="1:14" x14ac:dyDescent="0.2">
      <c r="A192" s="32"/>
      <c r="I192" s="8"/>
      <c r="J192" s="8"/>
    </row>
    <row r="193" spans="1:10" x14ac:dyDescent="0.2">
      <c r="A193" s="32"/>
      <c r="I193" s="8"/>
      <c r="J193" s="8"/>
    </row>
    <row r="194" spans="1:10" x14ac:dyDescent="0.2">
      <c r="A194" s="32"/>
      <c r="I194" s="8"/>
      <c r="J194" s="8"/>
    </row>
    <row r="195" spans="1:10" ht="16" thickBot="1" x14ac:dyDescent="0.25">
      <c r="A195" s="32"/>
      <c r="I195" s="8"/>
      <c r="J195" s="8"/>
    </row>
    <row r="196" spans="1:10" ht="20" thickBot="1" x14ac:dyDescent="0.25">
      <c r="A196" s="32"/>
      <c r="C196" s="349" t="s">
        <v>86</v>
      </c>
      <c r="D196" s="350"/>
      <c r="E196" s="350"/>
      <c r="F196" s="350"/>
      <c r="G196" s="351"/>
      <c r="I196" s="8"/>
      <c r="J196" s="8"/>
    </row>
    <row r="197" spans="1:10" ht="32" x14ac:dyDescent="0.2">
      <c r="A197" s="32"/>
      <c r="C197" s="68" t="s">
        <v>87</v>
      </c>
      <c r="D197" s="64" t="s">
        <v>88</v>
      </c>
      <c r="E197" s="64" t="s">
        <v>89</v>
      </c>
      <c r="F197" s="64" t="s">
        <v>90</v>
      </c>
      <c r="G197" s="66" t="s">
        <v>91</v>
      </c>
      <c r="I197" s="8"/>
      <c r="J197" s="8"/>
    </row>
    <row r="198" spans="1:10" x14ac:dyDescent="0.2">
      <c r="A198" s="32"/>
      <c r="C198" s="246">
        <v>266</v>
      </c>
      <c r="D198" s="247">
        <v>724</v>
      </c>
      <c r="E198" s="247">
        <v>67</v>
      </c>
      <c r="F198" s="247">
        <v>73</v>
      </c>
      <c r="G198" s="247">
        <v>1130</v>
      </c>
      <c r="I198" s="8"/>
      <c r="J198" s="8"/>
    </row>
    <row r="199" spans="1:10" x14ac:dyDescent="0.2">
      <c r="A199" s="32"/>
      <c r="G199"/>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c r="I223" s="8"/>
      <c r="J223" s="8"/>
    </row>
    <row r="224" spans="1:10" x14ac:dyDescent="0.2">
      <c r="A224" s="32"/>
      <c r="I224" s="8"/>
      <c r="J224" s="8"/>
    </row>
    <row r="225" spans="1:10" x14ac:dyDescent="0.2">
      <c r="A225" s="32"/>
      <c r="I225" s="8"/>
      <c r="J225" s="8"/>
    </row>
    <row r="226" spans="1:10" x14ac:dyDescent="0.2">
      <c r="A226" s="32"/>
      <c r="I226" s="8"/>
      <c r="J226" s="8"/>
    </row>
    <row r="227" spans="1:10" x14ac:dyDescent="0.2">
      <c r="A227" s="32"/>
      <c r="I227" s="8"/>
      <c r="J227" s="8"/>
    </row>
    <row r="228" spans="1:10" x14ac:dyDescent="0.2">
      <c r="A228" s="32"/>
      <c r="I228" s="8"/>
      <c r="J228" s="8"/>
    </row>
    <row r="229" spans="1:10" x14ac:dyDescent="0.2">
      <c r="A229" s="32"/>
      <c r="I229" s="8"/>
      <c r="J229" s="8"/>
    </row>
    <row r="230" spans="1:10" x14ac:dyDescent="0.2">
      <c r="A230" s="32"/>
      <c r="I230" s="8"/>
      <c r="J230" s="8"/>
    </row>
    <row r="231" spans="1:10" x14ac:dyDescent="0.2">
      <c r="A231" s="32"/>
      <c r="I231" s="8"/>
      <c r="J231" s="8"/>
    </row>
    <row r="232" spans="1:10" x14ac:dyDescent="0.2">
      <c r="A232" s="32"/>
      <c r="I232" s="8"/>
      <c r="J232" s="8"/>
    </row>
    <row r="233" spans="1:10" x14ac:dyDescent="0.2">
      <c r="A233" s="32"/>
      <c r="I233" s="8"/>
      <c r="J233" s="8"/>
    </row>
    <row r="234" spans="1:10" x14ac:dyDescent="0.2">
      <c r="A234" s="32"/>
      <c r="I234" s="8"/>
      <c r="J234" s="8"/>
    </row>
    <row r="235" spans="1:10" x14ac:dyDescent="0.2">
      <c r="A235" s="32"/>
      <c r="I235" s="8"/>
      <c r="J235" s="8"/>
    </row>
    <row r="236" spans="1:10" x14ac:dyDescent="0.2">
      <c r="A236" s="32"/>
      <c r="I236" s="8"/>
      <c r="J236" s="8"/>
    </row>
    <row r="237" spans="1:10" x14ac:dyDescent="0.2">
      <c r="A237" s="32"/>
      <c r="I237" s="8"/>
      <c r="J237" s="8"/>
    </row>
    <row r="238" spans="1:10" x14ac:dyDescent="0.2">
      <c r="A238" s="32"/>
      <c r="I238" s="8"/>
      <c r="J238" s="8"/>
    </row>
    <row r="239" spans="1:10" x14ac:dyDescent="0.2">
      <c r="A239" s="32"/>
      <c r="I239" s="8"/>
      <c r="J239" s="8"/>
    </row>
    <row r="240" spans="1:10" x14ac:dyDescent="0.2">
      <c r="A240" s="32"/>
      <c r="I240" s="8"/>
      <c r="J240" s="8"/>
    </row>
    <row r="241" spans="1:10" x14ac:dyDescent="0.2">
      <c r="A241" s="32"/>
      <c r="I241" s="8"/>
      <c r="J241" s="8"/>
    </row>
    <row r="242" spans="1:10" x14ac:dyDescent="0.2">
      <c r="A242" s="32"/>
      <c r="I242" s="8"/>
      <c r="J242" s="8"/>
    </row>
    <row r="243" spans="1:10" x14ac:dyDescent="0.2">
      <c r="A243" s="32"/>
      <c r="I243" s="8"/>
      <c r="J243" s="8"/>
    </row>
    <row r="244" spans="1:10" x14ac:dyDescent="0.2">
      <c r="A244" s="32"/>
      <c r="I244" s="8"/>
      <c r="J244" s="8"/>
    </row>
    <row r="245" spans="1:10" x14ac:dyDescent="0.2">
      <c r="A245" s="32"/>
      <c r="I245" s="8"/>
      <c r="J245" s="8"/>
    </row>
    <row r="246" spans="1:10" x14ac:dyDescent="0.2">
      <c r="A246" s="32"/>
      <c r="I246" s="8"/>
      <c r="J246" s="8"/>
    </row>
    <row r="247" spans="1:10" x14ac:dyDescent="0.2">
      <c r="A247" s="32"/>
      <c r="I247" s="8"/>
      <c r="J247" s="8"/>
    </row>
    <row r="248" spans="1:10" x14ac:dyDescent="0.2">
      <c r="A248" s="32"/>
      <c r="I248" s="8"/>
      <c r="J248" s="8"/>
    </row>
    <row r="249" spans="1:10" x14ac:dyDescent="0.2">
      <c r="A249" s="32"/>
      <c r="I249" s="8"/>
      <c r="J249" s="8"/>
    </row>
    <row r="250" spans="1:10" x14ac:dyDescent="0.2">
      <c r="A250" s="32"/>
      <c r="I250" s="8"/>
      <c r="J250" s="8"/>
    </row>
    <row r="251" spans="1:10" x14ac:dyDescent="0.2">
      <c r="A251" s="32"/>
      <c r="I251" s="8"/>
      <c r="J251" s="8"/>
    </row>
    <row r="252" spans="1:10" x14ac:dyDescent="0.2">
      <c r="A252" s="32"/>
      <c r="I252" s="8"/>
      <c r="J252" s="8"/>
    </row>
    <row r="253" spans="1:10" x14ac:dyDescent="0.2">
      <c r="A253" s="32"/>
      <c r="I253" s="8"/>
      <c r="J253" s="8"/>
    </row>
    <row r="254" spans="1:10" x14ac:dyDescent="0.2">
      <c r="A254" s="32"/>
      <c r="I254" s="8"/>
      <c r="J254" s="8"/>
    </row>
    <row r="255" spans="1:10" x14ac:dyDescent="0.2">
      <c r="A255" s="32"/>
      <c r="I255" s="8"/>
      <c r="J255" s="8"/>
    </row>
    <row r="256" spans="1:10" x14ac:dyDescent="0.2">
      <c r="A256" s="32"/>
      <c r="I256" s="8"/>
      <c r="J256" s="8"/>
    </row>
    <row r="257" spans="1:10" x14ac:dyDescent="0.2">
      <c r="A257" s="32"/>
      <c r="I257" s="8"/>
      <c r="J257" s="8"/>
    </row>
    <row r="258" spans="1:10" x14ac:dyDescent="0.2">
      <c r="A258" s="32"/>
      <c r="I258" s="8"/>
      <c r="J258" s="8"/>
    </row>
    <row r="259" spans="1:10" x14ac:dyDescent="0.2">
      <c r="A259" s="32"/>
      <c r="I259" s="8"/>
      <c r="J259" s="8"/>
    </row>
    <row r="260" spans="1:10" x14ac:dyDescent="0.2">
      <c r="A260" s="32"/>
      <c r="I260" s="8"/>
      <c r="J260" s="8"/>
    </row>
    <row r="261" spans="1:10" x14ac:dyDescent="0.2">
      <c r="A261" s="32"/>
      <c r="I261" s="8"/>
      <c r="J261" s="8"/>
    </row>
    <row r="262" spans="1:10" x14ac:dyDescent="0.2">
      <c r="A262" s="32"/>
      <c r="I262" s="8"/>
      <c r="J262" s="8"/>
    </row>
    <row r="263" spans="1:10" x14ac:dyDescent="0.2">
      <c r="A263" s="32"/>
      <c r="I263" s="8"/>
      <c r="J263" s="8"/>
    </row>
    <row r="264" spans="1:10" x14ac:dyDescent="0.2">
      <c r="A264" s="32"/>
      <c r="I264" s="8"/>
      <c r="J264" s="8"/>
    </row>
    <row r="265" spans="1:10" x14ac:dyDescent="0.2">
      <c r="A265" s="32"/>
      <c r="I265" s="8"/>
      <c r="J265" s="8"/>
    </row>
    <row r="266" spans="1:10" x14ac:dyDescent="0.2">
      <c r="A266" s="32"/>
      <c r="I266" s="8"/>
      <c r="J266" s="8"/>
    </row>
    <row r="267" spans="1:10" x14ac:dyDescent="0.2">
      <c r="A267" s="32"/>
      <c r="I267" s="8"/>
      <c r="J267" s="8"/>
    </row>
    <row r="268" spans="1:10" x14ac:dyDescent="0.2">
      <c r="A268" s="32"/>
      <c r="I268" s="8"/>
      <c r="J268" s="8"/>
    </row>
    <row r="269" spans="1:10" x14ac:dyDescent="0.2">
      <c r="A269" s="32"/>
      <c r="I269" s="8"/>
      <c r="J269" s="8"/>
    </row>
    <row r="270" spans="1:10" x14ac:dyDescent="0.2">
      <c r="A270" s="32"/>
      <c r="I270" s="8"/>
      <c r="J270" s="8"/>
    </row>
    <row r="271" spans="1:10" x14ac:dyDescent="0.2">
      <c r="A271" s="32"/>
      <c r="I271" s="8"/>
      <c r="J271" s="8"/>
    </row>
    <row r="272" spans="1:10" x14ac:dyDescent="0.2">
      <c r="A272" s="32"/>
      <c r="I272" s="8"/>
      <c r="J272" s="8"/>
    </row>
    <row r="273" spans="1:10" x14ac:dyDescent="0.2">
      <c r="A273" s="32"/>
      <c r="I273" s="8"/>
      <c r="J273" s="8"/>
    </row>
    <row r="274" spans="1:10" x14ac:dyDescent="0.2">
      <c r="A274" s="32"/>
    </row>
    <row r="275" spans="1:10" x14ac:dyDescent="0.2">
      <c r="A275" s="32"/>
    </row>
    <row r="276" spans="1:10" x14ac:dyDescent="0.2">
      <c r="A276" s="32"/>
    </row>
    <row r="277" spans="1:10" x14ac:dyDescent="0.2">
      <c r="A277" s="32"/>
    </row>
    <row r="278" spans="1:10" x14ac:dyDescent="0.2">
      <c r="A278" s="32"/>
    </row>
    <row r="279" spans="1:10" x14ac:dyDescent="0.2">
      <c r="A279" s="32"/>
    </row>
    <row r="280" spans="1:10" x14ac:dyDescent="0.2">
      <c r="A280" s="32"/>
    </row>
    <row r="281" spans="1:10" x14ac:dyDescent="0.2">
      <c r="A281" s="32"/>
    </row>
    <row r="282" spans="1:10" x14ac:dyDescent="0.2">
      <c r="A282" s="32"/>
    </row>
    <row r="283" spans="1:10" x14ac:dyDescent="0.2">
      <c r="A283" s="32"/>
    </row>
    <row r="284" spans="1:10" x14ac:dyDescent="0.2">
      <c r="A284" s="32"/>
    </row>
    <row r="285" spans="1:10" x14ac:dyDescent="0.2">
      <c r="A285" s="32"/>
    </row>
    <row r="286" spans="1:10" x14ac:dyDescent="0.2">
      <c r="A286" s="32"/>
    </row>
    <row r="287" spans="1:10" x14ac:dyDescent="0.2">
      <c r="A287" s="32"/>
    </row>
    <row r="288" spans="1:10" x14ac:dyDescent="0.2">
      <c r="A288" s="32"/>
    </row>
    <row r="289" spans="1:1" x14ac:dyDescent="0.2">
      <c r="A289" s="32"/>
    </row>
    <row r="290" spans="1:1" x14ac:dyDescent="0.2">
      <c r="A290" s="32"/>
    </row>
    <row r="291" spans="1:1" x14ac:dyDescent="0.2">
      <c r="A291" s="32"/>
    </row>
    <row r="292" spans="1:1" x14ac:dyDescent="0.2">
      <c r="A292" s="32"/>
    </row>
    <row r="293" spans="1:1" x14ac:dyDescent="0.2">
      <c r="A293" s="32"/>
    </row>
    <row r="294" spans="1:1" x14ac:dyDescent="0.2">
      <c r="A294" s="32"/>
    </row>
    <row r="295" spans="1:1" x14ac:dyDescent="0.2">
      <c r="A295" s="32"/>
    </row>
    <row r="296" spans="1:1" x14ac:dyDescent="0.2">
      <c r="A296" s="32"/>
    </row>
    <row r="297" spans="1:1" x14ac:dyDescent="0.2">
      <c r="A297" s="32"/>
    </row>
    <row r="298" spans="1:1" x14ac:dyDescent="0.2">
      <c r="A298" s="32"/>
    </row>
    <row r="299" spans="1:1" x14ac:dyDescent="0.2">
      <c r="A299" s="32"/>
    </row>
  </sheetData>
  <autoFilter ref="A1:AC40" xr:uid="{81DCCDD8-53ED-4993-A725-03B614ECF59A}"/>
  <mergeCells count="136">
    <mergeCell ref="C138:H138"/>
    <mergeCell ref="C117:H117"/>
    <mergeCell ref="C118:H118"/>
    <mergeCell ref="C116:H116"/>
    <mergeCell ref="C119:H119"/>
    <mergeCell ref="C135:H135"/>
    <mergeCell ref="C136:H136"/>
    <mergeCell ref="C137:H137"/>
    <mergeCell ref="C124:H124"/>
    <mergeCell ref="C126:H126"/>
    <mergeCell ref="C133:H133"/>
    <mergeCell ref="C125:H125"/>
    <mergeCell ref="C131:H131"/>
    <mergeCell ref="C132:H132"/>
    <mergeCell ref="C129:H129"/>
    <mergeCell ref="C130:H130"/>
    <mergeCell ref="C127:H127"/>
    <mergeCell ref="C128:H128"/>
    <mergeCell ref="C111:H111"/>
    <mergeCell ref="C112:H112"/>
    <mergeCell ref="C113:H113"/>
    <mergeCell ref="C99:H99"/>
    <mergeCell ref="C100:H100"/>
    <mergeCell ref="C101:H101"/>
    <mergeCell ref="C106:H106"/>
    <mergeCell ref="C103:H103"/>
    <mergeCell ref="C104:H104"/>
    <mergeCell ref="C105:H105"/>
    <mergeCell ref="C107:H107"/>
    <mergeCell ref="C108:H108"/>
    <mergeCell ref="C55:H55"/>
    <mergeCell ref="C56:H56"/>
    <mergeCell ref="C58:H58"/>
    <mergeCell ref="C62:H62"/>
    <mergeCell ref="C59:H59"/>
    <mergeCell ref="C60:H60"/>
    <mergeCell ref="C61:H61"/>
    <mergeCell ref="C70:H70"/>
    <mergeCell ref="C110:H110"/>
    <mergeCell ref="C196:G196"/>
    <mergeCell ref="C42:D42"/>
    <mergeCell ref="C146:H146"/>
    <mergeCell ref="C109:H109"/>
    <mergeCell ref="C114:H114"/>
    <mergeCell ref="C115:H115"/>
    <mergeCell ref="C120:H120"/>
    <mergeCell ref="C121:H121"/>
    <mergeCell ref="C122:H122"/>
    <mergeCell ref="C123:H123"/>
    <mergeCell ref="C134:H134"/>
    <mergeCell ref="C139:H139"/>
    <mergeCell ref="C142:H142"/>
    <mergeCell ref="C145:H145"/>
    <mergeCell ref="C165:D165"/>
    <mergeCell ref="C147:H147"/>
    <mergeCell ref="C148:H148"/>
    <mergeCell ref="C151:H151"/>
    <mergeCell ref="C157:H157"/>
    <mergeCell ref="A159:D159"/>
    <mergeCell ref="C160:D160"/>
    <mergeCell ref="C161:D161"/>
    <mergeCell ref="C162:D162"/>
    <mergeCell ref="C71:H71"/>
    <mergeCell ref="M43:O43"/>
    <mergeCell ref="H44:I44"/>
    <mergeCell ref="C53:H53"/>
    <mergeCell ref="C102:H102"/>
    <mergeCell ref="C57:H57"/>
    <mergeCell ref="C63:H63"/>
    <mergeCell ref="C64:H64"/>
    <mergeCell ref="C65:H65"/>
    <mergeCell ref="C76:H76"/>
    <mergeCell ref="C82:H82"/>
    <mergeCell ref="C90:H90"/>
    <mergeCell ref="C95:H95"/>
    <mergeCell ref="C96:H96"/>
    <mergeCell ref="C97:H97"/>
    <mergeCell ref="C98:H98"/>
    <mergeCell ref="C54:H54"/>
    <mergeCell ref="C94:H94"/>
    <mergeCell ref="C83:H83"/>
    <mergeCell ref="C84:H84"/>
    <mergeCell ref="C85:H85"/>
    <mergeCell ref="C86:H86"/>
    <mergeCell ref="C87:H87"/>
    <mergeCell ref="C88:H88"/>
    <mergeCell ref="C89:H89"/>
    <mergeCell ref="C186:D186"/>
    <mergeCell ref="C189:D189"/>
    <mergeCell ref="C187:D187"/>
    <mergeCell ref="C188:D188"/>
    <mergeCell ref="A52:H52"/>
    <mergeCell ref="C66:H66"/>
    <mergeCell ref="C67:H67"/>
    <mergeCell ref="C68:H68"/>
    <mergeCell ref="C69:H69"/>
    <mergeCell ref="C81:H81"/>
    <mergeCell ref="C72:H72"/>
    <mergeCell ref="C73:H73"/>
    <mergeCell ref="C78:H78"/>
    <mergeCell ref="C79:H79"/>
    <mergeCell ref="C75:H75"/>
    <mergeCell ref="C74:H74"/>
    <mergeCell ref="C77:H77"/>
    <mergeCell ref="C80:H80"/>
    <mergeCell ref="C91:H91"/>
    <mergeCell ref="C92:H92"/>
    <mergeCell ref="C93:H93"/>
    <mergeCell ref="C163:D163"/>
    <mergeCell ref="C164:D164"/>
    <mergeCell ref="C182:D182"/>
    <mergeCell ref="C183:D183"/>
    <mergeCell ref="C184:D184"/>
    <mergeCell ref="C185:D185"/>
    <mergeCell ref="C166:D166"/>
    <mergeCell ref="C167:D167"/>
    <mergeCell ref="C168:D168"/>
    <mergeCell ref="C170:D170"/>
    <mergeCell ref="C177:D177"/>
    <mergeCell ref="C178:D178"/>
    <mergeCell ref="C179:D179"/>
    <mergeCell ref="C180:D180"/>
    <mergeCell ref="C181:D181"/>
    <mergeCell ref="C169:D169"/>
    <mergeCell ref="A176:D176"/>
    <mergeCell ref="C149:H149"/>
    <mergeCell ref="C150:H150"/>
    <mergeCell ref="C143:H143"/>
    <mergeCell ref="C144:H144"/>
    <mergeCell ref="C140:H140"/>
    <mergeCell ref="C141:H141"/>
    <mergeCell ref="C154:H154"/>
    <mergeCell ref="C155:H155"/>
    <mergeCell ref="C156:H156"/>
    <mergeCell ref="C152:H152"/>
    <mergeCell ref="C153:H153"/>
  </mergeCells>
  <dataValidations count="2">
    <dataValidation type="list" allowBlank="1" showInputMessage="1" showErrorMessage="1" sqref="J53:J157" xr:uid="{60A6A77E-D732-4B85-879F-1647F3582C74}">
      <formula1>$B$176:$B$189</formula1>
    </dataValidation>
    <dataValidation type="list" allowBlank="1" showInputMessage="1" showErrorMessage="1" sqref="I53:I157" xr:uid="{E8AC9D0D-FFA2-4A75-AAF9-49623452199E}">
      <formula1>$B$160:$B$170</formula1>
    </dataValidation>
  </dataValidations>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EE33-64C6-47A7-BFA6-580DD75ED87C}">
  <sheetPr codeName="Hoja9">
    <tabColor rgb="FFFF0000"/>
    <pageSetUpPr fitToPage="1"/>
  </sheetPr>
  <dimension ref="A1:BI311"/>
  <sheetViews>
    <sheetView zoomScale="85" zoomScaleNormal="85" workbookViewId="0">
      <selection activeCell="A7" sqref="A7:XFD7"/>
    </sheetView>
  </sheetViews>
  <sheetFormatPr baseColWidth="10" defaultColWidth="11.5" defaultRowHeight="15" x14ac:dyDescent="0.2"/>
  <cols>
    <col min="1" max="1" width="11.6640625" style="8" bestFit="1" customWidth="1"/>
    <col min="2" max="2" width="8.1640625" style="8" bestFit="1" customWidth="1"/>
    <col min="3" max="3" width="19" style="1" customWidth="1"/>
    <col min="4" max="4" width="23.33203125" style="1" customWidth="1"/>
    <col min="5" max="5" width="23" style="1" customWidth="1"/>
    <col min="6" max="6" width="30.6640625" style="1" bestFit="1" customWidth="1"/>
    <col min="7" max="7" width="15.5" style="1" customWidth="1"/>
    <col min="8" max="8" width="23" style="1" bestFit="1" customWidth="1"/>
    <col min="9" max="9" width="14.5" style="1" customWidth="1"/>
    <col min="10" max="10" width="15.83203125" style="1" customWidth="1"/>
    <col min="11" max="11" width="6" style="1" bestFit="1" customWidth="1"/>
    <col min="12" max="12" width="4.6640625" style="1" customWidth="1"/>
    <col min="13" max="13" width="3.5" style="1" customWidth="1"/>
    <col min="14" max="14" width="11.5" style="21" bestFit="1" customWidth="1"/>
    <col min="15" max="15" width="4" style="8" customWidth="1"/>
    <col min="16" max="16" width="13.5" style="1" customWidth="1"/>
    <col min="17" max="17" width="4.6640625" style="1" customWidth="1"/>
    <col min="18" max="18" width="13.5" style="1" customWidth="1"/>
    <col min="19" max="19" width="4.6640625" style="1" customWidth="1"/>
    <col min="20" max="20" width="13.5" style="1" customWidth="1"/>
    <col min="21" max="21" width="4.6640625" style="1" customWidth="1"/>
    <col min="22" max="22" width="21.6640625" style="1" customWidth="1"/>
    <col min="23" max="23" width="13.5" style="1" customWidth="1"/>
    <col min="24" max="24" width="4.6640625" style="1" customWidth="1"/>
    <col min="25" max="25" width="21.6640625" style="1" customWidth="1"/>
    <col min="26" max="26" width="13.5" style="1" customWidth="1"/>
    <col min="27" max="27" width="4.6640625" style="1" customWidth="1"/>
    <col min="28" max="28" width="21.6640625" style="1" customWidth="1"/>
    <col min="29" max="29" width="13.5" style="1" customWidth="1"/>
    <col min="30" max="30" width="4.6640625" style="1" customWidth="1"/>
    <col min="31" max="31" width="21.6640625" style="1" customWidth="1"/>
    <col min="32" max="32" width="13.5" style="1" customWidth="1"/>
    <col min="33" max="33" width="4.6640625" style="1" customWidth="1"/>
    <col min="34" max="34" width="21.6640625" style="1" customWidth="1"/>
    <col min="35" max="35" width="11.5" style="1" customWidth="1"/>
    <col min="36" max="16383" width="11.5" style="1"/>
    <col min="16384" max="16384" width="9.1640625" style="1" customWidth="1"/>
  </cols>
  <sheetData>
    <row r="1" spans="1:61" s="8" customFormat="1" x14ac:dyDescent="0.2">
      <c r="A1" s="16" t="s">
        <v>118</v>
      </c>
      <c r="B1" s="16" t="s">
        <v>92</v>
      </c>
      <c r="C1" s="16" t="s">
        <v>4</v>
      </c>
      <c r="D1" s="16" t="s">
        <v>5</v>
      </c>
      <c r="E1" s="16" t="s">
        <v>6</v>
      </c>
      <c r="F1" s="16" t="s">
        <v>7</v>
      </c>
      <c r="G1" s="16" t="s">
        <v>8</v>
      </c>
      <c r="H1" s="16" t="s">
        <v>9</v>
      </c>
      <c r="I1" s="16" t="s">
        <v>10</v>
      </c>
      <c r="J1" s="199" t="s">
        <v>11</v>
      </c>
      <c r="K1" s="267" t="s">
        <v>12</v>
      </c>
      <c r="L1" s="267" t="s">
        <v>13</v>
      </c>
      <c r="M1" s="267" t="s">
        <v>541</v>
      </c>
      <c r="N1" s="267" t="s">
        <v>14</v>
      </c>
      <c r="O1" s="209"/>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246</v>
      </c>
      <c r="AO1" s="150" t="s">
        <v>123</v>
      </c>
      <c r="AP1" s="150" t="s">
        <v>124</v>
      </c>
      <c r="AQ1" s="150" t="s">
        <v>125</v>
      </c>
      <c r="AR1" s="150" t="s">
        <v>126</v>
      </c>
      <c r="AS1" s="143" t="s">
        <v>247</v>
      </c>
      <c r="AT1" s="139" t="s">
        <v>248</v>
      </c>
      <c r="AU1" s="139" t="s">
        <v>249</v>
      </c>
      <c r="AV1" s="139" t="s">
        <v>248</v>
      </c>
      <c r="AW1" s="139" t="s">
        <v>250</v>
      </c>
      <c r="AX1" s="139" t="s">
        <v>248</v>
      </c>
      <c r="AY1" s="139" t="s">
        <v>251</v>
      </c>
      <c r="AZ1" s="139" t="s">
        <v>248</v>
      </c>
      <c r="BA1" s="139" t="s">
        <v>252</v>
      </c>
      <c r="BB1" s="139" t="s">
        <v>248</v>
      </c>
      <c r="BC1" s="139" t="s">
        <v>253</v>
      </c>
      <c r="BD1" s="139" t="s">
        <v>248</v>
      </c>
      <c r="BE1" s="139" t="s">
        <v>254</v>
      </c>
      <c r="BF1" s="139" t="s">
        <v>246</v>
      </c>
      <c r="BG1" s="139" t="s">
        <v>255</v>
      </c>
      <c r="BH1" s="139" t="s">
        <v>256</v>
      </c>
      <c r="BI1" s="139" t="s">
        <v>257</v>
      </c>
    </row>
    <row r="2" spans="1:61" s="48" customFormat="1" x14ac:dyDescent="0.15">
      <c r="A2" s="200" t="s">
        <v>354</v>
      </c>
      <c r="B2" s="206">
        <v>1299</v>
      </c>
      <c r="C2" s="206" t="s">
        <v>22</v>
      </c>
      <c r="D2" s="206" t="s">
        <v>42</v>
      </c>
      <c r="E2" s="206" t="s">
        <v>38</v>
      </c>
      <c r="F2" s="206" t="s">
        <v>543</v>
      </c>
      <c r="G2" s="206" t="s">
        <v>44</v>
      </c>
      <c r="H2" s="206">
        <v>32360</v>
      </c>
      <c r="I2" s="206">
        <v>11210</v>
      </c>
      <c r="J2" s="230">
        <v>24900000</v>
      </c>
      <c r="K2" s="208">
        <v>1</v>
      </c>
      <c r="L2" s="206">
        <v>4</v>
      </c>
      <c r="M2" s="206" t="s">
        <v>27</v>
      </c>
      <c r="N2" s="196">
        <v>44760</v>
      </c>
      <c r="O2" s="195">
        <v>1</v>
      </c>
      <c r="P2" s="240" t="s">
        <v>27</v>
      </c>
      <c r="Q2" s="241" t="s">
        <v>128</v>
      </c>
      <c r="R2" s="242" t="s">
        <v>27</v>
      </c>
      <c r="S2" s="242">
        <v>1.5</v>
      </c>
      <c r="T2" s="242" t="s">
        <v>27</v>
      </c>
      <c r="U2" s="242">
        <v>3</v>
      </c>
      <c r="V2" s="242" t="s">
        <v>544</v>
      </c>
      <c r="W2" s="242" t="s">
        <v>27</v>
      </c>
      <c r="X2" s="242">
        <v>3</v>
      </c>
      <c r="Y2" s="242" t="s">
        <v>545</v>
      </c>
      <c r="Z2" s="242" t="s">
        <v>27</v>
      </c>
      <c r="AA2" s="242">
        <v>1</v>
      </c>
      <c r="AB2" s="242" t="s">
        <v>546</v>
      </c>
      <c r="AC2" s="242" t="s">
        <v>27</v>
      </c>
      <c r="AD2" s="242">
        <v>1</v>
      </c>
      <c r="AE2" s="242" t="s">
        <v>547</v>
      </c>
      <c r="AF2" s="242" t="s">
        <v>27</v>
      </c>
      <c r="AG2" s="242">
        <v>1</v>
      </c>
      <c r="AH2" s="276" t="s">
        <v>128</v>
      </c>
      <c r="AI2" s="103"/>
      <c r="AJ2" s="103"/>
      <c r="AK2" s="104"/>
      <c r="AL2" s="297"/>
      <c r="AM2" s="205" t="s">
        <v>268</v>
      </c>
      <c r="AN2" s="194" t="s">
        <v>240</v>
      </c>
      <c r="AO2" s="106"/>
      <c r="AP2" s="106"/>
      <c r="AQ2" s="106"/>
      <c r="AR2" s="106"/>
      <c r="AS2" s="144"/>
      <c r="AT2" s="140"/>
      <c r="AU2" s="140"/>
      <c r="AV2" s="140"/>
      <c r="AW2" s="140"/>
      <c r="AX2" s="140"/>
      <c r="AY2" s="140"/>
      <c r="AZ2" s="140"/>
      <c r="BA2" s="140"/>
      <c r="BB2" s="140"/>
      <c r="BC2" s="140"/>
      <c r="BD2" s="140"/>
      <c r="BE2" s="140"/>
      <c r="BF2" s="140"/>
      <c r="BG2" s="140" t="s">
        <v>269</v>
      </c>
      <c r="BH2" s="140" t="s">
        <v>264</v>
      </c>
      <c r="BI2" s="140" t="s">
        <v>264</v>
      </c>
    </row>
    <row r="3" spans="1:61" s="48" customFormat="1" x14ac:dyDescent="0.15">
      <c r="A3" s="200" t="s">
        <v>354</v>
      </c>
      <c r="B3" s="206">
        <v>1329</v>
      </c>
      <c r="C3" s="206" t="s">
        <v>22</v>
      </c>
      <c r="D3" s="206" t="s">
        <v>42</v>
      </c>
      <c r="E3" s="206" t="s">
        <v>38</v>
      </c>
      <c r="F3" s="206" t="s">
        <v>548</v>
      </c>
      <c r="G3" s="206" t="s">
        <v>44</v>
      </c>
      <c r="H3" s="206">
        <v>31330</v>
      </c>
      <c r="I3" s="206">
        <v>25603</v>
      </c>
      <c r="J3" s="230">
        <v>36000000</v>
      </c>
      <c r="K3" s="208">
        <v>1</v>
      </c>
      <c r="L3" s="206">
        <v>7</v>
      </c>
      <c r="M3" s="206" t="s">
        <v>27</v>
      </c>
      <c r="N3" s="196">
        <v>44781</v>
      </c>
      <c r="O3" s="195">
        <v>1</v>
      </c>
      <c r="P3" s="261" t="s">
        <v>27</v>
      </c>
      <c r="Q3" s="243" t="s">
        <v>128</v>
      </c>
      <c r="R3" s="262" t="s">
        <v>27</v>
      </c>
      <c r="S3" s="262">
        <v>1.5</v>
      </c>
      <c r="T3" s="262" t="s">
        <v>27</v>
      </c>
      <c r="U3" s="262">
        <v>4</v>
      </c>
      <c r="V3" s="262" t="s">
        <v>544</v>
      </c>
      <c r="W3" s="262" t="s">
        <v>27</v>
      </c>
      <c r="X3" s="262">
        <v>2</v>
      </c>
      <c r="Y3" s="262" t="s">
        <v>549</v>
      </c>
      <c r="Z3" s="262" t="s">
        <v>27</v>
      </c>
      <c r="AA3" s="262">
        <v>1</v>
      </c>
      <c r="AB3" s="262" t="s">
        <v>546</v>
      </c>
      <c r="AC3" s="262" t="s">
        <v>27</v>
      </c>
      <c r="AD3" s="262">
        <v>1.5</v>
      </c>
      <c r="AE3" s="262" t="s">
        <v>547</v>
      </c>
      <c r="AF3" s="262" t="s">
        <v>27</v>
      </c>
      <c r="AG3" s="262">
        <v>1</v>
      </c>
      <c r="AH3" s="244" t="s">
        <v>128</v>
      </c>
      <c r="AI3" s="103"/>
      <c r="AJ3" s="103"/>
      <c r="AK3" s="104"/>
      <c r="AL3" s="297"/>
      <c r="AM3" s="205" t="s">
        <v>268</v>
      </c>
      <c r="AN3" s="194" t="s">
        <v>240</v>
      </c>
      <c r="AO3" s="106"/>
      <c r="AP3" s="106"/>
      <c r="AQ3" s="106"/>
      <c r="AR3" s="106"/>
      <c r="AS3" s="144"/>
      <c r="AT3" s="140"/>
      <c r="AU3" s="140"/>
      <c r="AV3" s="140"/>
      <c r="AW3" s="140"/>
      <c r="AX3" s="140"/>
      <c r="AY3" s="140"/>
      <c r="AZ3" s="140"/>
      <c r="BA3" s="140"/>
      <c r="BB3" s="140"/>
      <c r="BC3" s="140"/>
      <c r="BD3" s="140"/>
      <c r="BE3" s="140"/>
      <c r="BF3" s="140"/>
      <c r="BG3" s="140" t="s">
        <v>550</v>
      </c>
      <c r="BH3" s="140"/>
      <c r="BI3" s="140" t="s">
        <v>264</v>
      </c>
    </row>
    <row r="4" spans="1:61" s="48" customFormat="1" x14ac:dyDescent="0.15">
      <c r="A4" s="215" t="s">
        <v>354</v>
      </c>
      <c r="B4" s="206">
        <v>1411</v>
      </c>
      <c r="C4" s="206" t="s">
        <v>29</v>
      </c>
      <c r="D4" s="206" t="s">
        <v>109</v>
      </c>
      <c r="E4" s="206" t="s">
        <v>38</v>
      </c>
      <c r="F4" s="206" t="s">
        <v>551</v>
      </c>
      <c r="G4" s="206" t="s">
        <v>44</v>
      </c>
      <c r="H4" s="206">
        <v>31330</v>
      </c>
      <c r="I4" s="206">
        <v>19637</v>
      </c>
      <c r="J4" s="230">
        <v>17000000</v>
      </c>
      <c r="K4" s="208">
        <v>1</v>
      </c>
      <c r="L4" s="206">
        <v>4</v>
      </c>
      <c r="M4" s="206" t="s">
        <v>27</v>
      </c>
      <c r="N4" s="196">
        <v>44762</v>
      </c>
      <c r="O4" s="195">
        <v>1</v>
      </c>
      <c r="P4" s="261" t="s">
        <v>27</v>
      </c>
      <c r="Q4" s="243" t="s">
        <v>128</v>
      </c>
      <c r="R4" s="262" t="s">
        <v>27</v>
      </c>
      <c r="S4" s="262">
        <v>1.5</v>
      </c>
      <c r="T4" s="262" t="s">
        <v>27</v>
      </c>
      <c r="U4" s="262">
        <v>4</v>
      </c>
      <c r="V4" s="262" t="s">
        <v>544</v>
      </c>
      <c r="W4" s="262" t="s">
        <v>27</v>
      </c>
      <c r="X4" s="262">
        <v>4</v>
      </c>
      <c r="Y4" s="262" t="s">
        <v>549</v>
      </c>
      <c r="Z4" s="262" t="s">
        <v>27</v>
      </c>
      <c r="AA4" s="262">
        <v>1</v>
      </c>
      <c r="AB4" s="262" t="s">
        <v>546</v>
      </c>
      <c r="AC4" s="262" t="s">
        <v>27</v>
      </c>
      <c r="AD4" s="262">
        <v>1</v>
      </c>
      <c r="AE4" s="262" t="s">
        <v>547</v>
      </c>
      <c r="AF4" s="262" t="s">
        <v>27</v>
      </c>
      <c r="AG4" s="262">
        <v>2</v>
      </c>
      <c r="AH4" s="262" t="s">
        <v>552</v>
      </c>
      <c r="AI4" s="103" t="s">
        <v>266</v>
      </c>
      <c r="AJ4" s="103" t="s">
        <v>240</v>
      </c>
      <c r="AK4" s="104" t="s">
        <v>267</v>
      </c>
      <c r="AL4" s="297" t="s">
        <v>240</v>
      </c>
      <c r="AM4" s="205" t="s">
        <v>268</v>
      </c>
      <c r="AN4" s="194" t="s">
        <v>240</v>
      </c>
      <c r="AO4" s="106"/>
      <c r="AP4" s="106"/>
      <c r="AQ4" s="106"/>
      <c r="AR4" s="106"/>
      <c r="AS4" s="144"/>
      <c r="AT4" s="140"/>
      <c r="AU4" s="140"/>
      <c r="AV4" s="140"/>
      <c r="AW4" s="140"/>
      <c r="AX4" s="140"/>
      <c r="AY4" s="140"/>
      <c r="AZ4" s="140"/>
      <c r="BA4" s="140"/>
      <c r="BB4" s="140"/>
      <c r="BC4" s="140"/>
      <c r="BD4" s="140"/>
      <c r="BE4" s="140"/>
      <c r="BF4" s="140"/>
      <c r="BG4" s="140" t="s">
        <v>269</v>
      </c>
      <c r="BH4" s="140" t="s">
        <v>264</v>
      </c>
      <c r="BI4" s="140" t="s">
        <v>264</v>
      </c>
    </row>
    <row r="5" spans="1:61" s="48" customFormat="1" x14ac:dyDescent="0.15">
      <c r="A5" s="215" t="s">
        <v>354</v>
      </c>
      <c r="B5" s="206">
        <v>1412</v>
      </c>
      <c r="C5" s="206" t="s">
        <v>29</v>
      </c>
      <c r="D5" s="206" t="s">
        <v>109</v>
      </c>
      <c r="E5" s="206" t="s">
        <v>38</v>
      </c>
      <c r="F5" s="206" t="s">
        <v>551</v>
      </c>
      <c r="G5" s="206" t="s">
        <v>44</v>
      </c>
      <c r="H5" s="206">
        <v>31330</v>
      </c>
      <c r="I5" s="206">
        <v>19662</v>
      </c>
      <c r="J5" s="230">
        <v>17000000</v>
      </c>
      <c r="K5" s="208">
        <v>1</v>
      </c>
      <c r="L5" s="206">
        <v>4</v>
      </c>
      <c r="M5" s="206" t="s">
        <v>27</v>
      </c>
      <c r="N5" s="196">
        <v>44763</v>
      </c>
      <c r="O5" s="195">
        <v>1</v>
      </c>
      <c r="P5" s="261" t="s">
        <v>27</v>
      </c>
      <c r="Q5" s="243" t="s">
        <v>128</v>
      </c>
      <c r="R5" s="262" t="s">
        <v>27</v>
      </c>
      <c r="S5" s="262">
        <v>1.5</v>
      </c>
      <c r="T5" s="262" t="s">
        <v>27</v>
      </c>
      <c r="U5" s="262">
        <v>4</v>
      </c>
      <c r="V5" s="262" t="s">
        <v>544</v>
      </c>
      <c r="W5" s="262" t="s">
        <v>27</v>
      </c>
      <c r="X5" s="262">
        <v>2.5</v>
      </c>
      <c r="Y5" s="262" t="s">
        <v>549</v>
      </c>
      <c r="Z5" s="262" t="s">
        <v>27</v>
      </c>
      <c r="AA5" s="262">
        <v>1</v>
      </c>
      <c r="AB5" s="262" t="s">
        <v>546</v>
      </c>
      <c r="AC5" s="262" t="s">
        <v>27</v>
      </c>
      <c r="AD5" s="262">
        <v>1</v>
      </c>
      <c r="AE5" s="262" t="s">
        <v>553</v>
      </c>
      <c r="AF5" s="262" t="s">
        <v>27</v>
      </c>
      <c r="AG5" s="262">
        <v>1</v>
      </c>
      <c r="AH5" s="262" t="s">
        <v>552</v>
      </c>
      <c r="AI5" s="103" t="s">
        <v>266</v>
      </c>
      <c r="AJ5" s="103" t="s">
        <v>240</v>
      </c>
      <c r="AK5" s="104" t="s">
        <v>267</v>
      </c>
      <c r="AL5" s="297" t="s">
        <v>240</v>
      </c>
      <c r="AM5" s="205" t="s">
        <v>268</v>
      </c>
      <c r="AN5" s="194" t="s">
        <v>240</v>
      </c>
      <c r="AO5" s="106"/>
      <c r="AP5" s="106"/>
      <c r="AQ5" s="106"/>
      <c r="AR5" s="106"/>
      <c r="AS5" s="144"/>
      <c r="AT5" s="140"/>
      <c r="AU5" s="140"/>
      <c r="AV5" s="140"/>
      <c r="AW5" s="140"/>
      <c r="AX5" s="140"/>
      <c r="AY5" s="140"/>
      <c r="AZ5" s="140"/>
      <c r="BA5" s="140"/>
      <c r="BB5" s="140"/>
      <c r="BC5" s="140"/>
      <c r="BD5" s="140"/>
      <c r="BE5" s="140"/>
      <c r="BF5" s="140"/>
      <c r="BG5" s="140" t="s">
        <v>269</v>
      </c>
      <c r="BH5" s="140" t="s">
        <v>264</v>
      </c>
      <c r="BI5" s="140" t="s">
        <v>264</v>
      </c>
    </row>
    <row r="6" spans="1:61" s="48" customFormat="1" x14ac:dyDescent="0.15">
      <c r="A6" s="200" t="s">
        <v>354</v>
      </c>
      <c r="B6" s="206">
        <v>1355</v>
      </c>
      <c r="C6" s="206" t="s">
        <v>29</v>
      </c>
      <c r="D6" s="206" t="s">
        <v>52</v>
      </c>
      <c r="E6" s="206" t="s">
        <v>38</v>
      </c>
      <c r="F6" s="206" t="s">
        <v>554</v>
      </c>
      <c r="G6" s="206" t="s">
        <v>44</v>
      </c>
      <c r="H6" s="206">
        <v>32360</v>
      </c>
      <c r="I6" s="206">
        <v>12851</v>
      </c>
      <c r="J6" s="230">
        <v>14700000</v>
      </c>
      <c r="K6" s="208">
        <v>1</v>
      </c>
      <c r="L6" s="206">
        <v>2</v>
      </c>
      <c r="M6" s="206" t="s">
        <v>27</v>
      </c>
      <c r="N6" s="196">
        <v>44748</v>
      </c>
      <c r="O6" s="195">
        <v>1</v>
      </c>
      <c r="P6" s="261" t="s">
        <v>27</v>
      </c>
      <c r="Q6" s="243" t="s">
        <v>128</v>
      </c>
      <c r="R6" s="262" t="s">
        <v>27</v>
      </c>
      <c r="S6" s="262">
        <v>2</v>
      </c>
      <c r="T6" s="262" t="s">
        <v>27</v>
      </c>
      <c r="U6" s="262">
        <v>3</v>
      </c>
      <c r="V6" s="262" t="s">
        <v>555</v>
      </c>
      <c r="W6" s="262" t="s">
        <v>27</v>
      </c>
      <c r="X6" s="262">
        <v>2.5</v>
      </c>
      <c r="Y6" s="262" t="s">
        <v>549</v>
      </c>
      <c r="Z6" s="262" t="s">
        <v>27</v>
      </c>
      <c r="AA6" s="262">
        <v>1</v>
      </c>
      <c r="AB6" s="262" t="s">
        <v>546</v>
      </c>
      <c r="AC6" s="262" t="s">
        <v>27</v>
      </c>
      <c r="AD6" s="262">
        <v>1.5</v>
      </c>
      <c r="AE6" s="262" t="s">
        <v>547</v>
      </c>
      <c r="AF6" s="262" t="s">
        <v>27</v>
      </c>
      <c r="AG6" s="262">
        <v>1.5</v>
      </c>
      <c r="AH6" s="262" t="s">
        <v>556</v>
      </c>
      <c r="AI6" s="103" t="s">
        <v>266</v>
      </c>
      <c r="AJ6" s="103" t="s">
        <v>240</v>
      </c>
      <c r="AK6" s="104" t="s">
        <v>267</v>
      </c>
      <c r="AL6" s="297" t="s">
        <v>240</v>
      </c>
      <c r="AM6" s="228" t="s">
        <v>268</v>
      </c>
      <c r="AN6" s="194" t="s">
        <v>240</v>
      </c>
      <c r="AO6" s="106"/>
      <c r="AP6" s="106"/>
      <c r="AQ6" s="106"/>
      <c r="AR6" s="106"/>
      <c r="AS6" s="144"/>
      <c r="AT6" s="140"/>
      <c r="AU6" s="140"/>
      <c r="AV6" s="140"/>
      <c r="AW6" s="140"/>
      <c r="AX6" s="140"/>
      <c r="AY6" s="140"/>
      <c r="AZ6" s="140"/>
      <c r="BA6" s="140"/>
      <c r="BB6" s="140"/>
      <c r="BC6" s="140"/>
      <c r="BD6" s="140"/>
      <c r="BE6" s="140"/>
      <c r="BF6" s="140"/>
      <c r="BG6" s="140" t="s">
        <v>269</v>
      </c>
      <c r="BH6" s="140" t="s">
        <v>264</v>
      </c>
      <c r="BI6" s="140" t="s">
        <v>264</v>
      </c>
    </row>
    <row r="7" spans="1:61" s="48" customFormat="1" x14ac:dyDescent="0.15">
      <c r="A7" s="200" t="s">
        <v>354</v>
      </c>
      <c r="B7" s="206">
        <v>1179</v>
      </c>
      <c r="C7" s="206" t="s">
        <v>22</v>
      </c>
      <c r="D7" s="206" t="s">
        <v>488</v>
      </c>
      <c r="E7" s="206" t="s">
        <v>24</v>
      </c>
      <c r="F7" s="206" t="s">
        <v>557</v>
      </c>
      <c r="G7" s="206" t="s">
        <v>23</v>
      </c>
      <c r="H7" s="206" t="s">
        <v>26</v>
      </c>
      <c r="I7" s="206">
        <v>181535</v>
      </c>
      <c r="J7" s="230">
        <v>21000000</v>
      </c>
      <c r="K7" s="208">
        <v>1</v>
      </c>
      <c r="L7" s="206">
        <v>5</v>
      </c>
      <c r="M7" s="206" t="s">
        <v>27</v>
      </c>
      <c r="N7" s="196">
        <v>44771</v>
      </c>
      <c r="O7" s="195">
        <v>1</v>
      </c>
      <c r="P7" s="261" t="s">
        <v>27</v>
      </c>
      <c r="Q7" s="243" t="s">
        <v>128</v>
      </c>
      <c r="R7" s="262" t="s">
        <v>27</v>
      </c>
      <c r="S7" s="262">
        <v>1.5</v>
      </c>
      <c r="T7" s="262" t="s">
        <v>27</v>
      </c>
      <c r="U7" s="262">
        <v>5</v>
      </c>
      <c r="V7" s="262" t="s">
        <v>544</v>
      </c>
      <c r="W7" s="262" t="s">
        <v>27</v>
      </c>
      <c r="X7" s="262">
        <v>7.5</v>
      </c>
      <c r="Y7" s="262" t="s">
        <v>545</v>
      </c>
      <c r="Z7" s="262" t="s">
        <v>27</v>
      </c>
      <c r="AA7" s="262">
        <v>1.5</v>
      </c>
      <c r="AB7" s="262" t="s">
        <v>558</v>
      </c>
      <c r="AC7" s="262" t="s">
        <v>27</v>
      </c>
      <c r="AD7" s="262">
        <v>4</v>
      </c>
      <c r="AE7" s="262" t="s">
        <v>559</v>
      </c>
      <c r="AF7" s="262" t="s">
        <v>27</v>
      </c>
      <c r="AG7" s="262">
        <v>2</v>
      </c>
      <c r="AH7" s="262" t="s">
        <v>552</v>
      </c>
      <c r="AI7" s="103"/>
      <c r="AJ7" s="103"/>
      <c r="AK7" s="104"/>
      <c r="AL7" s="297"/>
      <c r="AM7" s="205"/>
      <c r="AN7" s="194"/>
      <c r="AO7" s="106"/>
      <c r="AP7" s="106"/>
      <c r="AQ7" s="106"/>
      <c r="AR7" s="106"/>
      <c r="AS7" s="144"/>
      <c r="AT7" s="140"/>
      <c r="AU7" s="140"/>
      <c r="AV7" s="140"/>
      <c r="AW7" s="140"/>
      <c r="AX7" s="140"/>
      <c r="AY7" s="140"/>
      <c r="AZ7" s="140"/>
      <c r="BA7" s="140"/>
      <c r="BB7" s="140"/>
      <c r="BC7" s="140"/>
      <c r="BD7" s="140"/>
      <c r="BE7" s="140"/>
      <c r="BF7" s="140"/>
      <c r="BG7" s="140" t="s">
        <v>358</v>
      </c>
      <c r="BH7" s="140" t="s">
        <v>264</v>
      </c>
      <c r="BI7" s="140" t="s">
        <v>264</v>
      </c>
    </row>
    <row r="8" spans="1:61" s="48" customFormat="1" x14ac:dyDescent="0.15">
      <c r="A8" s="200" t="s">
        <v>354</v>
      </c>
      <c r="B8" s="206">
        <v>1349</v>
      </c>
      <c r="C8" s="206" t="s">
        <v>22</v>
      </c>
      <c r="D8" s="206" t="s">
        <v>560</v>
      </c>
      <c r="E8" s="206" t="s">
        <v>561</v>
      </c>
      <c r="F8" s="206" t="s">
        <v>562</v>
      </c>
      <c r="G8" s="206" t="s">
        <v>68</v>
      </c>
      <c r="H8" s="206" t="s">
        <v>563</v>
      </c>
      <c r="I8" s="206">
        <v>7100750</v>
      </c>
      <c r="J8" s="230">
        <v>17200000</v>
      </c>
      <c r="K8" s="208">
        <v>1</v>
      </c>
      <c r="L8" s="206">
        <v>7</v>
      </c>
      <c r="M8" s="206" t="s">
        <v>27</v>
      </c>
      <c r="N8" s="196">
        <v>44781</v>
      </c>
      <c r="O8" s="195">
        <v>1</v>
      </c>
      <c r="P8" s="261" t="s">
        <v>27</v>
      </c>
      <c r="Q8" s="243" t="s">
        <v>128</v>
      </c>
      <c r="R8" s="262" t="s">
        <v>27</v>
      </c>
      <c r="S8" s="262">
        <v>1</v>
      </c>
      <c r="T8" s="262" t="s">
        <v>27</v>
      </c>
      <c r="U8" s="262">
        <v>5</v>
      </c>
      <c r="V8" s="262" t="s">
        <v>564</v>
      </c>
      <c r="W8" s="262" t="s">
        <v>27</v>
      </c>
      <c r="X8" s="262">
        <v>6</v>
      </c>
      <c r="Y8" s="262" t="s">
        <v>565</v>
      </c>
      <c r="Z8" s="262" t="s">
        <v>27</v>
      </c>
      <c r="AA8" s="262">
        <v>2</v>
      </c>
      <c r="AB8" s="262" t="s">
        <v>546</v>
      </c>
      <c r="AC8" s="262" t="s">
        <v>27</v>
      </c>
      <c r="AD8" s="262">
        <v>5.5</v>
      </c>
      <c r="AE8" s="262" t="s">
        <v>559</v>
      </c>
      <c r="AF8" s="262" t="s">
        <v>27</v>
      </c>
      <c r="AG8" s="262">
        <v>2.5</v>
      </c>
      <c r="AH8" s="244" t="s">
        <v>128</v>
      </c>
      <c r="AI8" s="103"/>
      <c r="AJ8" s="103"/>
      <c r="AK8" s="104"/>
      <c r="AL8" s="297"/>
      <c r="AM8" s="228"/>
      <c r="AN8" s="194"/>
      <c r="AO8" s="106"/>
      <c r="AP8" s="106"/>
      <c r="AQ8" s="106"/>
      <c r="AR8" s="106"/>
      <c r="AS8" s="144"/>
      <c r="AT8" s="140"/>
      <c r="AU8" s="140"/>
      <c r="AV8" s="140"/>
      <c r="AW8" s="140"/>
      <c r="AX8" s="140"/>
      <c r="AY8" s="140"/>
      <c r="AZ8" s="140"/>
      <c r="BA8" s="140"/>
      <c r="BB8" s="140"/>
      <c r="BC8" s="140"/>
      <c r="BD8" s="140"/>
      <c r="BE8" s="140"/>
      <c r="BF8" s="140"/>
      <c r="BG8" s="140" t="s">
        <v>291</v>
      </c>
      <c r="BH8" s="140" t="s">
        <v>264</v>
      </c>
      <c r="BI8" s="140" t="s">
        <v>264</v>
      </c>
    </row>
    <row r="9" spans="1:61" s="48" customFormat="1" x14ac:dyDescent="0.15">
      <c r="A9" s="200" t="s">
        <v>354</v>
      </c>
      <c r="B9" s="206">
        <v>1283</v>
      </c>
      <c r="C9" s="206" t="s">
        <v>22</v>
      </c>
      <c r="D9" s="206" t="s">
        <v>482</v>
      </c>
      <c r="E9" s="206" t="s">
        <v>31</v>
      </c>
      <c r="F9" s="206" t="s">
        <v>566</v>
      </c>
      <c r="G9" s="206" t="s">
        <v>567</v>
      </c>
      <c r="H9" s="206">
        <v>11180</v>
      </c>
      <c r="I9" s="206">
        <v>50976</v>
      </c>
      <c r="J9" s="230">
        <v>18800000</v>
      </c>
      <c r="K9" s="208">
        <v>1</v>
      </c>
      <c r="L9" s="206">
        <v>7</v>
      </c>
      <c r="M9" s="206" t="s">
        <v>27</v>
      </c>
      <c r="N9" s="196">
        <v>44785</v>
      </c>
      <c r="O9" s="195">
        <v>1</v>
      </c>
      <c r="P9" s="261" t="s">
        <v>27</v>
      </c>
      <c r="Q9" s="243" t="s">
        <v>128</v>
      </c>
      <c r="R9" s="262" t="s">
        <v>27</v>
      </c>
      <c r="S9" s="262">
        <v>1</v>
      </c>
      <c r="T9" s="262" t="s">
        <v>27</v>
      </c>
      <c r="U9" s="262">
        <v>6</v>
      </c>
      <c r="V9" s="262" t="s">
        <v>568</v>
      </c>
      <c r="W9" s="262" t="s">
        <v>27</v>
      </c>
      <c r="X9" s="262">
        <v>8</v>
      </c>
      <c r="Y9" s="262" t="s">
        <v>569</v>
      </c>
      <c r="Z9" s="262" t="s">
        <v>27</v>
      </c>
      <c r="AA9" s="262">
        <v>1</v>
      </c>
      <c r="AB9" s="244" t="s">
        <v>128</v>
      </c>
      <c r="AC9" s="262" t="s">
        <v>27</v>
      </c>
      <c r="AD9" s="244" t="s">
        <v>128</v>
      </c>
      <c r="AE9" s="262" t="s">
        <v>559</v>
      </c>
      <c r="AF9" s="262" t="s">
        <v>27</v>
      </c>
      <c r="AG9" s="244" t="s">
        <v>128</v>
      </c>
      <c r="AH9" s="244" t="s">
        <v>128</v>
      </c>
      <c r="AI9" s="103"/>
      <c r="AJ9" s="103"/>
      <c r="AK9" s="104"/>
      <c r="AL9" s="297"/>
      <c r="AM9" s="228"/>
      <c r="AN9" s="194"/>
      <c r="AO9" s="106"/>
      <c r="AP9" s="106"/>
      <c r="AQ9" s="106"/>
      <c r="AR9" s="106"/>
      <c r="AS9" s="144"/>
      <c r="AT9" s="140"/>
      <c r="AU9" s="140"/>
      <c r="AV9" s="140"/>
      <c r="AW9" s="140"/>
      <c r="AX9" s="140"/>
      <c r="AY9" s="140"/>
      <c r="AZ9" s="140"/>
      <c r="BA9" s="140"/>
      <c r="BB9" s="140"/>
      <c r="BC9" s="140"/>
      <c r="BD9" s="140"/>
      <c r="BE9" s="140"/>
      <c r="BF9" s="140"/>
      <c r="BG9" s="140" t="s">
        <v>269</v>
      </c>
      <c r="BH9" s="140" t="s">
        <v>264</v>
      </c>
      <c r="BI9" s="140" t="s">
        <v>264</v>
      </c>
    </row>
    <row r="10" spans="1:61" s="48" customFormat="1" x14ac:dyDescent="0.15">
      <c r="A10" s="195">
        <v>3</v>
      </c>
      <c r="B10" s="207">
        <v>1364</v>
      </c>
      <c r="C10" s="207" t="s">
        <v>22</v>
      </c>
      <c r="D10" s="207" t="s">
        <v>489</v>
      </c>
      <c r="E10" s="207" t="s">
        <v>31</v>
      </c>
      <c r="F10" s="207" t="s">
        <v>570</v>
      </c>
      <c r="G10" s="207" t="s">
        <v>390</v>
      </c>
      <c r="H10" s="207">
        <v>7600</v>
      </c>
      <c r="I10" s="207">
        <v>243216</v>
      </c>
      <c r="J10" s="222">
        <v>87400000</v>
      </c>
      <c r="K10" s="271">
        <v>0.98</v>
      </c>
      <c r="L10" s="198" t="s">
        <v>128</v>
      </c>
      <c r="M10" s="198" t="s">
        <v>128</v>
      </c>
      <c r="N10" s="197" t="s">
        <v>128</v>
      </c>
      <c r="O10" s="195">
        <v>1</v>
      </c>
      <c r="P10" s="261" t="s">
        <v>27</v>
      </c>
      <c r="Q10" s="243" t="s">
        <v>128</v>
      </c>
      <c r="R10" s="262" t="s">
        <v>27</v>
      </c>
      <c r="S10" s="262">
        <v>1</v>
      </c>
      <c r="T10" s="262" t="s">
        <v>27</v>
      </c>
      <c r="U10" s="262">
        <v>16</v>
      </c>
      <c r="V10" s="244" t="s">
        <v>128</v>
      </c>
      <c r="W10" s="262" t="s">
        <v>27</v>
      </c>
      <c r="X10" s="262">
        <v>11</v>
      </c>
      <c r="Y10" s="262" t="s">
        <v>569</v>
      </c>
      <c r="Z10" s="262" t="s">
        <v>27</v>
      </c>
      <c r="AA10" s="262">
        <v>3</v>
      </c>
      <c r="AB10" s="262" t="s">
        <v>558</v>
      </c>
      <c r="AC10" s="262" t="s">
        <v>571</v>
      </c>
      <c r="AD10" s="244" t="s">
        <v>128</v>
      </c>
      <c r="AE10" s="262" t="s">
        <v>572</v>
      </c>
      <c r="AF10" s="262" t="s">
        <v>571</v>
      </c>
      <c r="AG10" s="244" t="s">
        <v>128</v>
      </c>
      <c r="AH10" s="262" t="s">
        <v>573</v>
      </c>
      <c r="AI10" s="103" t="s">
        <v>278</v>
      </c>
      <c r="AJ10" s="103"/>
      <c r="AK10" s="104" t="s">
        <v>283</v>
      </c>
      <c r="AL10" s="297" t="s">
        <v>240</v>
      </c>
      <c r="AM10" s="205" t="s">
        <v>365</v>
      </c>
      <c r="AN10" s="194"/>
      <c r="AO10" s="106"/>
      <c r="AP10" s="106"/>
      <c r="AQ10" s="106"/>
      <c r="AR10" s="106"/>
      <c r="AS10" s="144" t="s">
        <v>370</v>
      </c>
      <c r="AT10" s="140" t="s">
        <v>264</v>
      </c>
      <c r="AU10" s="140" t="s">
        <v>371</v>
      </c>
      <c r="AV10" s="140" t="s">
        <v>264</v>
      </c>
      <c r="AW10" s="140" t="s">
        <v>372</v>
      </c>
      <c r="AX10" s="140" t="s">
        <v>264</v>
      </c>
      <c r="AY10" s="140" t="s">
        <v>373</v>
      </c>
      <c r="AZ10" s="140" t="s">
        <v>264</v>
      </c>
      <c r="BA10" s="140" t="s">
        <v>374</v>
      </c>
      <c r="BB10" s="140" t="s">
        <v>264</v>
      </c>
      <c r="BC10" s="140" t="s">
        <v>375</v>
      </c>
      <c r="BD10" s="140" t="s">
        <v>376</v>
      </c>
      <c r="BE10" s="140" t="s">
        <v>377</v>
      </c>
      <c r="BF10" s="140" t="s">
        <v>376</v>
      </c>
      <c r="BG10" s="140" t="s">
        <v>358</v>
      </c>
      <c r="BH10" s="140" t="s">
        <v>264</v>
      </c>
      <c r="BI10" s="140" t="s">
        <v>264</v>
      </c>
    </row>
    <row r="11" spans="1:61" s="48" customFormat="1" x14ac:dyDescent="0.15">
      <c r="A11" s="200" t="s">
        <v>354</v>
      </c>
      <c r="B11" s="206">
        <v>1300</v>
      </c>
      <c r="C11" s="206" t="s">
        <v>22</v>
      </c>
      <c r="D11" s="206" t="s">
        <v>42</v>
      </c>
      <c r="E11" s="206" t="s">
        <v>34</v>
      </c>
      <c r="F11" s="206" t="s">
        <v>574</v>
      </c>
      <c r="G11" s="206" t="s">
        <v>44</v>
      </c>
      <c r="H11" s="206">
        <v>17280</v>
      </c>
      <c r="I11" s="206">
        <v>17741</v>
      </c>
      <c r="J11" s="230">
        <v>7200000</v>
      </c>
      <c r="K11" s="208">
        <v>1</v>
      </c>
      <c r="L11" s="206">
        <v>7</v>
      </c>
      <c r="M11" s="206" t="s">
        <v>27</v>
      </c>
      <c r="N11" s="196">
        <v>44783</v>
      </c>
      <c r="O11" s="195">
        <v>1</v>
      </c>
      <c r="P11" s="261" t="s">
        <v>27</v>
      </c>
      <c r="Q11" s="243" t="s">
        <v>128</v>
      </c>
      <c r="R11" s="262" t="s">
        <v>27</v>
      </c>
      <c r="S11" s="262">
        <v>1</v>
      </c>
      <c r="T11" s="262" t="s">
        <v>27</v>
      </c>
      <c r="U11" s="262">
        <v>3</v>
      </c>
      <c r="V11" s="262" t="s">
        <v>555</v>
      </c>
      <c r="W11" s="262" t="s">
        <v>27</v>
      </c>
      <c r="X11" s="244" t="s">
        <v>128</v>
      </c>
      <c r="Y11" s="262" t="s">
        <v>549</v>
      </c>
      <c r="Z11" s="262" t="s">
        <v>27</v>
      </c>
      <c r="AA11" s="244" t="s">
        <v>128</v>
      </c>
      <c r="AB11" s="244" t="s">
        <v>128</v>
      </c>
      <c r="AC11" s="262" t="s">
        <v>575</v>
      </c>
      <c r="AD11" s="244" t="s">
        <v>128</v>
      </c>
      <c r="AE11" s="244" t="s">
        <v>128</v>
      </c>
      <c r="AF11" s="262" t="s">
        <v>27</v>
      </c>
      <c r="AG11" s="244" t="s">
        <v>128</v>
      </c>
      <c r="AH11" s="244" t="s">
        <v>128</v>
      </c>
      <c r="AI11" s="103"/>
      <c r="AJ11" s="103"/>
      <c r="AK11" s="104"/>
      <c r="AL11" s="297"/>
      <c r="AM11" s="205"/>
      <c r="AN11" s="194"/>
      <c r="AO11" s="106"/>
      <c r="AP11" s="106"/>
      <c r="AQ11" s="106"/>
      <c r="AR11" s="106" t="s">
        <v>3</v>
      </c>
      <c r="AS11" s="144"/>
      <c r="AT11" s="140"/>
      <c r="AU11" s="140"/>
      <c r="AV11" s="140"/>
      <c r="AW11" s="140"/>
      <c r="AX11" s="140"/>
      <c r="AY11" s="140"/>
      <c r="AZ11" s="140"/>
      <c r="BA11" s="140"/>
      <c r="BB11" s="140"/>
      <c r="BC11" s="140"/>
      <c r="BD11" s="140"/>
      <c r="BE11" s="140"/>
      <c r="BF11" s="140"/>
      <c r="BG11" s="140" t="s">
        <v>291</v>
      </c>
      <c r="BH11" s="140" t="s">
        <v>264</v>
      </c>
      <c r="BI11" s="140" t="s">
        <v>264</v>
      </c>
    </row>
    <row r="12" spans="1:61" s="48" customFormat="1" x14ac:dyDescent="0.15">
      <c r="A12" s="200" t="s">
        <v>354</v>
      </c>
      <c r="B12" s="206">
        <v>1325</v>
      </c>
      <c r="C12" s="206" t="s">
        <v>22</v>
      </c>
      <c r="D12" s="206" t="s">
        <v>576</v>
      </c>
      <c r="E12" s="206" t="s">
        <v>24</v>
      </c>
      <c r="F12" s="206" t="s">
        <v>577</v>
      </c>
      <c r="G12" s="206" t="s">
        <v>23</v>
      </c>
      <c r="H12" s="206" t="s">
        <v>26</v>
      </c>
      <c r="I12" s="206">
        <v>181244</v>
      </c>
      <c r="J12" s="230">
        <v>25000000</v>
      </c>
      <c r="K12" s="208">
        <v>1</v>
      </c>
      <c r="L12" s="206">
        <v>3</v>
      </c>
      <c r="M12" s="206" t="s">
        <v>27</v>
      </c>
      <c r="N12" s="196">
        <v>44757</v>
      </c>
      <c r="O12" s="195">
        <v>1</v>
      </c>
      <c r="P12" s="261" t="s">
        <v>27</v>
      </c>
      <c r="Q12" s="243" t="s">
        <v>128</v>
      </c>
      <c r="R12" s="262" t="s">
        <v>27</v>
      </c>
      <c r="S12" s="262">
        <v>2</v>
      </c>
      <c r="T12" s="262" t="s">
        <v>27</v>
      </c>
      <c r="U12" s="262">
        <v>5.5</v>
      </c>
      <c r="V12" s="262" t="s">
        <v>568</v>
      </c>
      <c r="W12" s="262" t="s">
        <v>27</v>
      </c>
      <c r="X12" s="262">
        <v>6</v>
      </c>
      <c r="Y12" s="262" t="s">
        <v>545</v>
      </c>
      <c r="Z12" s="262" t="s">
        <v>27</v>
      </c>
      <c r="AA12" s="262">
        <v>1.5</v>
      </c>
      <c r="AB12" s="262" t="s">
        <v>546</v>
      </c>
      <c r="AC12" s="262" t="s">
        <v>27</v>
      </c>
      <c r="AD12" s="262">
        <v>4.5</v>
      </c>
      <c r="AE12" s="244" t="s">
        <v>128</v>
      </c>
      <c r="AF12" s="262" t="s">
        <v>27</v>
      </c>
      <c r="AG12" s="262">
        <v>2.5</v>
      </c>
      <c r="AH12" s="244" t="s">
        <v>128</v>
      </c>
      <c r="AI12" s="103"/>
      <c r="AJ12" s="103"/>
      <c r="AK12" s="104"/>
      <c r="AL12" s="297"/>
      <c r="AM12" s="205"/>
      <c r="AN12" s="194"/>
      <c r="AO12" s="106"/>
      <c r="AP12" s="106"/>
      <c r="AQ12" s="106"/>
      <c r="AR12" s="106"/>
      <c r="AS12" s="144"/>
      <c r="AT12" s="140"/>
      <c r="AU12" s="140"/>
      <c r="AV12" s="140"/>
      <c r="AW12" s="140"/>
      <c r="AX12" s="140"/>
      <c r="AY12" s="140"/>
      <c r="AZ12" s="140"/>
      <c r="BA12" s="140"/>
      <c r="BB12" s="140"/>
      <c r="BC12" s="140"/>
      <c r="BD12" s="140"/>
      <c r="BE12" s="140"/>
      <c r="BF12" s="140"/>
      <c r="BG12" s="140" t="s">
        <v>358</v>
      </c>
      <c r="BH12" s="140" t="s">
        <v>264</v>
      </c>
      <c r="BI12" s="140" t="s">
        <v>264</v>
      </c>
    </row>
    <row r="13" spans="1:61" s="48" customFormat="1" x14ac:dyDescent="0.15">
      <c r="A13" s="200" t="s">
        <v>354</v>
      </c>
      <c r="B13" s="206">
        <v>1435</v>
      </c>
      <c r="C13" s="206" t="s">
        <v>29</v>
      </c>
      <c r="D13" s="206" t="s">
        <v>578</v>
      </c>
      <c r="E13" s="206" t="s">
        <v>31</v>
      </c>
      <c r="F13" s="206" t="s">
        <v>49</v>
      </c>
      <c r="G13" s="206" t="s">
        <v>33</v>
      </c>
      <c r="H13" s="206">
        <v>2430</v>
      </c>
      <c r="I13" s="206">
        <v>254928</v>
      </c>
      <c r="J13" s="230">
        <v>37800000</v>
      </c>
      <c r="K13" s="208">
        <v>1</v>
      </c>
      <c r="L13" s="206">
        <v>7</v>
      </c>
      <c r="M13" s="206" t="s">
        <v>27</v>
      </c>
      <c r="N13" s="196">
        <v>44781</v>
      </c>
      <c r="O13" s="195">
        <v>1</v>
      </c>
      <c r="P13" s="301" t="s">
        <v>27</v>
      </c>
      <c r="Q13" s="243" t="s">
        <v>128</v>
      </c>
      <c r="R13" s="262" t="s">
        <v>27</v>
      </c>
      <c r="S13" s="262">
        <v>2</v>
      </c>
      <c r="T13" s="262" t="s">
        <v>27</v>
      </c>
      <c r="U13" s="262">
        <v>9.5</v>
      </c>
      <c r="V13" s="262" t="s">
        <v>568</v>
      </c>
      <c r="W13" s="262" t="s">
        <v>27</v>
      </c>
      <c r="X13" s="262">
        <v>11</v>
      </c>
      <c r="Y13" s="262" t="s">
        <v>569</v>
      </c>
      <c r="Z13" s="262" t="s">
        <v>27</v>
      </c>
      <c r="AA13" s="262">
        <v>2.5</v>
      </c>
      <c r="AB13" s="262" t="s">
        <v>558</v>
      </c>
      <c r="AC13" s="262" t="s">
        <v>27</v>
      </c>
      <c r="AD13" s="262">
        <v>10</v>
      </c>
      <c r="AE13" s="262" t="s">
        <v>572</v>
      </c>
      <c r="AF13" s="262" t="s">
        <v>27</v>
      </c>
      <c r="AG13" s="244" t="s">
        <v>128</v>
      </c>
      <c r="AH13" s="262" t="s">
        <v>579</v>
      </c>
      <c r="AI13" s="103"/>
      <c r="AJ13" s="103"/>
      <c r="AK13" s="104"/>
      <c r="AL13" s="297"/>
      <c r="AM13" s="205"/>
      <c r="AN13" s="194"/>
      <c r="AO13" s="106"/>
      <c r="AP13" s="106"/>
      <c r="AQ13" s="106"/>
      <c r="AR13" s="106"/>
      <c r="AS13" s="144"/>
      <c r="AT13" s="140"/>
      <c r="AU13" s="140"/>
      <c r="AV13" s="140"/>
      <c r="AW13" s="140"/>
      <c r="AX13" s="140"/>
      <c r="AY13" s="140"/>
      <c r="AZ13" s="140"/>
      <c r="BA13" s="140"/>
      <c r="BB13" s="140"/>
      <c r="BC13" s="140"/>
      <c r="BD13" s="140"/>
      <c r="BE13" s="140">
        <v>36</v>
      </c>
      <c r="BF13" s="140"/>
      <c r="BG13" s="140" t="s">
        <v>269</v>
      </c>
      <c r="BH13" s="140" t="s">
        <v>264</v>
      </c>
      <c r="BI13" s="140" t="s">
        <v>264</v>
      </c>
    </row>
    <row r="14" spans="1:61" s="48" customFormat="1" x14ac:dyDescent="0.15">
      <c r="A14" s="200" t="s">
        <v>354</v>
      </c>
      <c r="B14" s="206">
        <v>1343</v>
      </c>
      <c r="C14" s="206" t="s">
        <v>22</v>
      </c>
      <c r="D14" s="206" t="s">
        <v>580</v>
      </c>
      <c r="E14" s="206" t="s">
        <v>24</v>
      </c>
      <c r="F14" s="206" t="s">
        <v>94</v>
      </c>
      <c r="G14" s="206" t="s">
        <v>44</v>
      </c>
      <c r="H14" s="206">
        <v>32360</v>
      </c>
      <c r="I14" s="206">
        <v>38102</v>
      </c>
      <c r="J14" s="230">
        <v>32800000</v>
      </c>
      <c r="K14" s="208">
        <v>1</v>
      </c>
      <c r="L14" s="206">
        <v>3</v>
      </c>
      <c r="M14" s="206" t="s">
        <v>27</v>
      </c>
      <c r="N14" s="196">
        <v>44757</v>
      </c>
      <c r="O14" s="195">
        <v>1</v>
      </c>
      <c r="P14" s="261" t="s">
        <v>27</v>
      </c>
      <c r="Q14" s="243" t="s">
        <v>128</v>
      </c>
      <c r="R14" s="262" t="s">
        <v>27</v>
      </c>
      <c r="S14" s="262">
        <v>2</v>
      </c>
      <c r="T14" s="262" t="s">
        <v>27</v>
      </c>
      <c r="U14" s="262">
        <v>5</v>
      </c>
      <c r="V14" s="262" t="s">
        <v>564</v>
      </c>
      <c r="W14" s="262" t="s">
        <v>27</v>
      </c>
      <c r="X14" s="262">
        <v>5.5</v>
      </c>
      <c r="Y14" s="262" t="s">
        <v>549</v>
      </c>
      <c r="Z14" s="262" t="s">
        <v>27</v>
      </c>
      <c r="AA14" s="262">
        <v>1.5</v>
      </c>
      <c r="AB14" s="262" t="s">
        <v>558</v>
      </c>
      <c r="AC14" s="262" t="s">
        <v>27</v>
      </c>
      <c r="AD14" s="262">
        <v>4.5</v>
      </c>
      <c r="AE14" s="244" t="s">
        <v>128</v>
      </c>
      <c r="AF14" s="262" t="s">
        <v>27</v>
      </c>
      <c r="AG14" s="262">
        <v>2.5</v>
      </c>
      <c r="AH14" s="244" t="s">
        <v>128</v>
      </c>
      <c r="AI14" s="103"/>
      <c r="AJ14" s="103"/>
      <c r="AK14" s="104"/>
      <c r="AL14" s="297"/>
      <c r="AM14" s="205"/>
      <c r="AN14" s="194"/>
      <c r="AO14" s="106"/>
      <c r="AP14" s="106"/>
      <c r="AQ14" s="106"/>
      <c r="AR14" s="106"/>
      <c r="AS14" s="144"/>
      <c r="AT14" s="140"/>
      <c r="AU14" s="140"/>
      <c r="AV14" s="140"/>
      <c r="AW14" s="140"/>
      <c r="AX14" s="140"/>
      <c r="AY14" s="140"/>
      <c r="AZ14" s="140"/>
      <c r="BA14" s="140"/>
      <c r="BB14" s="140"/>
      <c r="BC14" s="140"/>
      <c r="BD14" s="140"/>
      <c r="BE14" s="140"/>
      <c r="BF14" s="140"/>
      <c r="BG14" s="140" t="s">
        <v>358</v>
      </c>
      <c r="BH14" s="140" t="s">
        <v>264</v>
      </c>
      <c r="BI14" s="140" t="s">
        <v>264</v>
      </c>
    </row>
    <row r="15" spans="1:61" x14ac:dyDescent="0.15">
      <c r="A15" s="200" t="s">
        <v>354</v>
      </c>
      <c r="B15" s="206">
        <v>1242</v>
      </c>
      <c r="C15" s="206" t="s">
        <v>29</v>
      </c>
      <c r="D15" s="206" t="s">
        <v>101</v>
      </c>
      <c r="E15" s="206" t="s">
        <v>24</v>
      </c>
      <c r="F15" s="206" t="s">
        <v>94</v>
      </c>
      <c r="G15" s="206" t="s">
        <v>44</v>
      </c>
      <c r="H15" s="206">
        <v>31330</v>
      </c>
      <c r="I15" s="206">
        <v>19646</v>
      </c>
      <c r="J15" s="230">
        <v>29900000</v>
      </c>
      <c r="K15" s="208">
        <v>1</v>
      </c>
      <c r="L15" s="206">
        <v>7</v>
      </c>
      <c r="M15" s="206" t="s">
        <v>27</v>
      </c>
      <c r="N15" s="196">
        <v>44783</v>
      </c>
      <c r="O15" s="195">
        <v>1</v>
      </c>
      <c r="P15" s="261" t="s">
        <v>27</v>
      </c>
      <c r="Q15" s="243" t="s">
        <v>128</v>
      </c>
      <c r="R15" s="262" t="s">
        <v>27</v>
      </c>
      <c r="S15" s="262">
        <v>2</v>
      </c>
      <c r="T15" s="262" t="s">
        <v>27</v>
      </c>
      <c r="U15" s="262">
        <v>6.5</v>
      </c>
      <c r="V15" s="262" t="s">
        <v>544</v>
      </c>
      <c r="W15" s="262" t="s">
        <v>27</v>
      </c>
      <c r="X15" s="262">
        <v>5.5</v>
      </c>
      <c r="Y15" s="262" t="s">
        <v>545</v>
      </c>
      <c r="Z15" s="262" t="s">
        <v>27</v>
      </c>
      <c r="AA15" s="262">
        <v>1.5</v>
      </c>
      <c r="AB15" s="262" t="s">
        <v>558</v>
      </c>
      <c r="AC15" s="262" t="s">
        <v>27</v>
      </c>
      <c r="AD15" s="244" t="s">
        <v>128</v>
      </c>
      <c r="AE15" s="262" t="s">
        <v>572</v>
      </c>
      <c r="AF15" s="262" t="s">
        <v>571</v>
      </c>
      <c r="AG15" s="244" t="s">
        <v>128</v>
      </c>
      <c r="AH15" s="244" t="s">
        <v>128</v>
      </c>
      <c r="AI15" s="103"/>
      <c r="AJ15" s="103"/>
      <c r="AK15" s="104"/>
      <c r="AL15" s="297"/>
      <c r="AM15" s="205"/>
      <c r="AN15" s="194"/>
      <c r="AO15" s="106"/>
      <c r="AP15" s="106"/>
      <c r="AQ15" s="106"/>
      <c r="AR15" s="106"/>
      <c r="AS15" s="144"/>
      <c r="AT15" s="140"/>
      <c r="AU15" s="140"/>
      <c r="AV15" s="140"/>
      <c r="AW15" s="140"/>
      <c r="AX15" s="140"/>
      <c r="AY15" s="140"/>
      <c r="AZ15" s="140"/>
      <c r="BA15" s="140"/>
      <c r="BB15" s="140"/>
      <c r="BC15" s="140"/>
      <c r="BD15" s="140"/>
      <c r="BE15" s="140"/>
      <c r="BF15" s="140"/>
      <c r="BG15" s="140" t="s">
        <v>358</v>
      </c>
      <c r="BH15" s="140" t="s">
        <v>264</v>
      </c>
      <c r="BI15" s="140" t="s">
        <v>264</v>
      </c>
    </row>
    <row r="16" spans="1:61" s="48" customFormat="1" x14ac:dyDescent="0.15">
      <c r="A16" s="200" t="s">
        <v>354</v>
      </c>
      <c r="B16" s="206">
        <v>1446</v>
      </c>
      <c r="C16" s="206" t="s">
        <v>29</v>
      </c>
      <c r="D16" s="206" t="s">
        <v>281</v>
      </c>
      <c r="E16" s="206" t="s">
        <v>24</v>
      </c>
      <c r="F16" s="206" t="s">
        <v>581</v>
      </c>
      <c r="G16" s="206" t="s">
        <v>147</v>
      </c>
      <c r="H16" s="206">
        <v>1826</v>
      </c>
      <c r="I16" s="206">
        <v>11035</v>
      </c>
      <c r="J16" s="230">
        <v>26000000</v>
      </c>
      <c r="K16" s="208">
        <v>1</v>
      </c>
      <c r="L16" s="206">
        <v>6</v>
      </c>
      <c r="M16" s="206" t="s">
        <v>27</v>
      </c>
      <c r="N16" s="196">
        <v>44775</v>
      </c>
      <c r="O16" s="195">
        <v>1</v>
      </c>
      <c r="P16" s="261" t="s">
        <v>27</v>
      </c>
      <c r="Q16" s="243" t="s">
        <v>128</v>
      </c>
      <c r="R16" s="262" t="s">
        <v>27</v>
      </c>
      <c r="S16" s="262">
        <v>1.5</v>
      </c>
      <c r="T16" s="262" t="s">
        <v>27</v>
      </c>
      <c r="U16" s="262">
        <v>7.5</v>
      </c>
      <c r="V16" s="262" t="s">
        <v>568</v>
      </c>
      <c r="W16" s="262" t="s">
        <v>27</v>
      </c>
      <c r="X16" s="262">
        <v>6</v>
      </c>
      <c r="Y16" s="262" t="s">
        <v>569</v>
      </c>
      <c r="Z16" s="262" t="s">
        <v>27</v>
      </c>
      <c r="AA16" s="262">
        <v>1.5</v>
      </c>
      <c r="AB16" s="262" t="s">
        <v>546</v>
      </c>
      <c r="AC16" s="262" t="s">
        <v>27</v>
      </c>
      <c r="AD16" s="262">
        <v>3.5</v>
      </c>
      <c r="AE16" s="262" t="s">
        <v>582</v>
      </c>
      <c r="AF16" s="262" t="s">
        <v>27</v>
      </c>
      <c r="AG16" s="262">
        <v>1.5</v>
      </c>
      <c r="AH16" s="262" t="s">
        <v>583</v>
      </c>
      <c r="AI16" s="103"/>
      <c r="AJ16" s="103"/>
      <c r="AK16" s="104"/>
      <c r="AL16" s="297"/>
      <c r="AM16" s="228"/>
      <c r="AN16" s="194"/>
      <c r="AO16" s="106"/>
      <c r="AP16" s="106"/>
      <c r="AQ16" s="106"/>
      <c r="AR16" s="106"/>
      <c r="AS16" s="144"/>
      <c r="AT16" s="140"/>
      <c r="AU16" s="140"/>
      <c r="AV16" s="140"/>
      <c r="AW16" s="140"/>
      <c r="AX16" s="140"/>
      <c r="AY16" s="140"/>
      <c r="AZ16" s="140"/>
      <c r="BA16" s="140"/>
      <c r="BB16" s="140"/>
      <c r="BC16" s="140"/>
      <c r="BD16" s="140"/>
      <c r="BE16" s="140"/>
      <c r="BF16" s="140"/>
      <c r="BG16" s="140" t="s">
        <v>584</v>
      </c>
      <c r="BH16" s="140" t="s">
        <v>585</v>
      </c>
      <c r="BI16" s="140" t="s">
        <v>264</v>
      </c>
    </row>
    <row r="17" spans="1:61" x14ac:dyDescent="0.15">
      <c r="A17" s="215" t="s">
        <v>354</v>
      </c>
      <c r="B17" s="206">
        <v>1447</v>
      </c>
      <c r="C17" s="206" t="s">
        <v>29</v>
      </c>
      <c r="D17" s="206" t="s">
        <v>281</v>
      </c>
      <c r="E17" s="206" t="s">
        <v>24</v>
      </c>
      <c r="F17" s="206" t="s">
        <v>581</v>
      </c>
      <c r="G17" s="206" t="s">
        <v>147</v>
      </c>
      <c r="H17" s="206">
        <v>1826</v>
      </c>
      <c r="I17" s="206">
        <v>11109</v>
      </c>
      <c r="J17" s="230">
        <v>26000000</v>
      </c>
      <c r="K17" s="208">
        <v>1</v>
      </c>
      <c r="L17" s="206">
        <v>6</v>
      </c>
      <c r="M17" s="206" t="s">
        <v>27</v>
      </c>
      <c r="N17" s="196">
        <v>44775</v>
      </c>
      <c r="O17" s="195">
        <v>1</v>
      </c>
      <c r="P17" s="261" t="s">
        <v>27</v>
      </c>
      <c r="Q17" s="243" t="s">
        <v>128</v>
      </c>
      <c r="R17" s="262" t="s">
        <v>27</v>
      </c>
      <c r="S17" s="262">
        <v>1.5</v>
      </c>
      <c r="T17" s="262" t="s">
        <v>27</v>
      </c>
      <c r="U17" s="262">
        <v>7.5</v>
      </c>
      <c r="V17" s="262" t="s">
        <v>564</v>
      </c>
      <c r="W17" s="262" t="s">
        <v>27</v>
      </c>
      <c r="X17" s="262">
        <v>5</v>
      </c>
      <c r="Y17" s="262" t="s">
        <v>565</v>
      </c>
      <c r="Z17" s="262" t="s">
        <v>27</v>
      </c>
      <c r="AA17" s="262">
        <v>1.5</v>
      </c>
      <c r="AB17" s="262" t="s">
        <v>546</v>
      </c>
      <c r="AC17" s="262" t="s">
        <v>27</v>
      </c>
      <c r="AD17" s="262">
        <v>3.5</v>
      </c>
      <c r="AE17" s="262" t="s">
        <v>582</v>
      </c>
      <c r="AF17" s="262" t="s">
        <v>27</v>
      </c>
      <c r="AG17" s="262">
        <v>1</v>
      </c>
      <c r="AH17" s="262" t="s">
        <v>583</v>
      </c>
      <c r="AI17" s="103"/>
      <c r="AJ17" s="103"/>
      <c r="AK17" s="104"/>
      <c r="AL17" s="297"/>
      <c r="AM17" s="228"/>
      <c r="AN17" s="194"/>
      <c r="AO17" s="106"/>
      <c r="AP17" s="106"/>
      <c r="AQ17" s="106"/>
      <c r="AR17" s="106"/>
      <c r="AS17" s="144"/>
      <c r="AT17" s="140"/>
      <c r="AU17" s="140"/>
      <c r="AV17" s="140"/>
      <c r="AW17" s="140"/>
      <c r="AX17" s="140"/>
      <c r="AY17" s="140"/>
      <c r="AZ17" s="140"/>
      <c r="BA17" s="140"/>
      <c r="BB17" s="140"/>
      <c r="BC17" s="140"/>
      <c r="BD17" s="140"/>
      <c r="BE17" s="140"/>
      <c r="BF17" s="140"/>
      <c r="BG17" s="140" t="s">
        <v>584</v>
      </c>
      <c r="BH17" s="140" t="s">
        <v>585</v>
      </c>
      <c r="BI17" s="140" t="s">
        <v>264</v>
      </c>
    </row>
    <row r="18" spans="1:61" x14ac:dyDescent="0.2">
      <c r="A18" s="206" t="s">
        <v>354</v>
      </c>
      <c r="B18" s="206" t="s">
        <v>586</v>
      </c>
      <c r="C18" s="206" t="s">
        <v>22</v>
      </c>
      <c r="D18" s="206" t="s">
        <v>489</v>
      </c>
      <c r="E18" s="206" t="s">
        <v>31</v>
      </c>
      <c r="F18" s="206" t="s">
        <v>587</v>
      </c>
      <c r="G18" s="206" t="s">
        <v>33</v>
      </c>
      <c r="H18" s="198" t="s">
        <v>128</v>
      </c>
      <c r="I18" s="198" t="s">
        <v>128</v>
      </c>
      <c r="J18" s="268" t="s">
        <v>128</v>
      </c>
      <c r="K18" s="208">
        <v>1</v>
      </c>
      <c r="L18" s="198" t="s">
        <v>128</v>
      </c>
      <c r="M18" s="198" t="s">
        <v>128</v>
      </c>
      <c r="N18" s="195" t="s">
        <v>541</v>
      </c>
      <c r="O18" s="195">
        <v>0.5</v>
      </c>
      <c r="P18" s="261" t="s">
        <v>27</v>
      </c>
      <c r="Q18" s="243" t="s">
        <v>128</v>
      </c>
      <c r="R18" s="262" t="s">
        <v>27</v>
      </c>
      <c r="S18" s="244" t="s">
        <v>128</v>
      </c>
      <c r="T18" s="262" t="s">
        <v>575</v>
      </c>
      <c r="U18" s="244" t="s">
        <v>128</v>
      </c>
      <c r="V18" s="244" t="s">
        <v>128</v>
      </c>
      <c r="W18" s="262" t="s">
        <v>27</v>
      </c>
      <c r="X18" s="244" t="s">
        <v>128</v>
      </c>
      <c r="Y18" s="262" t="s">
        <v>569</v>
      </c>
      <c r="Z18" s="262" t="s">
        <v>27</v>
      </c>
      <c r="AA18" s="244" t="s">
        <v>128</v>
      </c>
      <c r="AB18" s="262" t="s">
        <v>558</v>
      </c>
      <c r="AC18" s="262" t="s">
        <v>27</v>
      </c>
      <c r="AD18" s="244" t="s">
        <v>128</v>
      </c>
      <c r="AE18" s="244" t="s">
        <v>128</v>
      </c>
      <c r="AF18" s="262" t="s">
        <v>27</v>
      </c>
      <c r="AG18" s="244" t="s">
        <v>128</v>
      </c>
      <c r="AH18" s="244" t="s">
        <v>128</v>
      </c>
    </row>
    <row r="19" spans="1:61" x14ac:dyDescent="0.2">
      <c r="A19" s="206" t="s">
        <v>354</v>
      </c>
      <c r="B19" s="206" t="s">
        <v>588</v>
      </c>
      <c r="C19" s="206" t="s">
        <v>29</v>
      </c>
      <c r="D19" s="206" t="s">
        <v>589</v>
      </c>
      <c r="E19" s="206" t="s">
        <v>31</v>
      </c>
      <c r="F19" s="206" t="s">
        <v>49</v>
      </c>
      <c r="G19" s="206" t="s">
        <v>590</v>
      </c>
      <c r="H19" s="206" t="s">
        <v>591</v>
      </c>
      <c r="I19" s="198" t="s">
        <v>128</v>
      </c>
      <c r="J19" s="268" t="s">
        <v>128</v>
      </c>
      <c r="K19" s="208">
        <v>1</v>
      </c>
      <c r="L19" s="198" t="s">
        <v>128</v>
      </c>
      <c r="M19" s="198" t="s">
        <v>128</v>
      </c>
      <c r="N19" s="195" t="s">
        <v>541</v>
      </c>
      <c r="O19" s="195">
        <v>0.5</v>
      </c>
      <c r="P19" s="261" t="s">
        <v>27</v>
      </c>
      <c r="Q19" s="243" t="s">
        <v>128</v>
      </c>
      <c r="R19" s="262" t="s">
        <v>27</v>
      </c>
      <c r="S19" s="244" t="s">
        <v>128</v>
      </c>
      <c r="T19" s="262" t="s">
        <v>575</v>
      </c>
      <c r="U19" s="244" t="s">
        <v>128</v>
      </c>
      <c r="V19" s="244" t="s">
        <v>128</v>
      </c>
      <c r="W19" s="262" t="s">
        <v>27</v>
      </c>
      <c r="X19" s="244" t="s">
        <v>128</v>
      </c>
      <c r="Y19" s="262" t="s">
        <v>569</v>
      </c>
      <c r="Z19" s="262" t="s">
        <v>27</v>
      </c>
      <c r="AA19" s="244" t="s">
        <v>128</v>
      </c>
      <c r="AB19" s="262" t="s">
        <v>546</v>
      </c>
      <c r="AC19" s="262" t="s">
        <v>27</v>
      </c>
      <c r="AD19" s="244" t="s">
        <v>128</v>
      </c>
      <c r="AE19" s="244" t="s">
        <v>128</v>
      </c>
      <c r="AF19" s="262" t="s">
        <v>27</v>
      </c>
      <c r="AG19" s="244" t="s">
        <v>128</v>
      </c>
      <c r="AH19" s="244" t="s">
        <v>128</v>
      </c>
    </row>
    <row r="20" spans="1:61" x14ac:dyDescent="0.2">
      <c r="A20" s="206" t="s">
        <v>354</v>
      </c>
      <c r="B20" s="206">
        <v>1121</v>
      </c>
      <c r="C20" s="206" t="s">
        <v>29</v>
      </c>
      <c r="D20" s="206" t="s">
        <v>109</v>
      </c>
      <c r="E20" s="206" t="s">
        <v>38</v>
      </c>
      <c r="F20" s="206">
        <v>3.5</v>
      </c>
      <c r="G20" s="206" t="s">
        <v>44</v>
      </c>
      <c r="H20" s="206">
        <v>11180</v>
      </c>
      <c r="I20" s="206">
        <v>14247</v>
      </c>
      <c r="J20" s="268" t="s">
        <v>128</v>
      </c>
      <c r="K20" s="208">
        <v>1</v>
      </c>
      <c r="L20" s="198" t="s">
        <v>128</v>
      </c>
      <c r="M20" s="198" t="s">
        <v>128</v>
      </c>
      <c r="N20" s="196">
        <v>44763</v>
      </c>
      <c r="O20" s="195">
        <v>0.5</v>
      </c>
      <c r="P20" s="261" t="s">
        <v>27</v>
      </c>
      <c r="Q20" s="243" t="s">
        <v>128</v>
      </c>
      <c r="R20" s="262" t="s">
        <v>27</v>
      </c>
      <c r="S20" s="244" t="s">
        <v>128</v>
      </c>
      <c r="T20" s="262" t="s">
        <v>575</v>
      </c>
      <c r="U20" s="244" t="s">
        <v>128</v>
      </c>
      <c r="V20" s="244" t="s">
        <v>128</v>
      </c>
      <c r="W20" s="262" t="s">
        <v>27</v>
      </c>
      <c r="X20" s="244" t="s">
        <v>128</v>
      </c>
      <c r="Y20" s="262" t="s">
        <v>545</v>
      </c>
      <c r="Z20" s="262" t="s">
        <v>27</v>
      </c>
      <c r="AA20" s="244" t="s">
        <v>128</v>
      </c>
      <c r="AB20" s="262" t="s">
        <v>546</v>
      </c>
      <c r="AC20" s="262" t="s">
        <v>575</v>
      </c>
      <c r="AD20" s="244" t="s">
        <v>128</v>
      </c>
      <c r="AE20" s="244" t="s">
        <v>128</v>
      </c>
      <c r="AF20" s="262" t="s">
        <v>27</v>
      </c>
      <c r="AG20" s="244" t="s">
        <v>128</v>
      </c>
      <c r="AH20" s="244" t="s">
        <v>128</v>
      </c>
    </row>
    <row r="21" spans="1:61" x14ac:dyDescent="0.2">
      <c r="A21" s="206" t="s">
        <v>354</v>
      </c>
      <c r="B21" s="206" t="s">
        <v>541</v>
      </c>
      <c r="C21" s="206" t="s">
        <v>22</v>
      </c>
      <c r="D21" s="206" t="s">
        <v>489</v>
      </c>
      <c r="E21" s="206" t="s">
        <v>34</v>
      </c>
      <c r="F21" s="206" t="s">
        <v>592</v>
      </c>
      <c r="G21" s="206" t="s">
        <v>390</v>
      </c>
      <c r="H21" s="198" t="s">
        <v>128</v>
      </c>
      <c r="I21" s="206" t="s">
        <v>593</v>
      </c>
      <c r="J21" s="268" t="s">
        <v>128</v>
      </c>
      <c r="K21" s="208">
        <v>1</v>
      </c>
      <c r="L21" s="198" t="s">
        <v>128</v>
      </c>
      <c r="M21" s="198" t="s">
        <v>128</v>
      </c>
      <c r="N21" s="195" t="s">
        <v>541</v>
      </c>
      <c r="O21" s="195">
        <v>0.5</v>
      </c>
      <c r="P21" s="261" t="s">
        <v>27</v>
      </c>
      <c r="Q21" s="243" t="s">
        <v>128</v>
      </c>
      <c r="R21" s="262" t="s">
        <v>27</v>
      </c>
      <c r="S21" s="244" t="s">
        <v>128</v>
      </c>
      <c r="T21" s="262" t="s">
        <v>575</v>
      </c>
      <c r="U21" s="244" t="s">
        <v>128</v>
      </c>
      <c r="V21" s="244" t="s">
        <v>128</v>
      </c>
      <c r="W21" s="262" t="s">
        <v>27</v>
      </c>
      <c r="X21" s="244" t="s">
        <v>128</v>
      </c>
      <c r="Y21" s="262" t="s">
        <v>594</v>
      </c>
      <c r="Z21" s="262" t="s">
        <v>27</v>
      </c>
      <c r="AA21" s="244" t="s">
        <v>128</v>
      </c>
      <c r="AB21" s="262" t="s">
        <v>546</v>
      </c>
      <c r="AC21" s="262" t="s">
        <v>575</v>
      </c>
      <c r="AD21" s="244" t="s">
        <v>128</v>
      </c>
      <c r="AE21" s="244" t="s">
        <v>128</v>
      </c>
      <c r="AF21" s="262" t="s">
        <v>575</v>
      </c>
      <c r="AG21" s="244" t="s">
        <v>128</v>
      </c>
      <c r="AH21" s="244" t="s">
        <v>128</v>
      </c>
    </row>
    <row r="22" spans="1:61" hidden="1" x14ac:dyDescent="0.2">
      <c r="C22" s="8"/>
      <c r="D22" s="8"/>
      <c r="E22" s="8"/>
      <c r="F22" s="8"/>
      <c r="G22" s="8"/>
      <c r="H22" s="8"/>
      <c r="I22" s="8"/>
      <c r="J22" s="37"/>
      <c r="K22" s="191"/>
      <c r="L22" s="33"/>
      <c r="M22" s="191"/>
      <c r="N22" s="29"/>
      <c r="O22" s="46"/>
      <c r="P22" s="45"/>
      <c r="Q22" s="45"/>
      <c r="R22" s="45"/>
      <c r="S22" s="45"/>
      <c r="T22" s="45"/>
      <c r="U22" s="45"/>
      <c r="V22" s="45"/>
      <c r="W22" s="45"/>
      <c r="X22" s="45"/>
      <c r="Y22" s="45"/>
      <c r="Z22" s="45"/>
      <c r="AA22" s="45"/>
      <c r="AB22" s="45"/>
      <c r="AC22" s="45"/>
      <c r="AD22" s="45"/>
      <c r="AE22" s="45"/>
      <c r="AF22" s="45"/>
      <c r="AG22" s="45"/>
      <c r="AH22" s="45"/>
    </row>
    <row r="23" spans="1:61" hidden="1" x14ac:dyDescent="0.2">
      <c r="A23" s="22"/>
      <c r="B23" s="22"/>
      <c r="C23" s="22"/>
      <c r="D23" s="22"/>
      <c r="E23" s="22"/>
      <c r="F23" s="22"/>
      <c r="G23" s="22"/>
      <c r="H23" s="22"/>
      <c r="I23" s="22"/>
      <c r="J23" s="222"/>
      <c r="K23" s="191"/>
      <c r="L23" s="33"/>
      <c r="M23" s="191"/>
      <c r="N23" s="29"/>
      <c r="O23" s="46"/>
      <c r="P23" s="45"/>
      <c r="Q23" s="45"/>
      <c r="R23" s="45"/>
      <c r="S23" s="45"/>
      <c r="T23" s="45"/>
      <c r="U23" s="45"/>
      <c r="V23" s="45"/>
      <c r="W23" s="45"/>
      <c r="X23" s="45"/>
      <c r="Y23" s="45"/>
      <c r="Z23" s="45"/>
      <c r="AA23" s="45"/>
      <c r="AB23" s="45"/>
      <c r="AC23" s="45"/>
      <c r="AD23" s="45"/>
      <c r="AE23" s="45"/>
      <c r="AF23" s="45"/>
      <c r="AG23" s="45"/>
      <c r="AH23" s="45"/>
    </row>
    <row r="24" spans="1:61" hidden="1" x14ac:dyDescent="0.2">
      <c r="C24" s="8"/>
      <c r="D24" s="8"/>
      <c r="E24" s="8"/>
      <c r="F24" s="8"/>
      <c r="G24" s="8"/>
      <c r="H24" s="8"/>
      <c r="I24" s="8"/>
      <c r="J24" s="37"/>
      <c r="K24" s="191"/>
      <c r="L24" s="33"/>
      <c r="M24" s="191"/>
      <c r="N24" s="29"/>
      <c r="O24" s="46"/>
      <c r="P24" s="45"/>
      <c r="Q24" s="45"/>
      <c r="R24" s="45"/>
      <c r="S24" s="45"/>
      <c r="T24" s="45"/>
      <c r="U24" s="45"/>
      <c r="V24" s="45"/>
      <c r="W24" s="45"/>
      <c r="X24" s="45"/>
      <c r="Y24" s="45"/>
      <c r="Z24" s="45"/>
      <c r="AA24" s="45"/>
      <c r="AB24" s="45"/>
      <c r="AC24" s="45"/>
      <c r="AD24" s="45"/>
      <c r="AE24" s="45"/>
      <c r="AF24" s="45"/>
      <c r="AG24" s="45"/>
      <c r="AH24" s="45"/>
    </row>
    <row r="25" spans="1:61" hidden="1" x14ac:dyDescent="0.2">
      <c r="A25" s="22"/>
      <c r="B25" s="22"/>
      <c r="C25" s="22"/>
      <c r="D25" s="22" t="s">
        <v>3</v>
      </c>
      <c r="E25" s="22"/>
      <c r="F25" s="22"/>
      <c r="G25" s="22"/>
      <c r="H25" s="22"/>
      <c r="I25" s="22"/>
      <c r="J25" s="222"/>
      <c r="K25" s="191"/>
      <c r="L25" s="33"/>
      <c r="M25" s="191"/>
      <c r="N25" s="29"/>
      <c r="O25" s="46"/>
      <c r="P25" s="45"/>
      <c r="Q25" s="45"/>
      <c r="R25" s="45"/>
      <c r="S25" s="45"/>
      <c r="T25" s="45"/>
      <c r="U25" s="45"/>
      <c r="V25" s="45"/>
      <c r="W25" s="45"/>
      <c r="X25" s="45"/>
      <c r="Y25" s="45"/>
      <c r="Z25" s="45"/>
      <c r="AA25" s="45"/>
      <c r="AB25" s="45"/>
      <c r="AC25" s="45"/>
      <c r="AD25" s="45"/>
      <c r="AE25" s="45"/>
      <c r="AF25" s="45"/>
      <c r="AG25" s="45"/>
      <c r="AH25" s="45"/>
    </row>
    <row r="26" spans="1:61" hidden="1" x14ac:dyDescent="0.2">
      <c r="C26" s="8"/>
      <c r="D26" s="8"/>
      <c r="E26" s="8"/>
      <c r="F26" s="8"/>
      <c r="G26" s="8"/>
      <c r="H26" s="8"/>
      <c r="I26" s="8"/>
      <c r="J26" s="37"/>
      <c r="K26" s="191"/>
      <c r="L26" s="33"/>
      <c r="M26" s="191"/>
      <c r="N26" s="29"/>
      <c r="O26" s="46"/>
      <c r="P26" s="45"/>
      <c r="Q26" s="45"/>
      <c r="R26" s="45"/>
      <c r="S26" s="45"/>
      <c r="T26" s="45"/>
      <c r="U26" s="45"/>
      <c r="V26" s="45"/>
      <c r="W26" s="45"/>
      <c r="X26" s="45"/>
      <c r="Y26" s="45"/>
      <c r="Z26" s="45"/>
      <c r="AA26" s="45"/>
      <c r="AB26" s="45"/>
      <c r="AC26" s="45"/>
      <c r="AD26" s="45"/>
      <c r="AE26" s="45"/>
      <c r="AF26" s="45"/>
      <c r="AG26" s="45"/>
      <c r="AH26" s="45"/>
    </row>
    <row r="27" spans="1:61" hidden="1" x14ac:dyDescent="0.2">
      <c r="A27" s="22"/>
      <c r="B27" s="22"/>
      <c r="C27" s="22"/>
      <c r="D27" s="22"/>
      <c r="E27" s="22"/>
      <c r="F27" s="22"/>
      <c r="G27" s="22"/>
      <c r="H27" s="22"/>
      <c r="I27" s="22"/>
      <c r="J27" s="222"/>
      <c r="K27" s="191"/>
      <c r="L27" s="33"/>
      <c r="M27" s="191"/>
      <c r="N27" s="29"/>
      <c r="O27" s="46"/>
      <c r="P27" s="45"/>
      <c r="Q27" s="45"/>
      <c r="R27" s="45"/>
      <c r="S27" s="45"/>
      <c r="T27" s="45"/>
      <c r="U27" s="45"/>
      <c r="V27" s="45"/>
      <c r="W27" s="45"/>
      <c r="X27" s="45"/>
      <c r="Y27" s="45"/>
      <c r="Z27" s="45"/>
      <c r="AA27" s="45"/>
      <c r="AB27" s="45"/>
      <c r="AC27" s="45"/>
      <c r="AD27" s="45"/>
      <c r="AE27" s="45"/>
      <c r="AF27" s="45"/>
      <c r="AG27" s="45"/>
      <c r="AH27" s="45"/>
    </row>
    <row r="28" spans="1:61" hidden="1" x14ac:dyDescent="0.2">
      <c r="C28" s="8"/>
      <c r="D28" s="8"/>
      <c r="E28" s="8"/>
      <c r="F28" s="8"/>
      <c r="G28" s="8"/>
      <c r="H28" s="8"/>
      <c r="I28" s="8"/>
      <c r="J28" s="37"/>
      <c r="K28" s="191"/>
      <c r="L28" s="33"/>
      <c r="M28" s="191"/>
      <c r="N28" s="29"/>
      <c r="O28" s="46"/>
      <c r="P28" s="45"/>
      <c r="Q28" s="45"/>
      <c r="R28" s="45"/>
      <c r="S28" s="45"/>
      <c r="T28" s="45"/>
      <c r="U28" s="45"/>
      <c r="V28" s="45"/>
      <c r="W28" s="45"/>
      <c r="X28" s="45"/>
      <c r="Y28" s="45"/>
      <c r="Z28" s="45"/>
      <c r="AA28" s="45"/>
      <c r="AB28" s="45"/>
      <c r="AC28" s="45"/>
      <c r="AD28" s="45"/>
      <c r="AE28" s="45"/>
      <c r="AF28" s="45"/>
      <c r="AG28" s="45"/>
      <c r="AH28" s="45"/>
    </row>
    <row r="29" spans="1:61" hidden="1" x14ac:dyDescent="0.2">
      <c r="A29" s="22"/>
      <c r="B29" s="22"/>
      <c r="C29" s="22"/>
      <c r="D29" s="22"/>
      <c r="E29" s="22"/>
      <c r="F29" s="22"/>
      <c r="G29" s="22"/>
      <c r="H29" s="22"/>
      <c r="I29" s="22"/>
      <c r="J29" s="222"/>
      <c r="K29" s="191"/>
      <c r="L29" s="33"/>
      <c r="M29" s="191"/>
      <c r="N29" s="29"/>
      <c r="O29" s="46"/>
      <c r="P29" s="45"/>
      <c r="Q29" s="45"/>
      <c r="R29" s="45"/>
      <c r="S29" s="45"/>
      <c r="T29" s="45"/>
      <c r="U29" s="45"/>
      <c r="V29" s="45"/>
      <c r="W29" s="45"/>
      <c r="X29" s="45"/>
      <c r="Y29" s="45"/>
      <c r="Z29" s="45"/>
      <c r="AA29" s="45"/>
      <c r="AB29" s="45"/>
      <c r="AC29" s="45"/>
      <c r="AD29" s="45"/>
      <c r="AE29" s="45"/>
      <c r="AF29" s="45"/>
      <c r="AG29" s="45"/>
      <c r="AH29" s="45"/>
    </row>
    <row r="30" spans="1:61" hidden="1" x14ac:dyDescent="0.2">
      <c r="C30" s="8"/>
      <c r="D30" s="8"/>
      <c r="E30" s="8"/>
      <c r="F30" s="8"/>
      <c r="G30" s="8"/>
      <c r="H30" s="8"/>
      <c r="I30" s="8"/>
      <c r="J30" s="37"/>
      <c r="K30" s="191"/>
      <c r="L30" s="33"/>
      <c r="M30" s="191"/>
      <c r="N30" s="29"/>
      <c r="O30" s="46"/>
      <c r="P30" s="45"/>
      <c r="Q30" s="45"/>
      <c r="R30" s="45"/>
      <c r="S30" s="45"/>
      <c r="T30" s="45"/>
      <c r="U30" s="45"/>
      <c r="V30" s="45"/>
      <c r="W30" s="45"/>
      <c r="X30" s="45"/>
      <c r="Y30" s="45"/>
      <c r="Z30" s="45"/>
      <c r="AA30" s="45"/>
      <c r="AB30" s="45"/>
      <c r="AC30" s="45"/>
      <c r="AD30" s="45"/>
      <c r="AE30" s="45"/>
      <c r="AF30" s="45"/>
      <c r="AG30" s="45"/>
      <c r="AH30" s="45"/>
    </row>
    <row r="31" spans="1:61" hidden="1" x14ac:dyDescent="0.2">
      <c r="A31" s="22"/>
      <c r="B31" s="22"/>
      <c r="C31" s="22"/>
      <c r="D31" s="22"/>
      <c r="E31" s="22"/>
      <c r="F31" s="22"/>
      <c r="G31" s="22"/>
      <c r="H31" s="22"/>
      <c r="I31" s="22"/>
      <c r="J31" s="222"/>
      <c r="K31" s="191"/>
      <c r="L31" s="33"/>
      <c r="M31" s="191"/>
      <c r="N31" s="29"/>
      <c r="O31" s="46"/>
      <c r="P31" s="45"/>
      <c r="Q31" s="45"/>
      <c r="R31" s="45"/>
      <c r="S31" s="45"/>
      <c r="T31" s="45"/>
      <c r="U31" s="45"/>
      <c r="V31" s="45"/>
      <c r="W31" s="45"/>
      <c r="X31" s="45"/>
      <c r="Y31" s="45"/>
      <c r="Z31" s="45"/>
      <c r="AA31" s="45"/>
      <c r="AB31" s="45"/>
      <c r="AC31" s="45"/>
      <c r="AD31" s="45"/>
      <c r="AE31" s="45"/>
      <c r="AF31" s="45"/>
      <c r="AG31" s="45"/>
      <c r="AH31" s="45"/>
    </row>
    <row r="32" spans="1:61" hidden="1" x14ac:dyDescent="0.2">
      <c r="C32" s="8"/>
      <c r="D32" s="8"/>
      <c r="E32" s="8"/>
      <c r="F32" s="8"/>
      <c r="G32" s="8"/>
      <c r="H32" s="8"/>
      <c r="I32" s="8"/>
      <c r="J32" s="37"/>
      <c r="K32" s="191"/>
      <c r="L32" s="33"/>
      <c r="M32" s="191"/>
      <c r="N32" s="29"/>
      <c r="O32" s="46"/>
      <c r="P32" s="45"/>
      <c r="Q32" s="45"/>
      <c r="R32" s="45"/>
      <c r="S32" s="45"/>
      <c r="T32" s="45"/>
      <c r="U32" s="45"/>
      <c r="V32" s="45"/>
      <c r="W32" s="45"/>
      <c r="X32" s="45"/>
      <c r="Y32" s="45"/>
      <c r="Z32" s="45"/>
      <c r="AA32" s="45"/>
      <c r="AB32" s="45"/>
      <c r="AC32" s="45"/>
      <c r="AD32" s="45"/>
      <c r="AE32" s="45"/>
      <c r="AF32" s="45"/>
      <c r="AG32" s="45"/>
      <c r="AH32" s="45"/>
    </row>
    <row r="33" spans="1:34" hidden="1" x14ac:dyDescent="0.2">
      <c r="A33" s="22"/>
      <c r="B33" s="22"/>
      <c r="C33" s="22"/>
      <c r="D33" s="22"/>
      <c r="E33" s="22"/>
      <c r="F33" s="22"/>
      <c r="G33" s="22"/>
      <c r="H33" s="22"/>
      <c r="I33" s="22"/>
      <c r="J33" s="222"/>
      <c r="K33" s="191"/>
      <c r="L33" s="33"/>
      <c r="M33" s="191"/>
      <c r="N33" s="29"/>
      <c r="O33" s="46"/>
      <c r="P33" s="45"/>
      <c r="Q33" s="45"/>
      <c r="R33" s="45"/>
      <c r="S33" s="45"/>
      <c r="T33" s="45"/>
      <c r="U33" s="45"/>
      <c r="V33" s="45"/>
      <c r="W33" s="45"/>
      <c r="X33" s="45"/>
      <c r="Y33" s="45"/>
      <c r="Z33" s="45"/>
      <c r="AA33" s="45"/>
      <c r="AB33" s="45"/>
      <c r="AC33" s="45"/>
      <c r="AD33" s="45"/>
      <c r="AE33" s="45"/>
      <c r="AF33" s="45"/>
      <c r="AG33" s="45"/>
      <c r="AH33" s="45"/>
    </row>
    <row r="34" spans="1:34" hidden="1" x14ac:dyDescent="0.2">
      <c r="C34" s="8"/>
      <c r="D34" s="8"/>
      <c r="E34" s="8"/>
      <c r="F34" s="8"/>
      <c r="G34" s="8"/>
      <c r="H34" s="8"/>
      <c r="I34" s="8"/>
      <c r="J34" s="37"/>
      <c r="K34" s="191"/>
      <c r="L34" s="33"/>
      <c r="M34" s="191"/>
      <c r="N34" s="29"/>
      <c r="O34" s="46"/>
      <c r="P34" s="45"/>
      <c r="Q34" s="45"/>
      <c r="R34" s="45"/>
      <c r="S34" s="45"/>
      <c r="T34" s="45"/>
      <c r="U34" s="45"/>
      <c r="V34" s="45"/>
      <c r="W34" s="45"/>
      <c r="X34" s="45"/>
      <c r="Y34" s="45"/>
      <c r="Z34" s="45"/>
      <c r="AA34" s="45"/>
      <c r="AB34" s="45"/>
      <c r="AC34" s="45"/>
      <c r="AD34" s="45"/>
      <c r="AE34" s="45"/>
      <c r="AF34" s="45"/>
      <c r="AG34" s="45"/>
      <c r="AH34" s="45"/>
    </row>
    <row r="35" spans="1:34" hidden="1" x14ac:dyDescent="0.2">
      <c r="A35" s="22"/>
      <c r="B35" s="22"/>
      <c r="C35" s="22"/>
      <c r="D35" s="22"/>
      <c r="E35" s="22"/>
      <c r="F35" s="22"/>
      <c r="G35" s="22"/>
      <c r="H35" s="22"/>
      <c r="I35" s="22"/>
      <c r="J35" s="222"/>
      <c r="K35" s="191"/>
      <c r="L35" s="33"/>
      <c r="M35" s="191"/>
      <c r="N35" s="29"/>
      <c r="O35" s="46"/>
      <c r="P35" s="45"/>
      <c r="Q35" s="45"/>
      <c r="R35" s="45"/>
      <c r="S35" s="45"/>
      <c r="T35" s="45"/>
      <c r="U35" s="45"/>
      <c r="V35" s="45"/>
      <c r="W35" s="45"/>
      <c r="X35" s="45"/>
      <c r="Y35" s="45"/>
      <c r="Z35" s="45"/>
      <c r="AA35" s="45"/>
      <c r="AB35" s="45"/>
      <c r="AC35" s="45"/>
      <c r="AD35" s="45"/>
      <c r="AE35" s="45"/>
      <c r="AF35" s="45"/>
      <c r="AG35" s="45"/>
      <c r="AH35" s="45"/>
    </row>
    <row r="36" spans="1:34" hidden="1" x14ac:dyDescent="0.2">
      <c r="C36" s="8"/>
      <c r="D36" s="8"/>
      <c r="E36" s="8"/>
      <c r="F36" s="8"/>
      <c r="G36" s="8"/>
      <c r="H36" s="8"/>
      <c r="I36" s="8"/>
      <c r="J36" s="37"/>
      <c r="K36" s="191"/>
      <c r="L36" s="33"/>
      <c r="M36" s="191"/>
      <c r="N36" s="29"/>
      <c r="O36" s="46"/>
      <c r="P36" s="45"/>
      <c r="Q36" s="45"/>
      <c r="R36" s="45"/>
      <c r="S36" s="45"/>
      <c r="T36" s="45"/>
      <c r="U36" s="45"/>
      <c r="V36" s="45"/>
      <c r="W36" s="45"/>
      <c r="X36" s="45"/>
      <c r="Y36" s="45"/>
      <c r="Z36" s="45"/>
      <c r="AA36" s="45"/>
      <c r="AB36" s="45"/>
      <c r="AC36" s="45"/>
      <c r="AD36" s="45"/>
      <c r="AE36" s="45"/>
      <c r="AF36" s="45"/>
      <c r="AG36" s="45"/>
      <c r="AH36" s="45"/>
    </row>
    <row r="37" spans="1:34" hidden="1" x14ac:dyDescent="0.2">
      <c r="A37" s="22"/>
      <c r="B37" s="22"/>
      <c r="C37" s="22"/>
      <c r="D37" s="22"/>
      <c r="E37" s="22"/>
      <c r="F37" s="22"/>
      <c r="G37" s="22"/>
      <c r="H37" s="22"/>
      <c r="I37" s="22"/>
      <c r="J37" s="222"/>
      <c r="K37" s="191"/>
      <c r="L37" s="33"/>
      <c r="M37" s="191"/>
      <c r="N37" s="29"/>
      <c r="O37" s="46"/>
      <c r="P37" s="45"/>
      <c r="Q37" s="45"/>
      <c r="R37" s="45"/>
      <c r="S37" s="45"/>
      <c r="T37" s="45"/>
      <c r="U37" s="45"/>
      <c r="V37" s="45"/>
      <c r="W37" s="45"/>
      <c r="X37" s="45"/>
      <c r="Y37" s="45"/>
      <c r="Z37" s="45"/>
      <c r="AA37" s="45"/>
      <c r="AB37" s="45"/>
      <c r="AC37" s="45"/>
      <c r="AD37" s="45"/>
      <c r="AE37" s="45"/>
      <c r="AF37" s="45"/>
      <c r="AG37" s="45"/>
      <c r="AH37" s="45"/>
    </row>
    <row r="38" spans="1:34" hidden="1" x14ac:dyDescent="0.2">
      <c r="C38" s="8"/>
      <c r="D38" s="8"/>
      <c r="E38" s="8"/>
      <c r="F38" s="8"/>
      <c r="G38" s="8"/>
      <c r="H38" s="8"/>
      <c r="I38" s="8"/>
      <c r="J38" s="37"/>
      <c r="K38" s="191"/>
      <c r="L38" s="33"/>
      <c r="M38" s="191"/>
      <c r="N38" s="29"/>
      <c r="O38" s="46"/>
      <c r="P38" s="45"/>
      <c r="Q38" s="45"/>
      <c r="R38" s="45"/>
      <c r="S38" s="45"/>
      <c r="T38" s="45"/>
      <c r="U38" s="45"/>
      <c r="V38" s="45"/>
      <c r="W38" s="45"/>
      <c r="X38" s="45"/>
      <c r="Y38" s="45"/>
      <c r="Z38" s="45"/>
      <c r="AA38" s="45"/>
      <c r="AB38" s="45"/>
      <c r="AC38" s="45"/>
      <c r="AD38" s="45"/>
      <c r="AE38" s="45"/>
      <c r="AF38" s="45"/>
      <c r="AG38" s="45"/>
      <c r="AH38" s="45"/>
    </row>
    <row r="39" spans="1:34" hidden="1" x14ac:dyDescent="0.2">
      <c r="A39" s="22"/>
      <c r="B39" s="22"/>
      <c r="C39" s="22"/>
      <c r="D39" s="22"/>
      <c r="E39" s="22"/>
      <c r="F39" s="22"/>
      <c r="G39" s="22"/>
      <c r="H39" s="22"/>
      <c r="I39" s="22"/>
      <c r="J39" s="222"/>
      <c r="K39" s="191"/>
      <c r="L39" s="33"/>
      <c r="M39" s="191"/>
      <c r="N39" s="29"/>
      <c r="O39" s="46"/>
      <c r="P39" s="45"/>
      <c r="Q39" s="45"/>
      <c r="R39" s="45"/>
      <c r="S39" s="45"/>
      <c r="T39" s="45"/>
      <c r="U39" s="45"/>
      <c r="V39" s="45"/>
      <c r="W39" s="45"/>
      <c r="X39" s="45"/>
      <c r="Y39" s="45"/>
      <c r="Z39" s="45"/>
      <c r="AA39" s="45"/>
      <c r="AB39" s="45"/>
      <c r="AC39" s="45"/>
      <c r="AD39" s="45"/>
      <c r="AE39" s="45"/>
      <c r="AF39" s="45"/>
      <c r="AG39" s="45"/>
      <c r="AH39" s="45"/>
    </row>
    <row r="40" spans="1:34" hidden="1" x14ac:dyDescent="0.2">
      <c r="C40" s="8"/>
      <c r="D40" s="8"/>
      <c r="E40" s="8"/>
      <c r="F40" s="8"/>
      <c r="G40" s="8"/>
      <c r="H40" s="8"/>
      <c r="I40" s="8"/>
      <c r="J40" s="37"/>
      <c r="K40" s="191"/>
      <c r="L40" s="33"/>
      <c r="M40" s="191"/>
      <c r="N40" s="29"/>
      <c r="O40" s="46"/>
      <c r="P40" s="45"/>
      <c r="Q40" s="45"/>
      <c r="R40" s="45"/>
      <c r="S40" s="45"/>
      <c r="T40" s="45"/>
      <c r="U40" s="45"/>
      <c r="V40" s="45"/>
      <c r="W40" s="45"/>
      <c r="X40" s="45"/>
      <c r="Y40" s="45"/>
      <c r="Z40" s="45"/>
      <c r="AA40" s="45"/>
      <c r="AB40" s="45"/>
      <c r="AC40" s="45"/>
      <c r="AD40" s="45"/>
      <c r="AE40" s="45"/>
      <c r="AF40" s="45"/>
      <c r="AG40" s="45"/>
      <c r="AH40" s="45"/>
    </row>
    <row r="41" spans="1:34" hidden="1" x14ac:dyDescent="0.2">
      <c r="A41" s="22"/>
      <c r="B41" s="22"/>
      <c r="C41" s="22"/>
      <c r="D41" s="22"/>
      <c r="E41" s="22"/>
      <c r="F41" s="22"/>
      <c r="G41" s="22"/>
      <c r="H41" s="22"/>
      <c r="I41" s="22"/>
      <c r="J41" s="222"/>
      <c r="K41" s="191"/>
      <c r="L41" s="33"/>
      <c r="M41" s="191"/>
      <c r="N41" s="29"/>
      <c r="O41" s="46"/>
      <c r="P41" s="45"/>
      <c r="Q41" s="45"/>
      <c r="R41" s="45"/>
      <c r="S41" s="45"/>
      <c r="T41" s="45"/>
      <c r="U41" s="45"/>
      <c r="V41" s="45"/>
      <c r="W41" s="45"/>
      <c r="X41" s="45"/>
      <c r="Y41" s="45"/>
      <c r="Z41" s="45"/>
      <c r="AA41" s="45"/>
      <c r="AB41" s="45"/>
      <c r="AC41" s="45"/>
      <c r="AD41" s="45"/>
      <c r="AE41" s="45"/>
      <c r="AF41" s="45"/>
      <c r="AG41" s="45"/>
      <c r="AH41" s="45"/>
    </row>
    <row r="42" spans="1:34" hidden="1" x14ac:dyDescent="0.2">
      <c r="C42" s="8"/>
      <c r="D42" s="8"/>
      <c r="E42" s="8"/>
      <c r="F42" s="8"/>
      <c r="G42" s="8"/>
      <c r="H42" s="8"/>
      <c r="I42" s="8"/>
      <c r="J42" s="37"/>
      <c r="K42" s="191"/>
      <c r="L42" s="33"/>
      <c r="M42" s="191"/>
      <c r="N42" s="29"/>
      <c r="O42" s="46"/>
      <c r="P42" s="45"/>
      <c r="Q42" s="45"/>
      <c r="R42" s="45"/>
      <c r="S42" s="45"/>
      <c r="T42" s="45"/>
      <c r="U42" s="45"/>
      <c r="V42" s="45"/>
      <c r="W42" s="45"/>
      <c r="X42" s="45"/>
      <c r="Y42" s="45"/>
      <c r="Z42" s="45"/>
      <c r="AA42" s="45"/>
      <c r="AB42" s="45"/>
      <c r="AC42" s="45"/>
      <c r="AD42" s="45"/>
      <c r="AE42" s="45"/>
      <c r="AF42" s="45"/>
      <c r="AG42" s="45"/>
      <c r="AH42" s="45"/>
    </row>
    <row r="43" spans="1:34" hidden="1" x14ac:dyDescent="0.2">
      <c r="A43" s="22"/>
      <c r="B43" s="22"/>
      <c r="C43" s="22"/>
      <c r="D43" s="22"/>
      <c r="E43" s="22"/>
      <c r="F43" s="22"/>
      <c r="G43" s="22"/>
      <c r="H43" s="22"/>
      <c r="I43" s="22"/>
      <c r="J43" s="222"/>
      <c r="K43" s="191"/>
      <c r="L43" s="33"/>
      <c r="M43" s="191"/>
      <c r="N43" s="29"/>
      <c r="O43" s="46"/>
      <c r="P43" s="45"/>
      <c r="Q43" s="45"/>
      <c r="R43" s="45"/>
      <c r="S43" s="45"/>
      <c r="T43" s="45"/>
      <c r="U43" s="45"/>
      <c r="V43" s="45"/>
      <c r="W43" s="45"/>
      <c r="X43" s="45"/>
      <c r="Y43" s="45"/>
      <c r="Z43" s="45"/>
      <c r="AA43" s="45"/>
      <c r="AB43" s="45"/>
      <c r="AC43" s="45"/>
      <c r="AD43" s="45"/>
      <c r="AE43" s="45"/>
      <c r="AF43" s="45"/>
      <c r="AG43" s="45"/>
      <c r="AH43" s="45"/>
    </row>
    <row r="44" spans="1:34" x14ac:dyDescent="0.2">
      <c r="C44" s="8"/>
      <c r="D44" s="23"/>
      <c r="E44" s="8"/>
      <c r="F44" s="8"/>
      <c r="G44" s="8"/>
      <c r="H44" s="8"/>
      <c r="I44" s="8"/>
      <c r="J44" s="37"/>
      <c r="K44" s="191"/>
      <c r="L44" s="33"/>
      <c r="M44" s="191"/>
      <c r="N44"/>
      <c r="O44"/>
      <c r="P44"/>
      <c r="Q44"/>
      <c r="R44"/>
      <c r="S44"/>
      <c r="T44"/>
      <c r="U44"/>
      <c r="V44"/>
      <c r="W44"/>
      <c r="X44"/>
      <c r="Y44"/>
      <c r="Z44"/>
      <c r="AA44"/>
      <c r="AB44"/>
      <c r="AC44"/>
      <c r="AD44"/>
      <c r="AE44"/>
      <c r="AF44"/>
      <c r="AG44"/>
      <c r="AH44"/>
    </row>
    <row r="45" spans="1:34" s="8" customFormat="1" ht="14.5" customHeight="1" x14ac:dyDescent="0.2">
      <c r="C45" s="366" t="s">
        <v>83</v>
      </c>
      <c r="D45" s="366"/>
      <c r="E45" s="43" t="s">
        <v>4</v>
      </c>
      <c r="F45" s="1"/>
      <c r="G45" s="1"/>
      <c r="H45" s="31" t="s">
        <v>595</v>
      </c>
      <c r="I45" s="30">
        <f>SUM(O2:O44)</f>
        <v>18</v>
      </c>
      <c r="J45" s="20">
        <f>SUM(J2:J44)</f>
        <v>438700000</v>
      </c>
      <c r="K45" s="24">
        <f>SUM(P45:AH45)</f>
        <v>1</v>
      </c>
      <c r="L45" s="1"/>
      <c r="M45" s="1"/>
      <c r="N45" s="21"/>
      <c r="P45" s="430">
        <v>0.03</v>
      </c>
      <c r="Q45" s="430"/>
      <c r="R45" s="430">
        <v>0.1</v>
      </c>
      <c r="S45" s="430"/>
      <c r="T45" s="430">
        <v>0.3</v>
      </c>
      <c r="U45" s="430"/>
      <c r="V45" s="430"/>
      <c r="W45" s="430">
        <v>0.3</v>
      </c>
      <c r="X45" s="430"/>
      <c r="Y45" s="430"/>
      <c r="Z45" s="430">
        <v>0.1</v>
      </c>
      <c r="AA45" s="430"/>
      <c r="AB45" s="430"/>
      <c r="AC45" s="430">
        <v>0.12</v>
      </c>
      <c r="AD45" s="430"/>
      <c r="AE45" s="430"/>
      <c r="AF45" s="430">
        <v>0.05</v>
      </c>
      <c r="AG45" s="430"/>
      <c r="AH45" s="430"/>
    </row>
    <row r="46" spans="1:34" x14ac:dyDescent="0.2">
      <c r="C46" s="23" t="s">
        <v>24</v>
      </c>
      <c r="D46" s="8">
        <f t="shared" ref="D46:D52" si="0">SUMIF($E$2:$E$44,C46,$O$2:$O$44)</f>
        <v>6</v>
      </c>
      <c r="E46" s="23" t="s">
        <v>29</v>
      </c>
      <c r="F46" s="8">
        <f>SUMIF($C$2:$C$44,E46,$O$2:$O$47)</f>
        <v>8</v>
      </c>
      <c r="M46" s="360" t="s">
        <v>406</v>
      </c>
      <c r="N46" s="360"/>
      <c r="O46" s="360"/>
    </row>
    <row r="47" spans="1:34" s="8" customFormat="1" x14ac:dyDescent="0.2">
      <c r="C47" s="23" t="s">
        <v>66</v>
      </c>
      <c r="D47" s="8">
        <f t="shared" si="0"/>
        <v>0</v>
      </c>
      <c r="E47" s="23" t="s">
        <v>22</v>
      </c>
      <c r="F47" s="8">
        <f>SUMIF($C$2:$C$44,E47,$O$2:$O$47)</f>
        <v>10</v>
      </c>
      <c r="G47" s="1"/>
      <c r="H47" s="348" t="s">
        <v>75</v>
      </c>
      <c r="I47" s="348"/>
      <c r="J47" s="20">
        <f>SUMIF(K2:K44,K47,J2:J44)</f>
        <v>351300000</v>
      </c>
      <c r="K47" s="24">
        <v>1</v>
      </c>
      <c r="L47" s="1"/>
      <c r="M47" s="48"/>
      <c r="N47" s="43">
        <f>SUMIF($K$2:$K$44,K47,$O$2:$O$44)</f>
        <v>17</v>
      </c>
      <c r="O47" s="43"/>
      <c r="P47" s="1"/>
      <c r="Q47" s="1"/>
      <c r="R47" s="1"/>
      <c r="S47" s="1"/>
      <c r="T47" s="1"/>
      <c r="U47" s="1"/>
      <c r="V47" s="1"/>
      <c r="W47" s="1"/>
      <c r="X47" s="1"/>
      <c r="Y47" s="1"/>
      <c r="Z47" s="1"/>
      <c r="AA47" s="1"/>
      <c r="AB47" s="1"/>
      <c r="AC47" s="1"/>
      <c r="AD47" s="1"/>
      <c r="AE47" s="1"/>
      <c r="AF47" s="1"/>
      <c r="AG47" s="1"/>
      <c r="AH47" s="1"/>
    </row>
    <row r="48" spans="1:34" s="8" customFormat="1" x14ac:dyDescent="0.2">
      <c r="C48" s="1" t="s">
        <v>34</v>
      </c>
      <c r="D48" s="8">
        <f t="shared" si="0"/>
        <v>1.5</v>
      </c>
      <c r="E48" s="1"/>
      <c r="F48" s="1"/>
      <c r="G48" s="1"/>
      <c r="H48" s="1" t="s">
        <v>76</v>
      </c>
      <c r="I48" s="2" t="s">
        <v>502</v>
      </c>
      <c r="J48" s="20">
        <f t="shared" ref="J48:J57" si="1">SUMIF($L$2:$L$44,K48,$J$2:$J$44)</f>
        <v>0</v>
      </c>
      <c r="K48" s="25">
        <v>1</v>
      </c>
      <c r="L48" s="1"/>
      <c r="M48" s="1"/>
      <c r="N48" s="21"/>
      <c r="P48" s="1"/>
      <c r="Q48" s="1"/>
      <c r="R48" s="1"/>
      <c r="S48" s="1"/>
      <c r="T48" s="1"/>
      <c r="U48" s="1"/>
      <c r="V48" s="1"/>
      <c r="W48" s="1"/>
      <c r="X48" s="1"/>
      <c r="Y48" s="1"/>
      <c r="Z48" s="1"/>
      <c r="AA48" s="1"/>
      <c r="AB48" s="1"/>
      <c r="AC48" s="1"/>
      <c r="AD48" s="1"/>
      <c r="AE48" s="1"/>
      <c r="AF48" s="1"/>
      <c r="AG48" s="1"/>
      <c r="AH48" s="1"/>
    </row>
    <row r="49" spans="1:34" s="8" customFormat="1" x14ac:dyDescent="0.2">
      <c r="C49" s="23" t="s">
        <v>31</v>
      </c>
      <c r="D49" s="8">
        <f t="shared" si="0"/>
        <v>5</v>
      </c>
      <c r="E49" s="1"/>
      <c r="G49" s="1"/>
      <c r="H49" s="1" t="s">
        <v>76</v>
      </c>
      <c r="I49" s="2" t="s">
        <v>596</v>
      </c>
      <c r="J49" s="20">
        <f t="shared" si="1"/>
        <v>14700000</v>
      </c>
      <c r="K49" s="25">
        <v>2</v>
      </c>
      <c r="L49" s="1"/>
      <c r="M49" s="1"/>
      <c r="N49" s="21"/>
      <c r="P49" s="1"/>
      <c r="Q49" s="1"/>
      <c r="R49" s="1"/>
      <c r="S49" s="1"/>
      <c r="T49" s="1"/>
      <c r="U49" s="1"/>
      <c r="V49" s="1"/>
      <c r="W49" s="1"/>
      <c r="X49" s="1"/>
      <c r="Y49" s="1"/>
      <c r="Z49" s="1"/>
      <c r="AA49" s="1"/>
      <c r="AB49" s="1"/>
      <c r="AC49" s="1"/>
      <c r="AD49" s="1"/>
      <c r="AE49" s="1"/>
      <c r="AF49" s="1"/>
      <c r="AG49" s="1"/>
      <c r="AH49" s="1"/>
    </row>
    <row r="50" spans="1:34" s="8" customFormat="1" x14ac:dyDescent="0.2">
      <c r="C50" s="23" t="s">
        <v>85</v>
      </c>
      <c r="D50" s="8">
        <f t="shared" si="0"/>
        <v>0</v>
      </c>
      <c r="E50" s="1"/>
      <c r="F50" s="1"/>
      <c r="G50" s="1"/>
      <c r="H50" s="1" t="s">
        <v>76</v>
      </c>
      <c r="I50" s="2" t="s">
        <v>597</v>
      </c>
      <c r="J50" s="20">
        <f t="shared" si="1"/>
        <v>57800000</v>
      </c>
      <c r="K50" s="25">
        <v>3</v>
      </c>
      <c r="L50" s="1"/>
      <c r="M50" s="1"/>
      <c r="N50" s="21"/>
      <c r="P50" s="1"/>
      <c r="Q50" s="1"/>
      <c r="R50" s="1"/>
      <c r="S50" s="1"/>
      <c r="T50" s="1"/>
      <c r="U50" s="1"/>
      <c r="V50" s="1"/>
      <c r="W50" s="1"/>
      <c r="X50" s="1"/>
      <c r="Y50" s="1"/>
      <c r="Z50" s="1"/>
      <c r="AA50" s="1"/>
      <c r="AB50" s="1"/>
      <c r="AC50" s="1"/>
      <c r="AD50" s="1"/>
      <c r="AE50" s="1"/>
      <c r="AF50" s="1"/>
      <c r="AG50" s="1"/>
      <c r="AH50" s="1"/>
    </row>
    <row r="51" spans="1:34" s="8" customFormat="1" x14ac:dyDescent="0.2">
      <c r="C51" s="23" t="s">
        <v>46</v>
      </c>
      <c r="D51" s="8">
        <f t="shared" si="0"/>
        <v>0</v>
      </c>
      <c r="E51" s="1"/>
      <c r="F51" s="1"/>
      <c r="G51" s="1"/>
      <c r="H51" s="1" t="s">
        <v>76</v>
      </c>
      <c r="I51" s="2" t="s">
        <v>598</v>
      </c>
      <c r="J51" s="20">
        <f t="shared" si="1"/>
        <v>58900000</v>
      </c>
      <c r="K51" s="25">
        <v>4</v>
      </c>
      <c r="L51" s="1"/>
      <c r="M51" s="1"/>
      <c r="N51" s="21"/>
      <c r="P51" s="1"/>
      <c r="Q51" s="1"/>
      <c r="R51" s="1"/>
      <c r="S51" s="1"/>
      <c r="T51" s="1"/>
      <c r="U51" s="1"/>
      <c r="V51" s="1"/>
      <c r="W51" s="1"/>
      <c r="X51" s="1"/>
      <c r="Y51" s="1"/>
      <c r="Z51" s="1"/>
      <c r="AA51" s="1"/>
      <c r="AB51" s="1"/>
      <c r="AC51" s="1"/>
      <c r="AD51" s="1"/>
      <c r="AE51" s="1"/>
      <c r="AF51" s="1"/>
      <c r="AG51" s="1"/>
      <c r="AH51" s="1"/>
    </row>
    <row r="52" spans="1:34" x14ac:dyDescent="0.2">
      <c r="C52" s="23" t="s">
        <v>38</v>
      </c>
      <c r="D52" s="8">
        <f t="shared" si="0"/>
        <v>5.5</v>
      </c>
      <c r="H52" s="1" t="s">
        <v>76</v>
      </c>
      <c r="I52" s="2" t="s">
        <v>599</v>
      </c>
      <c r="J52" s="20">
        <f t="shared" si="1"/>
        <v>21000000</v>
      </c>
      <c r="K52" s="25">
        <v>5</v>
      </c>
    </row>
    <row r="53" spans="1:34" x14ac:dyDescent="0.2">
      <c r="H53" s="1" t="s">
        <v>76</v>
      </c>
      <c r="I53" s="2" t="s">
        <v>600</v>
      </c>
      <c r="J53" s="20">
        <f t="shared" si="1"/>
        <v>52000000</v>
      </c>
      <c r="K53" s="25">
        <v>6</v>
      </c>
      <c r="L53" s="33"/>
    </row>
    <row r="54" spans="1:34" x14ac:dyDescent="0.2">
      <c r="C54" s="3" t="s">
        <v>157</v>
      </c>
      <c r="D54" s="8">
        <f>SUM(D46:D53)</f>
        <v>18</v>
      </c>
      <c r="E54" s="3" t="s">
        <v>157</v>
      </c>
      <c r="F54" s="8">
        <f>SUM(F46:F53)</f>
        <v>18</v>
      </c>
      <c r="H54" s="1" t="s">
        <v>76</v>
      </c>
      <c r="I54" s="2" t="s">
        <v>601</v>
      </c>
      <c r="J54" s="20">
        <f t="shared" si="1"/>
        <v>146900000</v>
      </c>
      <c r="K54" s="25">
        <v>7</v>
      </c>
    </row>
    <row r="55" spans="1:34" x14ac:dyDescent="0.2">
      <c r="C55" s="3"/>
      <c r="D55" s="8"/>
      <c r="E55" s="3"/>
      <c r="F55" s="8"/>
      <c r="H55" s="1" t="s">
        <v>76</v>
      </c>
      <c r="I55" s="2" t="s">
        <v>602</v>
      </c>
      <c r="J55" s="20">
        <f t="shared" si="1"/>
        <v>0</v>
      </c>
      <c r="K55" s="25">
        <v>8</v>
      </c>
    </row>
    <row r="56" spans="1:34" x14ac:dyDescent="0.2">
      <c r="C56" s="3"/>
      <c r="D56" s="8"/>
      <c r="E56" s="3"/>
      <c r="F56" s="8"/>
      <c r="H56" s="1" t="s">
        <v>76</v>
      </c>
      <c r="I56" s="2" t="s">
        <v>603</v>
      </c>
      <c r="J56" s="20">
        <f t="shared" si="1"/>
        <v>0</v>
      </c>
      <c r="K56" s="25">
        <v>9</v>
      </c>
    </row>
    <row r="57" spans="1:34" x14ac:dyDescent="0.2">
      <c r="C57" s="3"/>
      <c r="D57" s="8"/>
      <c r="E57" s="3"/>
      <c r="F57" s="8"/>
      <c r="H57" s="1" t="s">
        <v>76</v>
      </c>
      <c r="I57" s="2" t="s">
        <v>604</v>
      </c>
      <c r="J57" s="20">
        <f t="shared" si="1"/>
        <v>0</v>
      </c>
      <c r="K57" s="25">
        <v>10</v>
      </c>
    </row>
    <row r="58" spans="1:34" x14ac:dyDescent="0.2">
      <c r="C58" s="3"/>
      <c r="D58" s="8"/>
      <c r="E58" s="3"/>
      <c r="F58" s="8"/>
    </row>
    <row r="59" spans="1:34" s="57" customFormat="1" ht="29.25" customHeight="1" x14ac:dyDescent="0.2">
      <c r="A59" s="432" t="s">
        <v>158</v>
      </c>
      <c r="B59" s="432"/>
      <c r="C59" s="432"/>
      <c r="D59" s="432"/>
      <c r="E59" s="432"/>
      <c r="F59" s="432"/>
      <c r="G59" s="432"/>
      <c r="H59" s="433"/>
      <c r="I59" s="181" t="s">
        <v>159</v>
      </c>
      <c r="J59" s="181" t="s">
        <v>160</v>
      </c>
      <c r="N59" s="59"/>
      <c r="O59" s="7"/>
    </row>
    <row r="60" spans="1:34" x14ac:dyDescent="0.2">
      <c r="A60" s="109">
        <v>44743</v>
      </c>
      <c r="B60" s="110" t="s">
        <v>164</v>
      </c>
      <c r="C60" s="355" t="s">
        <v>518</v>
      </c>
      <c r="D60" s="355"/>
      <c r="E60" s="355"/>
      <c r="F60" s="355"/>
      <c r="G60" s="355"/>
      <c r="H60" s="355"/>
      <c r="I60" s="111"/>
      <c r="J60" s="112" t="s">
        <v>174</v>
      </c>
    </row>
    <row r="61" spans="1:34" x14ac:dyDescent="0.2">
      <c r="A61" s="113">
        <v>44743</v>
      </c>
      <c r="B61" s="50" t="s">
        <v>164</v>
      </c>
      <c r="C61" s="353" t="s">
        <v>605</v>
      </c>
      <c r="D61" s="353"/>
      <c r="E61" s="353"/>
      <c r="F61" s="353"/>
      <c r="G61" s="353"/>
      <c r="H61" s="353"/>
      <c r="I61" s="51" t="s">
        <v>181</v>
      </c>
      <c r="J61" s="114" t="s">
        <v>174</v>
      </c>
    </row>
    <row r="62" spans="1:34" x14ac:dyDescent="0.2">
      <c r="A62" s="113">
        <v>44743</v>
      </c>
      <c r="B62" s="50" t="s">
        <v>164</v>
      </c>
      <c r="C62" s="353" t="s">
        <v>540</v>
      </c>
      <c r="D62" s="353"/>
      <c r="E62" s="353"/>
      <c r="F62" s="353"/>
      <c r="G62" s="353"/>
      <c r="H62" s="353"/>
      <c r="I62" s="51" t="s">
        <v>181</v>
      </c>
      <c r="J62" s="114" t="s">
        <v>244</v>
      </c>
    </row>
    <row r="63" spans="1:34" x14ac:dyDescent="0.2">
      <c r="A63" s="113">
        <v>44743</v>
      </c>
      <c r="B63" s="50" t="s">
        <v>164</v>
      </c>
      <c r="C63" s="353" t="s">
        <v>606</v>
      </c>
      <c r="D63" s="353"/>
      <c r="E63" s="353"/>
      <c r="F63" s="353"/>
      <c r="G63" s="353"/>
      <c r="H63" s="353"/>
      <c r="I63" s="51" t="s">
        <v>181</v>
      </c>
      <c r="J63" s="114" t="s">
        <v>238</v>
      </c>
    </row>
    <row r="64" spans="1:34" x14ac:dyDescent="0.2">
      <c r="A64" s="115">
        <v>44743</v>
      </c>
      <c r="B64" s="116" t="s">
        <v>164</v>
      </c>
      <c r="C64" s="352" t="s">
        <v>607</v>
      </c>
      <c r="D64" s="352"/>
      <c r="E64" s="352"/>
      <c r="F64" s="352"/>
      <c r="G64" s="352"/>
      <c r="H64" s="352"/>
      <c r="I64" s="117" t="s">
        <v>183</v>
      </c>
      <c r="J64" s="118" t="s">
        <v>187</v>
      </c>
    </row>
    <row r="65" spans="1:10" x14ac:dyDescent="0.2">
      <c r="A65" s="254">
        <f>+A60+1</f>
        <v>44744</v>
      </c>
      <c r="B65" s="252" t="s">
        <v>165</v>
      </c>
      <c r="C65" s="434" t="s">
        <v>606</v>
      </c>
      <c r="D65" s="434"/>
      <c r="E65" s="434"/>
      <c r="F65" s="434"/>
      <c r="G65" s="434"/>
      <c r="H65" s="434"/>
      <c r="I65" s="253" t="s">
        <v>181</v>
      </c>
      <c r="J65" s="255" t="s">
        <v>238</v>
      </c>
    </row>
    <row r="66" spans="1:10" x14ac:dyDescent="0.2">
      <c r="A66" s="248">
        <v>44744</v>
      </c>
      <c r="B66" s="249" t="s">
        <v>165</v>
      </c>
      <c r="C66" s="428" t="s">
        <v>608</v>
      </c>
      <c r="D66" s="428"/>
      <c r="E66" s="428"/>
      <c r="F66" s="428"/>
      <c r="G66" s="428"/>
      <c r="H66" s="428"/>
      <c r="I66" s="250" t="s">
        <v>181</v>
      </c>
      <c r="J66" s="251" t="s">
        <v>185</v>
      </c>
    </row>
    <row r="67" spans="1:10" x14ac:dyDescent="0.2">
      <c r="A67" s="256">
        <f>+A65+1</f>
        <v>44745</v>
      </c>
      <c r="B67" s="257" t="s">
        <v>166</v>
      </c>
      <c r="C67" s="431"/>
      <c r="D67" s="431"/>
      <c r="E67" s="431"/>
      <c r="F67" s="431"/>
      <c r="G67" s="431"/>
      <c r="H67" s="431"/>
      <c r="I67" s="258"/>
      <c r="J67" s="259"/>
    </row>
    <row r="68" spans="1:10" ht="14.5" customHeight="1" x14ac:dyDescent="0.2">
      <c r="A68" s="123">
        <f t="shared" ref="A68:A169" si="2">+A67+1</f>
        <v>44746</v>
      </c>
      <c r="B68" s="124" t="s">
        <v>167</v>
      </c>
      <c r="C68" s="363" t="s">
        <v>518</v>
      </c>
      <c r="D68" s="363"/>
      <c r="E68" s="363"/>
      <c r="F68" s="363"/>
      <c r="G68" s="363"/>
      <c r="H68" s="363"/>
      <c r="I68" s="65"/>
      <c r="J68" s="125" t="s">
        <v>174</v>
      </c>
    </row>
    <row r="69" spans="1:10" x14ac:dyDescent="0.2">
      <c r="A69" s="113">
        <v>44746</v>
      </c>
      <c r="B69" s="50" t="s">
        <v>167</v>
      </c>
      <c r="C69" s="374" t="s">
        <v>609</v>
      </c>
      <c r="D69" s="375"/>
      <c r="E69" s="375"/>
      <c r="F69" s="375"/>
      <c r="G69" s="375"/>
      <c r="H69" s="376"/>
      <c r="I69" s="51" t="s">
        <v>169</v>
      </c>
      <c r="J69" s="114" t="s">
        <v>174</v>
      </c>
    </row>
    <row r="70" spans="1:10" x14ac:dyDescent="0.2">
      <c r="A70" s="113">
        <v>44746</v>
      </c>
      <c r="B70" s="50" t="s">
        <v>167</v>
      </c>
      <c r="C70" s="374" t="s">
        <v>610</v>
      </c>
      <c r="D70" s="375"/>
      <c r="E70" s="375"/>
      <c r="F70" s="375"/>
      <c r="G70" s="375"/>
      <c r="H70" s="376"/>
      <c r="I70" s="51" t="s">
        <v>214</v>
      </c>
      <c r="J70" s="114" t="s">
        <v>235</v>
      </c>
    </row>
    <row r="71" spans="1:10" x14ac:dyDescent="0.2">
      <c r="A71" s="113">
        <v>44746</v>
      </c>
      <c r="B71" s="50" t="s">
        <v>167</v>
      </c>
      <c r="C71" s="374" t="s">
        <v>540</v>
      </c>
      <c r="D71" s="375"/>
      <c r="E71" s="375"/>
      <c r="F71" s="375"/>
      <c r="G71" s="375"/>
      <c r="H71" s="376"/>
      <c r="I71" s="51" t="s">
        <v>181</v>
      </c>
      <c r="J71" s="114" t="s">
        <v>244</v>
      </c>
    </row>
    <row r="72" spans="1:10" x14ac:dyDescent="0.2">
      <c r="A72" s="113">
        <v>44746</v>
      </c>
      <c r="B72" s="50" t="s">
        <v>167</v>
      </c>
      <c r="C72" s="374" t="s">
        <v>606</v>
      </c>
      <c r="D72" s="375"/>
      <c r="E72" s="375"/>
      <c r="F72" s="375"/>
      <c r="G72" s="375"/>
      <c r="H72" s="376"/>
      <c r="I72" s="51" t="s">
        <v>181</v>
      </c>
      <c r="J72" s="114" t="s">
        <v>238</v>
      </c>
    </row>
    <row r="73" spans="1:10" x14ac:dyDescent="0.2">
      <c r="A73" s="113">
        <v>44746</v>
      </c>
      <c r="B73" s="50" t="s">
        <v>167</v>
      </c>
      <c r="C73" s="353" t="s">
        <v>608</v>
      </c>
      <c r="D73" s="353"/>
      <c r="E73" s="353"/>
      <c r="F73" s="353"/>
      <c r="G73" s="353"/>
      <c r="H73" s="353"/>
      <c r="I73" s="51" t="s">
        <v>181</v>
      </c>
      <c r="J73" s="114" t="s">
        <v>185</v>
      </c>
    </row>
    <row r="74" spans="1:10" x14ac:dyDescent="0.2">
      <c r="A74" s="121">
        <v>44746</v>
      </c>
      <c r="B74" s="91" t="s">
        <v>167</v>
      </c>
      <c r="C74" s="354" t="s">
        <v>611</v>
      </c>
      <c r="D74" s="354"/>
      <c r="E74" s="354"/>
      <c r="F74" s="354"/>
      <c r="G74" s="354"/>
      <c r="H74" s="354"/>
      <c r="I74" s="92" t="s">
        <v>183</v>
      </c>
      <c r="J74" s="122" t="s">
        <v>187</v>
      </c>
    </row>
    <row r="75" spans="1:10" x14ac:dyDescent="0.2">
      <c r="A75" s="109">
        <f>+A68+1</f>
        <v>44747</v>
      </c>
      <c r="B75" s="110" t="s">
        <v>161</v>
      </c>
      <c r="C75" s="355" t="s">
        <v>518</v>
      </c>
      <c r="D75" s="355"/>
      <c r="E75" s="355"/>
      <c r="F75" s="355"/>
      <c r="G75" s="355"/>
      <c r="H75" s="355"/>
      <c r="I75" s="111"/>
      <c r="J75" s="112" t="s">
        <v>174</v>
      </c>
    </row>
    <row r="76" spans="1:10" x14ac:dyDescent="0.2">
      <c r="A76" s="113">
        <v>44747</v>
      </c>
      <c r="B76" s="50" t="s">
        <v>161</v>
      </c>
      <c r="C76" s="353" t="s">
        <v>611</v>
      </c>
      <c r="D76" s="353"/>
      <c r="E76" s="353"/>
      <c r="F76" s="353"/>
      <c r="G76" s="353"/>
      <c r="H76" s="353"/>
      <c r="I76" s="51" t="s">
        <v>183</v>
      </c>
      <c r="J76" s="114" t="s">
        <v>187</v>
      </c>
    </row>
    <row r="77" spans="1:10" x14ac:dyDescent="0.2">
      <c r="A77" s="115">
        <v>44747</v>
      </c>
      <c r="B77" s="116" t="s">
        <v>161</v>
      </c>
      <c r="C77" s="352" t="s">
        <v>612</v>
      </c>
      <c r="D77" s="352"/>
      <c r="E77" s="352"/>
      <c r="F77" s="352"/>
      <c r="G77" s="352"/>
      <c r="H77" s="352"/>
      <c r="I77" s="117" t="s">
        <v>183</v>
      </c>
      <c r="J77" s="118" t="s">
        <v>235</v>
      </c>
    </row>
    <row r="78" spans="1:10" x14ac:dyDescent="0.2">
      <c r="A78" s="123">
        <f>+A75+1</f>
        <v>44748</v>
      </c>
      <c r="B78" s="124" t="s">
        <v>162</v>
      </c>
      <c r="C78" s="363" t="s">
        <v>518</v>
      </c>
      <c r="D78" s="363"/>
      <c r="E78" s="363"/>
      <c r="F78" s="363"/>
      <c r="G78" s="363"/>
      <c r="H78" s="363"/>
      <c r="I78" s="65"/>
      <c r="J78" s="125" t="s">
        <v>174</v>
      </c>
    </row>
    <row r="79" spans="1:10" x14ac:dyDescent="0.2">
      <c r="A79" s="113">
        <v>44748</v>
      </c>
      <c r="B79" s="50" t="s">
        <v>162</v>
      </c>
      <c r="C79" s="374" t="s">
        <v>613</v>
      </c>
      <c r="D79" s="375"/>
      <c r="E79" s="375"/>
      <c r="F79" s="375"/>
      <c r="G79" s="375"/>
      <c r="H79" s="376"/>
      <c r="I79" s="51" t="s">
        <v>181</v>
      </c>
      <c r="J79" s="114" t="s">
        <v>185</v>
      </c>
    </row>
    <row r="80" spans="1:10" x14ac:dyDescent="0.2">
      <c r="A80" s="113">
        <v>44748</v>
      </c>
      <c r="B80" s="50" t="s">
        <v>162</v>
      </c>
      <c r="C80" s="353" t="s">
        <v>614</v>
      </c>
      <c r="D80" s="353"/>
      <c r="E80" s="353"/>
      <c r="F80" s="353"/>
      <c r="G80" s="353"/>
      <c r="H80" s="353"/>
      <c r="I80" s="51" t="s">
        <v>181</v>
      </c>
      <c r="J80" s="114" t="s">
        <v>185</v>
      </c>
    </row>
    <row r="81" spans="1:10" x14ac:dyDescent="0.2">
      <c r="A81" s="113">
        <v>44748</v>
      </c>
      <c r="B81" s="50" t="s">
        <v>162</v>
      </c>
      <c r="C81" s="353" t="s">
        <v>615</v>
      </c>
      <c r="D81" s="353"/>
      <c r="E81" s="353"/>
      <c r="F81" s="353"/>
      <c r="G81" s="353"/>
      <c r="H81" s="353"/>
      <c r="I81" s="51" t="s">
        <v>183</v>
      </c>
      <c r="J81" s="114" t="s">
        <v>187</v>
      </c>
    </row>
    <row r="82" spans="1:10" x14ac:dyDescent="0.2">
      <c r="A82" s="113">
        <v>44748</v>
      </c>
      <c r="B82" s="50" t="s">
        <v>162</v>
      </c>
      <c r="C82" s="353" t="s">
        <v>616</v>
      </c>
      <c r="D82" s="353"/>
      <c r="E82" s="353"/>
      <c r="F82" s="353"/>
      <c r="G82" s="353"/>
      <c r="H82" s="353"/>
      <c r="I82" s="51" t="s">
        <v>172</v>
      </c>
      <c r="J82" s="114" t="s">
        <v>244</v>
      </c>
    </row>
    <row r="83" spans="1:10" x14ac:dyDescent="0.2">
      <c r="A83" s="121">
        <v>44748</v>
      </c>
      <c r="B83" s="91" t="s">
        <v>162</v>
      </c>
      <c r="C83" s="354" t="s">
        <v>617</v>
      </c>
      <c r="D83" s="354"/>
      <c r="E83" s="354"/>
      <c r="F83" s="354"/>
      <c r="G83" s="354"/>
      <c r="H83" s="354"/>
      <c r="I83" s="92" t="s">
        <v>183</v>
      </c>
      <c r="J83" s="122" t="s">
        <v>238</v>
      </c>
    </row>
    <row r="84" spans="1:10" x14ac:dyDescent="0.2">
      <c r="A84" s="109">
        <f>+A78+1</f>
        <v>44749</v>
      </c>
      <c r="B84" s="110" t="s">
        <v>163</v>
      </c>
      <c r="C84" s="355" t="s">
        <v>618</v>
      </c>
      <c r="D84" s="355"/>
      <c r="E84" s="355"/>
      <c r="F84" s="355"/>
      <c r="G84" s="355"/>
      <c r="H84" s="355"/>
      <c r="I84" s="111"/>
      <c r="J84" s="112" t="s">
        <v>174</v>
      </c>
    </row>
    <row r="85" spans="1:10" x14ac:dyDescent="0.2">
      <c r="A85" s="113">
        <v>44749</v>
      </c>
      <c r="B85" s="50" t="s">
        <v>163</v>
      </c>
      <c r="C85" s="353" t="s">
        <v>619</v>
      </c>
      <c r="D85" s="353"/>
      <c r="E85" s="353"/>
      <c r="F85" s="353"/>
      <c r="G85" s="353"/>
      <c r="H85" s="353"/>
      <c r="I85" s="51" t="s">
        <v>169</v>
      </c>
      <c r="J85" s="114" t="s">
        <v>174</v>
      </c>
    </row>
    <row r="86" spans="1:10" x14ac:dyDescent="0.2">
      <c r="A86" s="113">
        <v>44749</v>
      </c>
      <c r="B86" s="50" t="s">
        <v>163</v>
      </c>
      <c r="C86" s="353" t="s">
        <v>620</v>
      </c>
      <c r="D86" s="353"/>
      <c r="E86" s="353"/>
      <c r="F86" s="353"/>
      <c r="G86" s="353"/>
      <c r="H86" s="353"/>
      <c r="I86" s="51" t="s">
        <v>214</v>
      </c>
      <c r="J86" s="114" t="s">
        <v>174</v>
      </c>
    </row>
    <row r="87" spans="1:10" x14ac:dyDescent="0.2">
      <c r="A87" s="113">
        <v>44749</v>
      </c>
      <c r="B87" s="50" t="s">
        <v>163</v>
      </c>
      <c r="C87" s="353" t="s">
        <v>318</v>
      </c>
      <c r="D87" s="353"/>
      <c r="E87" s="353"/>
      <c r="F87" s="353"/>
      <c r="G87" s="353"/>
      <c r="H87" s="353"/>
      <c r="I87" s="51"/>
      <c r="J87" s="114" t="s">
        <v>170</v>
      </c>
    </row>
    <row r="88" spans="1:10" x14ac:dyDescent="0.2">
      <c r="A88" s="115">
        <v>44749</v>
      </c>
      <c r="B88" s="116" t="s">
        <v>163</v>
      </c>
      <c r="C88" s="352" t="s">
        <v>621</v>
      </c>
      <c r="D88" s="352"/>
      <c r="E88" s="352"/>
      <c r="F88" s="352"/>
      <c r="G88" s="352"/>
      <c r="H88" s="352"/>
      <c r="I88" s="117" t="s">
        <v>183</v>
      </c>
      <c r="J88" s="118" t="s">
        <v>191</v>
      </c>
    </row>
    <row r="89" spans="1:10" x14ac:dyDescent="0.2">
      <c r="A89" s="123">
        <f>+A84+1</f>
        <v>44750</v>
      </c>
      <c r="B89" s="124" t="s">
        <v>164</v>
      </c>
      <c r="C89" s="363" t="s">
        <v>518</v>
      </c>
      <c r="D89" s="363"/>
      <c r="E89" s="363"/>
      <c r="F89" s="363"/>
      <c r="G89" s="363"/>
      <c r="H89" s="363"/>
      <c r="I89" s="65"/>
      <c r="J89" s="125" t="s">
        <v>174</v>
      </c>
    </row>
    <row r="90" spans="1:10" x14ac:dyDescent="0.2">
      <c r="A90" s="113">
        <v>44750</v>
      </c>
      <c r="B90" s="50" t="s">
        <v>164</v>
      </c>
      <c r="C90" s="353" t="s">
        <v>318</v>
      </c>
      <c r="D90" s="353"/>
      <c r="E90" s="353"/>
      <c r="F90" s="353"/>
      <c r="G90" s="353"/>
      <c r="H90" s="353"/>
      <c r="I90" s="51"/>
      <c r="J90" s="114" t="s">
        <v>170</v>
      </c>
    </row>
    <row r="91" spans="1:10" x14ac:dyDescent="0.2">
      <c r="A91" s="234">
        <f>+A89+1</f>
        <v>44751</v>
      </c>
      <c r="B91" s="235" t="s">
        <v>165</v>
      </c>
      <c r="C91" s="427" t="s">
        <v>622</v>
      </c>
      <c r="D91" s="427"/>
      <c r="E91" s="427"/>
      <c r="F91" s="427"/>
      <c r="G91" s="427"/>
      <c r="H91" s="427"/>
      <c r="I91" s="236"/>
      <c r="J91" s="237" t="s">
        <v>185</v>
      </c>
    </row>
    <row r="92" spans="1:10" x14ac:dyDescent="0.2">
      <c r="A92" s="263">
        <f>+A91+1</f>
        <v>44752</v>
      </c>
      <c r="B92" s="264" t="s">
        <v>166</v>
      </c>
      <c r="C92" s="435"/>
      <c r="D92" s="435"/>
      <c r="E92" s="435"/>
      <c r="F92" s="435"/>
      <c r="G92" s="435"/>
      <c r="H92" s="435"/>
      <c r="I92" s="265"/>
      <c r="J92" s="266"/>
    </row>
    <row r="93" spans="1:10" ht="14.5" customHeight="1" x14ac:dyDescent="0.2">
      <c r="A93" s="137">
        <f t="shared" si="2"/>
        <v>44753</v>
      </c>
      <c r="B93" s="124" t="s">
        <v>167</v>
      </c>
      <c r="C93" s="363" t="s">
        <v>518</v>
      </c>
      <c r="D93" s="363"/>
      <c r="E93" s="363"/>
      <c r="F93" s="363"/>
      <c r="G93" s="363"/>
      <c r="H93" s="363"/>
      <c r="I93" s="65"/>
      <c r="J93" s="125" t="s">
        <v>174</v>
      </c>
    </row>
    <row r="94" spans="1:10" x14ac:dyDescent="0.2">
      <c r="A94" s="49">
        <v>44753</v>
      </c>
      <c r="B94" s="50" t="s">
        <v>167</v>
      </c>
      <c r="C94" s="353" t="s">
        <v>623</v>
      </c>
      <c r="D94" s="353"/>
      <c r="E94" s="353"/>
      <c r="F94" s="353"/>
      <c r="G94" s="353"/>
      <c r="H94" s="353"/>
      <c r="I94" s="51" t="s">
        <v>183</v>
      </c>
      <c r="J94" s="114" t="s">
        <v>191</v>
      </c>
    </row>
    <row r="95" spans="1:10" ht="14.5" customHeight="1" x14ac:dyDescent="0.2">
      <c r="A95" s="109">
        <f>+A93+1</f>
        <v>44754</v>
      </c>
      <c r="B95" s="110" t="s">
        <v>161</v>
      </c>
      <c r="C95" s="355" t="s">
        <v>518</v>
      </c>
      <c r="D95" s="355"/>
      <c r="E95" s="355"/>
      <c r="F95" s="355"/>
      <c r="G95" s="355"/>
      <c r="H95" s="355"/>
      <c r="I95" s="111"/>
      <c r="J95" s="112" t="s">
        <v>174</v>
      </c>
    </row>
    <row r="96" spans="1:10" x14ac:dyDescent="0.2">
      <c r="A96" s="113">
        <v>44754</v>
      </c>
      <c r="B96" s="50" t="s">
        <v>161</v>
      </c>
      <c r="C96" s="353" t="s">
        <v>624</v>
      </c>
      <c r="D96" s="353"/>
      <c r="E96" s="353"/>
      <c r="F96" s="353"/>
      <c r="G96" s="353"/>
      <c r="H96" s="353"/>
      <c r="I96" s="51" t="s">
        <v>183</v>
      </c>
      <c r="J96" s="114" t="s">
        <v>238</v>
      </c>
    </row>
    <row r="97" spans="1:10" ht="14.5" customHeight="1" x14ac:dyDescent="0.2">
      <c r="A97" s="109">
        <f>+A95+1</f>
        <v>44755</v>
      </c>
      <c r="B97" s="110" t="s">
        <v>162</v>
      </c>
      <c r="C97" s="355" t="s">
        <v>518</v>
      </c>
      <c r="D97" s="355"/>
      <c r="E97" s="355"/>
      <c r="F97" s="355"/>
      <c r="G97" s="355"/>
      <c r="H97" s="355"/>
      <c r="I97" s="111"/>
      <c r="J97" s="112" t="s">
        <v>174</v>
      </c>
    </row>
    <row r="98" spans="1:10" x14ac:dyDescent="0.2">
      <c r="A98" s="115">
        <v>44755</v>
      </c>
      <c r="B98" s="116" t="s">
        <v>162</v>
      </c>
      <c r="C98" s="352" t="s">
        <v>624</v>
      </c>
      <c r="D98" s="352"/>
      <c r="E98" s="352"/>
      <c r="F98" s="352"/>
      <c r="G98" s="352"/>
      <c r="H98" s="352"/>
      <c r="I98" s="117" t="s">
        <v>183</v>
      </c>
      <c r="J98" s="118" t="s">
        <v>238</v>
      </c>
    </row>
    <row r="99" spans="1:10" ht="14.5" customHeight="1" x14ac:dyDescent="0.2">
      <c r="A99" s="123">
        <f>+A97+1</f>
        <v>44756</v>
      </c>
      <c r="B99" s="124" t="s">
        <v>163</v>
      </c>
      <c r="C99" s="363" t="s">
        <v>518</v>
      </c>
      <c r="D99" s="363"/>
      <c r="E99" s="363"/>
      <c r="F99" s="363"/>
      <c r="G99" s="363"/>
      <c r="H99" s="363"/>
      <c r="I99" s="65"/>
      <c r="J99" s="125" t="s">
        <v>174</v>
      </c>
    </row>
    <row r="100" spans="1:10" x14ac:dyDescent="0.2">
      <c r="A100" s="113">
        <v>44756</v>
      </c>
      <c r="B100" s="50" t="s">
        <v>163</v>
      </c>
      <c r="C100" s="353" t="s">
        <v>624</v>
      </c>
      <c r="D100" s="353"/>
      <c r="E100" s="353"/>
      <c r="F100" s="353"/>
      <c r="G100" s="353"/>
      <c r="H100" s="353"/>
      <c r="I100" s="51" t="s">
        <v>183</v>
      </c>
      <c r="J100" s="114" t="s">
        <v>238</v>
      </c>
    </row>
    <row r="101" spans="1:10" x14ac:dyDescent="0.2">
      <c r="A101" s="121">
        <v>44756</v>
      </c>
      <c r="B101" s="91" t="s">
        <v>163</v>
      </c>
      <c r="C101" s="354" t="s">
        <v>625</v>
      </c>
      <c r="D101" s="354"/>
      <c r="E101" s="354"/>
      <c r="F101" s="354"/>
      <c r="G101" s="354"/>
      <c r="H101" s="354"/>
      <c r="I101" s="92" t="s">
        <v>183</v>
      </c>
      <c r="J101" s="122" t="s">
        <v>191</v>
      </c>
    </row>
    <row r="102" spans="1:10" ht="14.5" customHeight="1" x14ac:dyDescent="0.2">
      <c r="A102" s="109">
        <f>+A99+1</f>
        <v>44757</v>
      </c>
      <c r="B102" s="110" t="s">
        <v>164</v>
      </c>
      <c r="C102" s="355" t="s">
        <v>518</v>
      </c>
      <c r="D102" s="355"/>
      <c r="E102" s="355"/>
      <c r="F102" s="355"/>
      <c r="G102" s="355"/>
      <c r="H102" s="355"/>
      <c r="I102" s="111"/>
      <c r="J102" s="112" t="s">
        <v>174</v>
      </c>
    </row>
    <row r="103" spans="1:10" x14ac:dyDescent="0.2">
      <c r="A103" s="113">
        <v>44757</v>
      </c>
      <c r="B103" s="50" t="s">
        <v>164</v>
      </c>
      <c r="C103" s="353" t="s">
        <v>624</v>
      </c>
      <c r="D103" s="353"/>
      <c r="E103" s="353"/>
      <c r="F103" s="353"/>
      <c r="G103" s="353"/>
      <c r="H103" s="353"/>
      <c r="I103" s="51" t="s">
        <v>183</v>
      </c>
      <c r="J103" s="114" t="s">
        <v>238</v>
      </c>
    </row>
    <row r="104" spans="1:10" x14ac:dyDescent="0.2">
      <c r="A104" s="115">
        <v>44757</v>
      </c>
      <c r="B104" s="116" t="s">
        <v>164</v>
      </c>
      <c r="C104" s="352" t="s">
        <v>626</v>
      </c>
      <c r="D104" s="352"/>
      <c r="E104" s="352"/>
      <c r="F104" s="352"/>
      <c r="G104" s="352"/>
      <c r="H104" s="352"/>
      <c r="I104" s="117" t="s">
        <v>214</v>
      </c>
      <c r="J104" s="118" t="s">
        <v>185</v>
      </c>
    </row>
    <row r="105" spans="1:10" x14ac:dyDescent="0.2">
      <c r="A105" s="254">
        <f>+A102+1</f>
        <v>44758</v>
      </c>
      <c r="B105" s="252" t="s">
        <v>165</v>
      </c>
      <c r="C105" s="434"/>
      <c r="D105" s="434"/>
      <c r="E105" s="434"/>
      <c r="F105" s="434"/>
      <c r="G105" s="434"/>
      <c r="H105" s="434"/>
      <c r="I105" s="253"/>
      <c r="J105" s="255"/>
    </row>
    <row r="106" spans="1:10" x14ac:dyDescent="0.2">
      <c r="A106" s="263">
        <f t="shared" si="2"/>
        <v>44759</v>
      </c>
      <c r="B106" s="264" t="s">
        <v>166</v>
      </c>
      <c r="C106" s="435"/>
      <c r="D106" s="435"/>
      <c r="E106" s="435"/>
      <c r="F106" s="435"/>
      <c r="G106" s="435"/>
      <c r="H106" s="435"/>
      <c r="I106" s="265"/>
      <c r="J106" s="266"/>
    </row>
    <row r="107" spans="1:10" x14ac:dyDescent="0.2">
      <c r="A107" s="123">
        <f t="shared" si="2"/>
        <v>44760</v>
      </c>
      <c r="B107" s="124" t="s">
        <v>167</v>
      </c>
      <c r="C107" s="363" t="s">
        <v>518</v>
      </c>
      <c r="D107" s="363"/>
      <c r="E107" s="363"/>
      <c r="F107" s="363"/>
      <c r="G107" s="363"/>
      <c r="H107" s="363"/>
      <c r="I107" s="65"/>
      <c r="J107" s="125" t="s">
        <v>174</v>
      </c>
    </row>
    <row r="108" spans="1:10" x14ac:dyDescent="0.2">
      <c r="A108" s="113">
        <v>44760</v>
      </c>
      <c r="B108" s="50" t="s">
        <v>167</v>
      </c>
      <c r="C108" s="353" t="s">
        <v>627</v>
      </c>
      <c r="D108" s="353"/>
      <c r="E108" s="353"/>
      <c r="F108" s="353"/>
      <c r="G108" s="353"/>
      <c r="H108" s="353"/>
      <c r="I108" s="51" t="s">
        <v>169</v>
      </c>
      <c r="J108" s="114" t="s">
        <v>174</v>
      </c>
    </row>
    <row r="109" spans="1:10" x14ac:dyDescent="0.2">
      <c r="A109" s="113">
        <v>44760</v>
      </c>
      <c r="B109" s="50" t="s">
        <v>167</v>
      </c>
      <c r="C109" s="353" t="s">
        <v>628</v>
      </c>
      <c r="D109" s="353"/>
      <c r="E109" s="353"/>
      <c r="F109" s="353"/>
      <c r="G109" s="353"/>
      <c r="H109" s="353"/>
      <c r="I109" s="51" t="s">
        <v>172</v>
      </c>
      <c r="J109" s="114" t="s">
        <v>170</v>
      </c>
    </row>
    <row r="110" spans="1:10" x14ac:dyDescent="0.2">
      <c r="A110" s="113">
        <v>44760</v>
      </c>
      <c r="B110" s="50" t="s">
        <v>167</v>
      </c>
      <c r="C110" s="353" t="s">
        <v>629</v>
      </c>
      <c r="D110" s="353"/>
      <c r="E110" s="353"/>
      <c r="F110" s="353"/>
      <c r="G110" s="353"/>
      <c r="H110" s="353"/>
      <c r="I110" s="51" t="s">
        <v>181</v>
      </c>
      <c r="J110" s="114" t="s">
        <v>185</v>
      </c>
    </row>
    <row r="111" spans="1:10" x14ac:dyDescent="0.2">
      <c r="A111" s="113">
        <v>44760</v>
      </c>
      <c r="B111" s="50" t="s">
        <v>167</v>
      </c>
      <c r="C111" s="353" t="s">
        <v>630</v>
      </c>
      <c r="D111" s="353"/>
      <c r="E111" s="353"/>
      <c r="F111" s="353"/>
      <c r="G111" s="353"/>
      <c r="H111" s="353"/>
      <c r="I111" s="51" t="s">
        <v>216</v>
      </c>
      <c r="J111" s="114" t="s">
        <v>174</v>
      </c>
    </row>
    <row r="112" spans="1:10" x14ac:dyDescent="0.2">
      <c r="A112" s="115">
        <v>44760</v>
      </c>
      <c r="B112" s="116" t="s">
        <v>167</v>
      </c>
      <c r="C112" s="352" t="s">
        <v>624</v>
      </c>
      <c r="D112" s="352"/>
      <c r="E112" s="352"/>
      <c r="F112" s="352"/>
      <c r="G112" s="352"/>
      <c r="H112" s="352"/>
      <c r="I112" s="117" t="s">
        <v>183</v>
      </c>
      <c r="J112" s="118" t="s">
        <v>238</v>
      </c>
    </row>
    <row r="113" spans="1:10" x14ac:dyDescent="0.2">
      <c r="A113" s="123">
        <f>+A107+1</f>
        <v>44761</v>
      </c>
      <c r="B113" s="124" t="s">
        <v>161</v>
      </c>
      <c r="C113" s="363" t="s">
        <v>506</v>
      </c>
      <c r="D113" s="363"/>
      <c r="E113" s="363"/>
      <c r="F113" s="363"/>
      <c r="G113" s="363"/>
      <c r="H113" s="363"/>
      <c r="I113" s="65"/>
      <c r="J113" s="125" t="s">
        <v>174</v>
      </c>
    </row>
    <row r="114" spans="1:10" x14ac:dyDescent="0.2">
      <c r="A114" s="113">
        <v>44761</v>
      </c>
      <c r="B114" s="50" t="s">
        <v>161</v>
      </c>
      <c r="C114" s="353" t="s">
        <v>631</v>
      </c>
      <c r="D114" s="353"/>
      <c r="E114" s="353"/>
      <c r="F114" s="353"/>
      <c r="G114" s="353"/>
      <c r="H114" s="353"/>
      <c r="I114" s="51" t="s">
        <v>169</v>
      </c>
      <c r="J114" s="114" t="s">
        <v>174</v>
      </c>
    </row>
    <row r="115" spans="1:10" x14ac:dyDescent="0.2">
      <c r="A115" s="113">
        <v>44761</v>
      </c>
      <c r="B115" s="50" t="s">
        <v>161</v>
      </c>
      <c r="C115" s="353" t="s">
        <v>632</v>
      </c>
      <c r="D115" s="353"/>
      <c r="E115" s="353"/>
      <c r="F115" s="353"/>
      <c r="G115" s="353"/>
      <c r="H115" s="353"/>
      <c r="I115" s="51" t="s">
        <v>169</v>
      </c>
      <c r="J115" s="114" t="s">
        <v>174</v>
      </c>
    </row>
    <row r="116" spans="1:10" x14ac:dyDescent="0.2">
      <c r="A116" s="113">
        <v>44761</v>
      </c>
      <c r="B116" s="50" t="s">
        <v>161</v>
      </c>
      <c r="C116" s="353" t="s">
        <v>633</v>
      </c>
      <c r="D116" s="353"/>
      <c r="E116" s="353"/>
      <c r="F116" s="353"/>
      <c r="G116" s="353"/>
      <c r="H116" s="353"/>
      <c r="I116" s="51" t="s">
        <v>214</v>
      </c>
      <c r="J116" s="114" t="s">
        <v>174</v>
      </c>
    </row>
    <row r="117" spans="1:10" x14ac:dyDescent="0.2">
      <c r="A117" s="113">
        <v>44761</v>
      </c>
      <c r="B117" s="50" t="s">
        <v>161</v>
      </c>
      <c r="C117" s="353" t="s">
        <v>634</v>
      </c>
      <c r="D117" s="353"/>
      <c r="E117" s="353"/>
      <c r="F117" s="353"/>
      <c r="G117" s="353"/>
      <c r="H117" s="353"/>
      <c r="I117" s="51" t="s">
        <v>181</v>
      </c>
      <c r="J117" s="114" t="s">
        <v>174</v>
      </c>
    </row>
    <row r="118" spans="1:10" x14ac:dyDescent="0.2">
      <c r="A118" s="113">
        <v>44761</v>
      </c>
      <c r="B118" s="50" t="s">
        <v>161</v>
      </c>
      <c r="C118" s="353" t="s">
        <v>628</v>
      </c>
      <c r="D118" s="353"/>
      <c r="E118" s="353"/>
      <c r="F118" s="353"/>
      <c r="G118" s="353"/>
      <c r="H118" s="353"/>
      <c r="I118" s="51" t="s">
        <v>172</v>
      </c>
      <c r="J118" s="114" t="s">
        <v>170</v>
      </c>
    </row>
    <row r="119" spans="1:10" x14ac:dyDescent="0.2">
      <c r="A119" s="113">
        <v>44761</v>
      </c>
      <c r="B119" s="50" t="s">
        <v>161</v>
      </c>
      <c r="C119" s="353" t="s">
        <v>630</v>
      </c>
      <c r="D119" s="353"/>
      <c r="E119" s="353"/>
      <c r="F119" s="353"/>
      <c r="G119" s="353"/>
      <c r="H119" s="353"/>
      <c r="I119" s="51" t="s">
        <v>216</v>
      </c>
      <c r="J119" s="114" t="s">
        <v>174</v>
      </c>
    </row>
    <row r="120" spans="1:10" x14ac:dyDescent="0.2">
      <c r="A120" s="113">
        <v>44761</v>
      </c>
      <c r="B120" s="50" t="s">
        <v>161</v>
      </c>
      <c r="C120" s="353" t="s">
        <v>624</v>
      </c>
      <c r="D120" s="353"/>
      <c r="E120" s="353"/>
      <c r="F120" s="353"/>
      <c r="G120" s="353"/>
      <c r="H120" s="353"/>
      <c r="I120" s="51" t="s">
        <v>183</v>
      </c>
      <c r="J120" s="114" t="s">
        <v>238</v>
      </c>
    </row>
    <row r="121" spans="1:10" x14ac:dyDescent="0.2">
      <c r="A121" s="113">
        <v>44761</v>
      </c>
      <c r="B121" s="50" t="s">
        <v>161</v>
      </c>
      <c r="C121" s="353" t="s">
        <v>635</v>
      </c>
      <c r="D121" s="353"/>
      <c r="E121" s="353"/>
      <c r="F121" s="353"/>
      <c r="G121" s="353"/>
      <c r="H121" s="353"/>
      <c r="I121" s="51" t="s">
        <v>214</v>
      </c>
      <c r="J121" s="114" t="s">
        <v>185</v>
      </c>
    </row>
    <row r="122" spans="1:10" x14ac:dyDescent="0.2">
      <c r="A122" s="113">
        <v>44761</v>
      </c>
      <c r="B122" s="50" t="s">
        <v>161</v>
      </c>
      <c r="C122" s="353" t="s">
        <v>636</v>
      </c>
      <c r="D122" s="353"/>
      <c r="E122" s="353"/>
      <c r="F122" s="353"/>
      <c r="G122" s="353"/>
      <c r="H122" s="353"/>
      <c r="I122" s="51" t="s">
        <v>181</v>
      </c>
      <c r="J122" s="114" t="s">
        <v>185</v>
      </c>
    </row>
    <row r="123" spans="1:10" x14ac:dyDescent="0.2">
      <c r="A123" s="121">
        <v>44761</v>
      </c>
      <c r="B123" s="91" t="s">
        <v>161</v>
      </c>
      <c r="C123" s="354" t="s">
        <v>637</v>
      </c>
      <c r="D123" s="354"/>
      <c r="E123" s="354"/>
      <c r="F123" s="354"/>
      <c r="G123" s="354"/>
      <c r="H123" s="354"/>
      <c r="I123" s="92" t="s">
        <v>169</v>
      </c>
      <c r="J123" s="122" t="s">
        <v>191</v>
      </c>
    </row>
    <row r="124" spans="1:10" x14ac:dyDescent="0.2">
      <c r="A124" s="109">
        <f>+A113+1</f>
        <v>44762</v>
      </c>
      <c r="B124" s="110" t="s">
        <v>162</v>
      </c>
      <c r="C124" s="355" t="s">
        <v>511</v>
      </c>
      <c r="D124" s="355"/>
      <c r="E124" s="355"/>
      <c r="F124" s="355"/>
      <c r="G124" s="355"/>
      <c r="H124" s="355"/>
      <c r="I124" s="111"/>
      <c r="J124" s="112" t="s">
        <v>174</v>
      </c>
    </row>
    <row r="125" spans="1:10" x14ac:dyDescent="0.2">
      <c r="A125" s="113">
        <v>44762</v>
      </c>
      <c r="B125" s="50" t="s">
        <v>162</v>
      </c>
      <c r="C125" s="353" t="s">
        <v>638</v>
      </c>
      <c r="D125" s="353"/>
      <c r="E125" s="353"/>
      <c r="F125" s="353"/>
      <c r="G125" s="353"/>
      <c r="H125" s="353"/>
      <c r="I125" s="51" t="s">
        <v>169</v>
      </c>
      <c r="J125" s="114" t="s">
        <v>174</v>
      </c>
    </row>
    <row r="126" spans="1:10" x14ac:dyDescent="0.2">
      <c r="A126" s="113">
        <v>44762</v>
      </c>
      <c r="B126" s="50" t="s">
        <v>162</v>
      </c>
      <c r="C126" s="353" t="s">
        <v>628</v>
      </c>
      <c r="D126" s="353"/>
      <c r="E126" s="353"/>
      <c r="F126" s="353"/>
      <c r="G126" s="353"/>
      <c r="H126" s="353"/>
      <c r="I126" s="51" t="s">
        <v>172</v>
      </c>
      <c r="J126" s="114" t="s">
        <v>170</v>
      </c>
    </row>
    <row r="127" spans="1:10" x14ac:dyDescent="0.2">
      <c r="A127" s="113">
        <v>44762</v>
      </c>
      <c r="B127" s="50" t="s">
        <v>162</v>
      </c>
      <c r="C127" s="353" t="s">
        <v>639</v>
      </c>
      <c r="D127" s="353"/>
      <c r="E127" s="353"/>
      <c r="F127" s="353"/>
      <c r="G127" s="353"/>
      <c r="H127" s="353"/>
      <c r="I127" s="51"/>
      <c r="J127" s="114" t="s">
        <v>174</v>
      </c>
    </row>
    <row r="128" spans="1:10" x14ac:dyDescent="0.2">
      <c r="A128" s="113">
        <v>44762</v>
      </c>
      <c r="B128" s="50" t="s">
        <v>162</v>
      </c>
      <c r="C128" s="353" t="s">
        <v>630</v>
      </c>
      <c r="D128" s="353"/>
      <c r="E128" s="353"/>
      <c r="F128" s="353"/>
      <c r="G128" s="353"/>
      <c r="H128" s="353"/>
      <c r="I128" s="51" t="s">
        <v>216</v>
      </c>
      <c r="J128" s="114" t="s">
        <v>174</v>
      </c>
    </row>
    <row r="129" spans="1:10" x14ac:dyDescent="0.2">
      <c r="A129" s="113">
        <v>44762</v>
      </c>
      <c r="B129" s="50" t="s">
        <v>162</v>
      </c>
      <c r="C129" s="353" t="s">
        <v>624</v>
      </c>
      <c r="D129" s="353"/>
      <c r="E129" s="353"/>
      <c r="F129" s="353"/>
      <c r="G129" s="353"/>
      <c r="H129" s="353"/>
      <c r="I129" s="51" t="s">
        <v>183</v>
      </c>
      <c r="J129" s="114" t="s">
        <v>238</v>
      </c>
    </row>
    <row r="130" spans="1:10" x14ac:dyDescent="0.2">
      <c r="A130" s="121">
        <v>44762</v>
      </c>
      <c r="B130" s="91" t="s">
        <v>162</v>
      </c>
      <c r="C130" s="354" t="s">
        <v>635</v>
      </c>
      <c r="D130" s="354"/>
      <c r="E130" s="354"/>
      <c r="F130" s="354"/>
      <c r="G130" s="354"/>
      <c r="H130" s="354"/>
      <c r="I130" s="92" t="s">
        <v>214</v>
      </c>
      <c r="J130" s="122" t="s">
        <v>185</v>
      </c>
    </row>
    <row r="131" spans="1:10" x14ac:dyDescent="0.2">
      <c r="A131" s="109">
        <f>+A124+1</f>
        <v>44763</v>
      </c>
      <c r="B131" s="110" t="s">
        <v>163</v>
      </c>
      <c r="C131" s="355" t="s">
        <v>511</v>
      </c>
      <c r="D131" s="355"/>
      <c r="E131" s="355"/>
      <c r="F131" s="355"/>
      <c r="G131" s="355"/>
      <c r="H131" s="355"/>
      <c r="I131" s="111"/>
      <c r="J131" s="112" t="s">
        <v>174</v>
      </c>
    </row>
    <row r="132" spans="1:10" x14ac:dyDescent="0.2">
      <c r="A132" s="123">
        <v>44763</v>
      </c>
      <c r="B132" s="124" t="s">
        <v>163</v>
      </c>
      <c r="C132" s="353" t="s">
        <v>638</v>
      </c>
      <c r="D132" s="353"/>
      <c r="E132" s="353"/>
      <c r="F132" s="353"/>
      <c r="G132" s="353"/>
      <c r="H132" s="353"/>
      <c r="I132" s="51" t="s">
        <v>169</v>
      </c>
      <c r="J132" s="114" t="s">
        <v>174</v>
      </c>
    </row>
    <row r="133" spans="1:10" x14ac:dyDescent="0.2">
      <c r="A133" s="123">
        <v>44763</v>
      </c>
      <c r="B133" s="124" t="s">
        <v>163</v>
      </c>
      <c r="C133" s="353" t="s">
        <v>640</v>
      </c>
      <c r="D133" s="353"/>
      <c r="E133" s="353"/>
      <c r="F133" s="353"/>
      <c r="G133" s="353"/>
      <c r="H133" s="353"/>
      <c r="I133" s="51" t="s">
        <v>172</v>
      </c>
      <c r="J133" s="114" t="s">
        <v>170</v>
      </c>
    </row>
    <row r="134" spans="1:10" x14ac:dyDescent="0.2">
      <c r="A134" s="123">
        <v>44763</v>
      </c>
      <c r="B134" s="124" t="s">
        <v>163</v>
      </c>
      <c r="C134" s="353" t="s">
        <v>630</v>
      </c>
      <c r="D134" s="353"/>
      <c r="E134" s="353"/>
      <c r="F134" s="353"/>
      <c r="G134" s="353"/>
      <c r="H134" s="353"/>
      <c r="I134" s="51" t="s">
        <v>216</v>
      </c>
      <c r="J134" s="114" t="s">
        <v>174</v>
      </c>
    </row>
    <row r="135" spans="1:10" x14ac:dyDescent="0.2">
      <c r="A135" s="123">
        <v>44763</v>
      </c>
      <c r="B135" s="124" t="s">
        <v>163</v>
      </c>
      <c r="C135" s="353" t="s">
        <v>641</v>
      </c>
      <c r="D135" s="353"/>
      <c r="E135" s="353"/>
      <c r="F135" s="353"/>
      <c r="G135" s="353"/>
      <c r="H135" s="353"/>
      <c r="I135" s="51" t="s">
        <v>183</v>
      </c>
      <c r="J135" s="114" t="s">
        <v>238</v>
      </c>
    </row>
    <row r="136" spans="1:10" x14ac:dyDescent="0.2">
      <c r="A136" s="123">
        <v>44763</v>
      </c>
      <c r="B136" s="124" t="s">
        <v>163</v>
      </c>
      <c r="C136" s="353" t="s">
        <v>642</v>
      </c>
      <c r="D136" s="353"/>
      <c r="E136" s="353"/>
      <c r="F136" s="353"/>
      <c r="G136" s="353"/>
      <c r="H136" s="353"/>
      <c r="I136" s="51" t="s">
        <v>181</v>
      </c>
      <c r="J136" s="114" t="s">
        <v>174</v>
      </c>
    </row>
    <row r="137" spans="1:10" x14ac:dyDescent="0.2">
      <c r="A137" s="123">
        <v>44763</v>
      </c>
      <c r="B137" s="124" t="s">
        <v>163</v>
      </c>
      <c r="C137" s="353" t="s">
        <v>643</v>
      </c>
      <c r="D137" s="353"/>
      <c r="E137" s="353"/>
      <c r="F137" s="353"/>
      <c r="G137" s="353"/>
      <c r="H137" s="353"/>
      <c r="I137" s="51" t="s">
        <v>214</v>
      </c>
      <c r="J137" s="114" t="s">
        <v>185</v>
      </c>
    </row>
    <row r="138" spans="1:10" x14ac:dyDescent="0.2">
      <c r="A138" s="123">
        <v>44763</v>
      </c>
      <c r="B138" s="124" t="s">
        <v>163</v>
      </c>
      <c r="C138" s="353" t="s">
        <v>644</v>
      </c>
      <c r="D138" s="353"/>
      <c r="E138" s="353"/>
      <c r="F138" s="353"/>
      <c r="G138" s="353"/>
      <c r="H138" s="353"/>
      <c r="I138" s="51" t="s">
        <v>181</v>
      </c>
      <c r="J138" s="114" t="s">
        <v>242</v>
      </c>
    </row>
    <row r="139" spans="1:10" x14ac:dyDescent="0.2">
      <c r="A139" s="211">
        <v>44763</v>
      </c>
      <c r="B139" s="212" t="s">
        <v>163</v>
      </c>
      <c r="C139" s="352" t="s">
        <v>645</v>
      </c>
      <c r="D139" s="352"/>
      <c r="E139" s="352"/>
      <c r="F139" s="352"/>
      <c r="G139" s="352"/>
      <c r="H139" s="352"/>
      <c r="I139" s="117" t="s">
        <v>181</v>
      </c>
      <c r="J139" s="118" t="s">
        <v>242</v>
      </c>
    </row>
    <row r="140" spans="1:10" x14ac:dyDescent="0.2">
      <c r="A140" s="137">
        <f>+A131+1</f>
        <v>44764</v>
      </c>
      <c r="B140" s="124" t="s">
        <v>164</v>
      </c>
      <c r="C140" s="355" t="s">
        <v>511</v>
      </c>
      <c r="D140" s="355"/>
      <c r="E140" s="355"/>
      <c r="F140" s="355"/>
      <c r="G140" s="355"/>
      <c r="H140" s="355"/>
      <c r="I140" s="111"/>
      <c r="J140" s="112" t="s">
        <v>174</v>
      </c>
    </row>
    <row r="141" spans="1:10" x14ac:dyDescent="0.2">
      <c r="A141" s="137">
        <v>44764</v>
      </c>
      <c r="B141" s="124" t="s">
        <v>164</v>
      </c>
      <c r="C141" s="353" t="s">
        <v>646</v>
      </c>
      <c r="D141" s="353"/>
      <c r="E141" s="353"/>
      <c r="F141" s="353"/>
      <c r="G141" s="353"/>
      <c r="H141" s="353"/>
      <c r="I141" s="51" t="s">
        <v>216</v>
      </c>
      <c r="J141" s="114" t="s">
        <v>174</v>
      </c>
    </row>
    <row r="142" spans="1:10" x14ac:dyDescent="0.2">
      <c r="A142" s="137">
        <v>44764</v>
      </c>
      <c r="B142" s="124" t="s">
        <v>164</v>
      </c>
      <c r="C142" s="353" t="s">
        <v>647</v>
      </c>
      <c r="D142" s="353"/>
      <c r="E142" s="353"/>
      <c r="F142" s="353"/>
      <c r="G142" s="353"/>
      <c r="H142" s="353"/>
      <c r="I142" s="51" t="s">
        <v>181</v>
      </c>
      <c r="J142" s="114" t="s">
        <v>174</v>
      </c>
    </row>
    <row r="143" spans="1:10" x14ac:dyDescent="0.2">
      <c r="A143" s="137">
        <v>44764</v>
      </c>
      <c r="B143" s="124" t="s">
        <v>164</v>
      </c>
      <c r="C143" s="353" t="s">
        <v>648</v>
      </c>
      <c r="D143" s="353"/>
      <c r="E143" s="353"/>
      <c r="F143" s="353"/>
      <c r="G143" s="353"/>
      <c r="H143" s="353"/>
      <c r="I143" s="51" t="s">
        <v>181</v>
      </c>
      <c r="J143" s="114" t="s">
        <v>174</v>
      </c>
    </row>
    <row r="144" spans="1:10" x14ac:dyDescent="0.2">
      <c r="A144" s="137">
        <v>44764</v>
      </c>
      <c r="B144" s="124" t="s">
        <v>164</v>
      </c>
      <c r="C144" s="353" t="s">
        <v>644</v>
      </c>
      <c r="D144" s="353"/>
      <c r="E144" s="353"/>
      <c r="F144" s="353"/>
      <c r="G144" s="353"/>
      <c r="H144" s="353"/>
      <c r="I144" s="51" t="s">
        <v>181</v>
      </c>
      <c r="J144" s="114" t="s">
        <v>242</v>
      </c>
    </row>
    <row r="145" spans="1:10" x14ac:dyDescent="0.2">
      <c r="A145" s="137">
        <v>44764</v>
      </c>
      <c r="B145" s="124" t="s">
        <v>164</v>
      </c>
      <c r="C145" s="353" t="s">
        <v>649</v>
      </c>
      <c r="D145" s="353"/>
      <c r="E145" s="353"/>
      <c r="F145" s="353"/>
      <c r="G145" s="353"/>
      <c r="H145" s="353"/>
      <c r="I145" s="51" t="s">
        <v>181</v>
      </c>
      <c r="J145" s="114" t="s">
        <v>242</v>
      </c>
    </row>
    <row r="146" spans="1:10" x14ac:dyDescent="0.2">
      <c r="A146" s="137">
        <v>44764</v>
      </c>
      <c r="B146" s="124" t="s">
        <v>164</v>
      </c>
      <c r="C146" s="353" t="s">
        <v>650</v>
      </c>
      <c r="D146" s="353"/>
      <c r="E146" s="353"/>
      <c r="F146" s="353"/>
      <c r="G146" s="353"/>
      <c r="H146" s="353"/>
      <c r="I146" s="51" t="s">
        <v>181</v>
      </c>
      <c r="J146" s="51" t="s">
        <v>244</v>
      </c>
    </row>
    <row r="147" spans="1:10" x14ac:dyDescent="0.2">
      <c r="A147" s="137">
        <v>44764</v>
      </c>
      <c r="B147" s="124" t="s">
        <v>164</v>
      </c>
      <c r="C147" s="353" t="s">
        <v>651</v>
      </c>
      <c r="D147" s="353"/>
      <c r="E147" s="353"/>
      <c r="F147" s="353"/>
      <c r="G147" s="353"/>
      <c r="H147" s="353"/>
      <c r="I147" s="51" t="s">
        <v>214</v>
      </c>
      <c r="J147" s="51" t="s">
        <v>174</v>
      </c>
    </row>
    <row r="148" spans="1:10" x14ac:dyDescent="0.2">
      <c r="A148" s="137">
        <v>44764</v>
      </c>
      <c r="B148" s="124" t="s">
        <v>164</v>
      </c>
      <c r="C148" s="353"/>
      <c r="D148" s="353"/>
      <c r="E148" s="353"/>
      <c r="F148" s="353"/>
      <c r="G148" s="353"/>
      <c r="H148" s="353"/>
      <c r="I148" s="51"/>
      <c r="J148" s="51"/>
    </row>
    <row r="149" spans="1:10" x14ac:dyDescent="0.2">
      <c r="A149" s="234">
        <f>+A140+1</f>
        <v>44765</v>
      </c>
      <c r="B149" s="235" t="s">
        <v>165</v>
      </c>
      <c r="C149" s="427"/>
      <c r="D149" s="427"/>
      <c r="E149" s="427"/>
      <c r="F149" s="427"/>
      <c r="G149" s="427"/>
      <c r="H149" s="427"/>
      <c r="I149" s="236"/>
      <c r="J149" s="237"/>
    </row>
    <row r="150" spans="1:10" ht="14.5" customHeight="1" x14ac:dyDescent="0.2">
      <c r="A150" s="263">
        <f t="shared" si="2"/>
        <v>44766</v>
      </c>
      <c r="B150" s="264" t="s">
        <v>166</v>
      </c>
      <c r="C150" s="435"/>
      <c r="D150" s="435"/>
      <c r="E150" s="435"/>
      <c r="F150" s="435"/>
      <c r="G150" s="435"/>
      <c r="H150" s="435"/>
      <c r="I150" s="265"/>
      <c r="J150" s="266"/>
    </row>
    <row r="151" spans="1:10" x14ac:dyDescent="0.2">
      <c r="A151" s="49">
        <f t="shared" si="2"/>
        <v>44767</v>
      </c>
      <c r="B151" s="50" t="s">
        <v>167</v>
      </c>
      <c r="C151" s="353"/>
      <c r="D151" s="353"/>
      <c r="E151" s="353"/>
      <c r="F151" s="353"/>
      <c r="G151" s="353"/>
      <c r="H151" s="353"/>
      <c r="I151" s="51"/>
      <c r="J151" s="51"/>
    </row>
    <row r="152" spans="1:10" x14ac:dyDescent="0.2">
      <c r="A152" s="49">
        <v>44767</v>
      </c>
      <c r="B152" s="50" t="s">
        <v>167</v>
      </c>
      <c r="C152" s="353"/>
      <c r="D152" s="353"/>
      <c r="E152" s="353"/>
      <c r="F152" s="353"/>
      <c r="G152" s="353"/>
      <c r="H152" s="353"/>
      <c r="I152" s="51"/>
      <c r="J152" s="51"/>
    </row>
    <row r="153" spans="1:10" x14ac:dyDescent="0.2">
      <c r="A153" s="49">
        <v>44767</v>
      </c>
      <c r="B153" s="50" t="s">
        <v>167</v>
      </c>
      <c r="C153" s="353"/>
      <c r="D153" s="353"/>
      <c r="E153" s="353"/>
      <c r="F153" s="353"/>
      <c r="G153" s="353"/>
      <c r="H153" s="353"/>
      <c r="I153" s="51"/>
      <c r="J153" s="51"/>
    </row>
    <row r="154" spans="1:10" x14ac:dyDescent="0.2">
      <c r="A154" s="49">
        <v>44767</v>
      </c>
      <c r="B154" s="50" t="s">
        <v>167</v>
      </c>
      <c r="C154" s="353"/>
      <c r="D154" s="353"/>
      <c r="E154" s="353"/>
      <c r="F154" s="353"/>
      <c r="G154" s="353"/>
      <c r="H154" s="353"/>
      <c r="I154" s="51"/>
      <c r="J154" s="51"/>
    </row>
    <row r="155" spans="1:10" x14ac:dyDescent="0.2">
      <c r="A155" s="49">
        <f>+A151+1</f>
        <v>44768</v>
      </c>
      <c r="B155" s="50" t="s">
        <v>161</v>
      </c>
      <c r="C155" s="353"/>
      <c r="D155" s="353"/>
      <c r="E155" s="353"/>
      <c r="F155" s="353"/>
      <c r="G155" s="353"/>
      <c r="H155" s="353"/>
      <c r="I155" s="51"/>
      <c r="J155" s="51"/>
    </row>
    <row r="156" spans="1:10" x14ac:dyDescent="0.2">
      <c r="A156" s="49">
        <v>44768</v>
      </c>
      <c r="B156" s="50" t="s">
        <v>161</v>
      </c>
      <c r="C156" s="353"/>
      <c r="D156" s="353"/>
      <c r="E156" s="353"/>
      <c r="F156" s="353"/>
      <c r="G156" s="353"/>
      <c r="H156" s="353"/>
      <c r="I156" s="51"/>
      <c r="J156" s="51"/>
    </row>
    <row r="157" spans="1:10" x14ac:dyDescent="0.2">
      <c r="A157" s="49">
        <v>44768</v>
      </c>
      <c r="B157" s="50" t="s">
        <v>161</v>
      </c>
      <c r="C157" s="353"/>
      <c r="D157" s="353"/>
      <c r="E157" s="353"/>
      <c r="F157" s="353"/>
      <c r="G157" s="353"/>
      <c r="H157" s="353"/>
      <c r="I157" s="51"/>
      <c r="J157" s="51"/>
    </row>
    <row r="158" spans="1:10" x14ac:dyDescent="0.2">
      <c r="A158" s="49">
        <v>44768</v>
      </c>
      <c r="B158" s="50" t="s">
        <v>161</v>
      </c>
      <c r="C158" s="353"/>
      <c r="D158" s="353"/>
      <c r="E158" s="353"/>
      <c r="F158" s="353"/>
      <c r="G158" s="353"/>
      <c r="H158" s="353"/>
      <c r="I158" s="51"/>
      <c r="J158" s="51"/>
    </row>
    <row r="159" spans="1:10" x14ac:dyDescent="0.2">
      <c r="A159" s="49">
        <f>+A155+1</f>
        <v>44769</v>
      </c>
      <c r="B159" s="50" t="s">
        <v>162</v>
      </c>
      <c r="C159" s="353"/>
      <c r="D159" s="353"/>
      <c r="E159" s="353"/>
      <c r="F159" s="353"/>
      <c r="G159" s="353"/>
      <c r="H159" s="353"/>
      <c r="I159" s="51"/>
      <c r="J159" s="51"/>
    </row>
    <row r="160" spans="1:10" x14ac:dyDescent="0.2">
      <c r="A160" s="49">
        <v>44769</v>
      </c>
      <c r="B160" s="50" t="s">
        <v>162</v>
      </c>
      <c r="C160" s="353"/>
      <c r="D160" s="353"/>
      <c r="E160" s="353"/>
      <c r="F160" s="353"/>
      <c r="G160" s="353"/>
      <c r="H160" s="353"/>
      <c r="I160" s="51"/>
      <c r="J160" s="51"/>
    </row>
    <row r="161" spans="1:22" x14ac:dyDescent="0.2">
      <c r="A161" s="49">
        <v>44769</v>
      </c>
      <c r="B161" s="50" t="s">
        <v>162</v>
      </c>
      <c r="C161" s="353"/>
      <c r="D161" s="353"/>
      <c r="E161" s="353"/>
      <c r="F161" s="353"/>
      <c r="G161" s="353"/>
      <c r="H161" s="353"/>
      <c r="I161" s="51"/>
      <c r="J161" s="51"/>
    </row>
    <row r="162" spans="1:22" x14ac:dyDescent="0.2">
      <c r="A162" s="49">
        <v>44769</v>
      </c>
      <c r="B162" s="50" t="s">
        <v>162</v>
      </c>
      <c r="C162" s="353"/>
      <c r="D162" s="353"/>
      <c r="E162" s="353"/>
      <c r="F162" s="353"/>
      <c r="G162" s="353"/>
      <c r="H162" s="353"/>
      <c r="I162" s="51"/>
      <c r="J162" s="51"/>
    </row>
    <row r="163" spans="1:22" x14ac:dyDescent="0.2">
      <c r="A163" s="49">
        <f>+A159+1</f>
        <v>44770</v>
      </c>
      <c r="B163" s="50" t="s">
        <v>163</v>
      </c>
      <c r="C163" s="353"/>
      <c r="D163" s="353"/>
      <c r="E163" s="353"/>
      <c r="F163" s="353"/>
      <c r="G163" s="353"/>
      <c r="H163" s="353"/>
      <c r="I163" s="51"/>
      <c r="J163" s="51"/>
    </row>
    <row r="164" spans="1:22" x14ac:dyDescent="0.2">
      <c r="A164" s="49">
        <v>44770</v>
      </c>
      <c r="B164" s="50" t="s">
        <v>163</v>
      </c>
      <c r="C164" s="353"/>
      <c r="D164" s="353"/>
      <c r="E164" s="353"/>
      <c r="F164" s="353"/>
      <c r="G164" s="353"/>
      <c r="H164" s="353"/>
      <c r="I164" s="51"/>
      <c r="J164" s="51"/>
    </row>
    <row r="165" spans="1:22" x14ac:dyDescent="0.2">
      <c r="A165" s="49">
        <v>44770</v>
      </c>
      <c r="B165" s="50" t="s">
        <v>163</v>
      </c>
      <c r="C165" s="353"/>
      <c r="D165" s="353"/>
      <c r="E165" s="353"/>
      <c r="F165" s="353"/>
      <c r="G165" s="353"/>
      <c r="H165" s="353"/>
      <c r="I165" s="51"/>
      <c r="J165" s="51"/>
    </row>
    <row r="166" spans="1:22" x14ac:dyDescent="0.2">
      <c r="A166" s="49">
        <v>44770</v>
      </c>
      <c r="B166" s="50" t="s">
        <v>163</v>
      </c>
      <c r="C166" s="353"/>
      <c r="D166" s="353"/>
      <c r="E166" s="353"/>
      <c r="F166" s="353"/>
      <c r="G166" s="353"/>
      <c r="H166" s="353"/>
      <c r="I166" s="51"/>
      <c r="J166" s="51"/>
    </row>
    <row r="167" spans="1:22" x14ac:dyDescent="0.2">
      <c r="A167" s="49">
        <f>+A163+1</f>
        <v>44771</v>
      </c>
      <c r="B167" s="50" t="s">
        <v>164</v>
      </c>
      <c r="C167" s="353"/>
      <c r="D167" s="353"/>
      <c r="E167" s="353"/>
      <c r="F167" s="353"/>
      <c r="G167" s="353"/>
      <c r="H167" s="353"/>
      <c r="I167" s="51"/>
      <c r="J167" s="51"/>
    </row>
    <row r="168" spans="1:22" x14ac:dyDescent="0.2">
      <c r="A168" s="61">
        <f t="shared" si="2"/>
        <v>44772</v>
      </c>
      <c r="B168" s="62" t="s">
        <v>165</v>
      </c>
      <c r="C168" s="429"/>
      <c r="D168" s="429"/>
      <c r="E168" s="429"/>
      <c r="F168" s="429"/>
      <c r="G168" s="429"/>
      <c r="H168" s="429"/>
      <c r="I168" s="63"/>
      <c r="J168" s="63"/>
    </row>
    <row r="169" spans="1:22" x14ac:dyDescent="0.2">
      <c r="A169" s="61">
        <f t="shared" si="2"/>
        <v>44773</v>
      </c>
      <c r="B169" s="62" t="s">
        <v>166</v>
      </c>
      <c r="C169" s="429"/>
      <c r="D169" s="429"/>
      <c r="E169" s="429"/>
      <c r="F169" s="429"/>
      <c r="G169" s="429"/>
      <c r="H169" s="429"/>
      <c r="I169" s="63"/>
      <c r="J169" s="63"/>
    </row>
    <row r="170" spans="1:22" x14ac:dyDescent="0.2">
      <c r="A170" s="32"/>
      <c r="I170" s="8"/>
      <c r="J170" s="8"/>
      <c r="R170" s="21"/>
      <c r="S170" s="21"/>
      <c r="T170" s="8"/>
      <c r="U170" s="8"/>
      <c r="V170" s="8"/>
    </row>
    <row r="171" spans="1:22" x14ac:dyDescent="0.2">
      <c r="A171" s="367" t="s">
        <v>207</v>
      </c>
      <c r="B171" s="368"/>
      <c r="C171" s="368"/>
      <c r="D171" s="368"/>
      <c r="I171" s="8"/>
      <c r="J171" s="8"/>
      <c r="R171" s="21"/>
      <c r="S171" s="21"/>
      <c r="T171" s="8"/>
      <c r="U171" s="8"/>
      <c r="V171" s="8"/>
    </row>
    <row r="172" spans="1:22" x14ac:dyDescent="0.2">
      <c r="A172" s="52">
        <f t="shared" ref="A172:A182" si="3">COUNTIF($I$60:$I$172,B172)</f>
        <v>0</v>
      </c>
      <c r="B172" s="53" t="s">
        <v>208</v>
      </c>
      <c r="C172" s="370" t="s">
        <v>209</v>
      </c>
      <c r="D172" s="370"/>
      <c r="I172" s="8"/>
      <c r="J172" s="8"/>
      <c r="R172" s="21"/>
      <c r="S172" s="21"/>
      <c r="T172" s="8"/>
      <c r="U172" s="8"/>
      <c r="V172" s="8"/>
    </row>
    <row r="173" spans="1:22" x14ac:dyDescent="0.2">
      <c r="A173" s="52">
        <f t="shared" si="3"/>
        <v>5</v>
      </c>
      <c r="B173" s="53" t="s">
        <v>172</v>
      </c>
      <c r="C173" s="370" t="s">
        <v>210</v>
      </c>
      <c r="D173" s="370"/>
      <c r="I173" s="8"/>
      <c r="J173" s="8"/>
      <c r="R173" s="21"/>
      <c r="S173" s="21"/>
      <c r="T173" s="8"/>
      <c r="U173" s="8"/>
      <c r="V173" s="8"/>
    </row>
    <row r="174" spans="1:22" x14ac:dyDescent="0.2">
      <c r="A174" s="52">
        <f t="shared" si="3"/>
        <v>8</v>
      </c>
      <c r="B174" s="53" t="s">
        <v>169</v>
      </c>
      <c r="C174" s="370" t="s">
        <v>211</v>
      </c>
      <c r="D174" s="370"/>
      <c r="I174" s="8"/>
      <c r="J174" s="8"/>
      <c r="R174" s="21"/>
      <c r="S174" s="21"/>
      <c r="T174" s="8"/>
      <c r="U174" s="8"/>
      <c r="V174" s="8"/>
    </row>
    <row r="175" spans="1:22" x14ac:dyDescent="0.2">
      <c r="A175" s="52">
        <f t="shared" si="3"/>
        <v>21</v>
      </c>
      <c r="B175" s="53" t="s">
        <v>181</v>
      </c>
      <c r="C175" s="370" t="s">
        <v>212</v>
      </c>
      <c r="D175" s="370"/>
      <c r="I175" s="8"/>
      <c r="J175" s="8"/>
      <c r="R175" s="21"/>
      <c r="S175" s="21"/>
      <c r="T175" s="8"/>
      <c r="U175" s="8"/>
      <c r="V175" s="8"/>
    </row>
    <row r="176" spans="1:22" x14ac:dyDescent="0.2">
      <c r="A176" s="52">
        <f t="shared" si="3"/>
        <v>17</v>
      </c>
      <c r="B176" s="53" t="s">
        <v>183</v>
      </c>
      <c r="C176" s="370" t="s">
        <v>213</v>
      </c>
      <c r="D176" s="370"/>
      <c r="I176" s="8"/>
      <c r="J176" s="8"/>
      <c r="R176" s="21"/>
      <c r="S176" s="21"/>
      <c r="T176" s="8"/>
      <c r="U176" s="8"/>
      <c r="V176" s="8"/>
    </row>
    <row r="177" spans="1:22" x14ac:dyDescent="0.2">
      <c r="A177" s="52">
        <f t="shared" si="3"/>
        <v>8</v>
      </c>
      <c r="B177" s="53" t="s">
        <v>214</v>
      </c>
      <c r="C177" s="370" t="s">
        <v>215</v>
      </c>
      <c r="D177" s="370"/>
      <c r="I177" s="8"/>
      <c r="J177" s="8"/>
      <c r="R177" s="21"/>
      <c r="S177" s="21"/>
      <c r="T177" s="8"/>
      <c r="U177" s="8"/>
      <c r="V177" s="8"/>
    </row>
    <row r="178" spans="1:22" x14ac:dyDescent="0.2">
      <c r="A178" s="52">
        <f t="shared" si="3"/>
        <v>5</v>
      </c>
      <c r="B178" s="53" t="s">
        <v>216</v>
      </c>
      <c r="C178" s="370" t="s">
        <v>217</v>
      </c>
      <c r="D178" s="370"/>
      <c r="I178" s="8"/>
      <c r="J178" s="8"/>
      <c r="R178" s="21"/>
      <c r="S178" s="21"/>
      <c r="T178" s="8"/>
      <c r="U178" s="8"/>
      <c r="V178" s="8"/>
    </row>
    <row r="179" spans="1:22" x14ac:dyDescent="0.2">
      <c r="A179" s="52">
        <f t="shared" si="3"/>
        <v>0</v>
      </c>
      <c r="B179" s="53" t="s">
        <v>218</v>
      </c>
      <c r="C179" s="371" t="s">
        <v>219</v>
      </c>
      <c r="D179" s="372"/>
      <c r="I179" s="8"/>
      <c r="J179" s="8"/>
      <c r="R179" s="21"/>
      <c r="S179" s="21"/>
      <c r="T179" s="8"/>
      <c r="U179" s="8"/>
      <c r="V179" s="8"/>
    </row>
    <row r="180" spans="1:22" x14ac:dyDescent="0.2">
      <c r="A180" s="52">
        <f t="shared" si="3"/>
        <v>0</v>
      </c>
      <c r="B180" s="53" t="s">
        <v>220</v>
      </c>
      <c r="C180" s="370" t="s">
        <v>221</v>
      </c>
      <c r="D180" s="370"/>
      <c r="I180" s="8"/>
      <c r="J180" s="8"/>
    </row>
    <row r="181" spans="1:22" x14ac:dyDescent="0.2">
      <c r="A181" s="52">
        <f t="shared" si="3"/>
        <v>0</v>
      </c>
      <c r="B181" s="53" t="s">
        <v>178</v>
      </c>
      <c r="C181" s="370" t="s">
        <v>222</v>
      </c>
      <c r="D181" s="370"/>
      <c r="I181" s="8"/>
      <c r="J181" s="8"/>
    </row>
    <row r="182" spans="1:22" x14ac:dyDescent="0.2">
      <c r="A182" s="52">
        <f t="shared" si="3"/>
        <v>0</v>
      </c>
      <c r="B182" s="53" t="s">
        <v>223</v>
      </c>
      <c r="C182" s="370" t="s">
        <v>224</v>
      </c>
      <c r="D182" s="370"/>
      <c r="I182" s="8"/>
      <c r="J182" s="8"/>
    </row>
    <row r="183" spans="1:22" x14ac:dyDescent="0.2">
      <c r="A183" s="54"/>
      <c r="B183" s="55"/>
      <c r="C183" s="56"/>
      <c r="D183" s="56"/>
      <c r="I183" s="8"/>
      <c r="J183" s="8"/>
    </row>
    <row r="184" spans="1:22" x14ac:dyDescent="0.2">
      <c r="A184" s="54"/>
      <c r="B184" s="55"/>
      <c r="C184" s="56"/>
      <c r="D184" s="56"/>
      <c r="I184" s="8"/>
      <c r="J184" s="8"/>
    </row>
    <row r="185" spans="1:22" x14ac:dyDescent="0.2">
      <c r="A185" s="54"/>
      <c r="B185" s="55"/>
      <c r="C185" s="56"/>
      <c r="D185" s="56"/>
      <c r="I185" s="8"/>
      <c r="J185" s="8"/>
    </row>
    <row r="186" spans="1:22" x14ac:dyDescent="0.2">
      <c r="A186" s="54"/>
      <c r="B186" s="55"/>
      <c r="C186" s="56"/>
      <c r="D186" s="56"/>
      <c r="I186" s="8"/>
      <c r="J186" s="8"/>
    </row>
    <row r="187" spans="1:22" x14ac:dyDescent="0.2">
      <c r="A187" s="32"/>
      <c r="I187" s="8"/>
      <c r="J187" s="8"/>
    </row>
    <row r="188" spans="1:22" x14ac:dyDescent="0.2">
      <c r="A188" s="367" t="s">
        <v>225</v>
      </c>
      <c r="B188" s="368"/>
      <c r="C188" s="368"/>
      <c r="D188" s="368"/>
      <c r="I188" s="8"/>
      <c r="J188" s="8"/>
    </row>
    <row r="189" spans="1:22" x14ac:dyDescent="0.2">
      <c r="A189" s="52">
        <f t="shared" ref="A189:A201" si="4">COUNTIF($J$60:$J$172,B189)</f>
        <v>6</v>
      </c>
      <c r="B189" s="52" t="s">
        <v>170</v>
      </c>
      <c r="C189" s="356" t="s">
        <v>226</v>
      </c>
      <c r="D189" s="356"/>
      <c r="I189" s="8"/>
      <c r="J189" s="8"/>
    </row>
    <row r="190" spans="1:22" x14ac:dyDescent="0.2">
      <c r="A190" s="52">
        <f t="shared" si="4"/>
        <v>4</v>
      </c>
      <c r="B190" s="52" t="s">
        <v>191</v>
      </c>
      <c r="C190" s="356" t="s">
        <v>227</v>
      </c>
      <c r="D190" s="356"/>
      <c r="I190" s="8"/>
      <c r="J190" s="8"/>
    </row>
    <row r="191" spans="1:22" x14ac:dyDescent="0.2">
      <c r="A191" s="52">
        <f t="shared" si="4"/>
        <v>0</v>
      </c>
      <c r="B191" s="52" t="s">
        <v>179</v>
      </c>
      <c r="C191" s="356" t="s">
        <v>228</v>
      </c>
      <c r="D191" s="356"/>
      <c r="I191" s="8"/>
      <c r="J191" s="8"/>
    </row>
    <row r="192" spans="1:22" x14ac:dyDescent="0.2">
      <c r="A192" s="52">
        <f t="shared" si="4"/>
        <v>0</v>
      </c>
      <c r="B192" s="52" t="s">
        <v>229</v>
      </c>
      <c r="C192" s="356" t="s">
        <v>230</v>
      </c>
      <c r="D192" s="356"/>
      <c r="I192" s="8"/>
      <c r="J192" s="8"/>
    </row>
    <row r="193" spans="1:10" x14ac:dyDescent="0.2">
      <c r="A193" s="52">
        <f t="shared" si="4"/>
        <v>37</v>
      </c>
      <c r="B193" s="52" t="s">
        <v>174</v>
      </c>
      <c r="C193" s="356" t="s">
        <v>231</v>
      </c>
      <c r="D193" s="356"/>
      <c r="I193" s="8"/>
      <c r="J193" s="8"/>
    </row>
    <row r="194" spans="1:10" x14ac:dyDescent="0.2">
      <c r="A194" s="52">
        <f t="shared" si="4"/>
        <v>0</v>
      </c>
      <c r="B194" s="52" t="s">
        <v>232</v>
      </c>
      <c r="C194" s="356" t="s">
        <v>233</v>
      </c>
      <c r="D194" s="356"/>
      <c r="I194" s="8"/>
      <c r="J194" s="8"/>
    </row>
    <row r="195" spans="1:10" x14ac:dyDescent="0.2">
      <c r="A195" s="52">
        <f t="shared" si="4"/>
        <v>4</v>
      </c>
      <c r="B195" s="52" t="s">
        <v>187</v>
      </c>
      <c r="C195" s="356" t="s">
        <v>234</v>
      </c>
      <c r="D195" s="356"/>
      <c r="I195" s="8"/>
      <c r="J195" s="8"/>
    </row>
    <row r="196" spans="1:10" x14ac:dyDescent="0.2">
      <c r="A196" s="52">
        <f t="shared" si="4"/>
        <v>2</v>
      </c>
      <c r="B196" s="52" t="s">
        <v>235</v>
      </c>
      <c r="C196" s="356" t="s">
        <v>236</v>
      </c>
      <c r="D196" s="356"/>
      <c r="I196" s="8"/>
      <c r="J196" s="8"/>
    </row>
    <row r="197" spans="1:10" x14ac:dyDescent="0.2">
      <c r="A197" s="52">
        <f t="shared" si="4"/>
        <v>11</v>
      </c>
      <c r="B197" s="52" t="s">
        <v>185</v>
      </c>
      <c r="C197" s="356" t="s">
        <v>237</v>
      </c>
      <c r="D197" s="356"/>
      <c r="I197" s="8"/>
      <c r="J197" s="8"/>
    </row>
    <row r="198" spans="1:10" x14ac:dyDescent="0.2">
      <c r="A198" s="52">
        <f t="shared" si="4"/>
        <v>12</v>
      </c>
      <c r="B198" s="52" t="s">
        <v>238</v>
      </c>
      <c r="C198" s="356" t="s">
        <v>239</v>
      </c>
      <c r="D198" s="356"/>
      <c r="I198" s="8"/>
      <c r="J198" s="8"/>
    </row>
    <row r="199" spans="1:10" x14ac:dyDescent="0.2">
      <c r="A199" s="52">
        <f t="shared" si="4"/>
        <v>0</v>
      </c>
      <c r="B199" s="52" t="s">
        <v>240</v>
      </c>
      <c r="C199" s="356" t="s">
        <v>241</v>
      </c>
      <c r="D199" s="356"/>
      <c r="I199" s="8"/>
      <c r="J199" s="8"/>
    </row>
    <row r="200" spans="1:10" x14ac:dyDescent="0.2">
      <c r="A200" s="52">
        <f t="shared" si="4"/>
        <v>4</v>
      </c>
      <c r="B200" s="52" t="s">
        <v>242</v>
      </c>
      <c r="C200" s="356" t="s">
        <v>243</v>
      </c>
      <c r="D200" s="356"/>
      <c r="I200" s="8"/>
      <c r="J200" s="8"/>
    </row>
    <row r="201" spans="1:10" x14ac:dyDescent="0.2">
      <c r="A201" s="52">
        <f t="shared" si="4"/>
        <v>4</v>
      </c>
      <c r="B201" s="52" t="s">
        <v>244</v>
      </c>
      <c r="C201" s="356" t="s">
        <v>245</v>
      </c>
      <c r="D201" s="356"/>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ht="16" thickBot="1" x14ac:dyDescent="0.25">
      <c r="A207" s="32"/>
      <c r="I207" s="8"/>
      <c r="J207" s="8"/>
    </row>
    <row r="208" spans="1:10" ht="19" x14ac:dyDescent="0.2">
      <c r="A208" s="32"/>
      <c r="C208" s="349" t="s">
        <v>86</v>
      </c>
      <c r="D208" s="350"/>
      <c r="E208" s="350"/>
      <c r="F208" s="350"/>
      <c r="G208" s="351"/>
      <c r="I208" s="8"/>
      <c r="J208" s="8"/>
    </row>
    <row r="209" spans="1:10" ht="32" x14ac:dyDescent="0.2">
      <c r="A209" s="32"/>
      <c r="C209" s="68" t="s">
        <v>87</v>
      </c>
      <c r="D209" s="64" t="s">
        <v>88</v>
      </c>
      <c r="E209" s="64" t="s">
        <v>89</v>
      </c>
      <c r="F209" s="64" t="s">
        <v>90</v>
      </c>
      <c r="G209" s="66" t="s">
        <v>91</v>
      </c>
      <c r="I209" s="8"/>
      <c r="J209" s="8"/>
    </row>
    <row r="210" spans="1:10" x14ac:dyDescent="0.2">
      <c r="A210" s="32"/>
      <c r="C210" s="65">
        <v>158</v>
      </c>
      <c r="D210" s="65">
        <v>306</v>
      </c>
      <c r="E210" s="65">
        <v>56</v>
      </c>
      <c r="F210" s="65">
        <v>118</v>
      </c>
      <c r="G210" s="67">
        <f>SUM(B210:F210)</f>
        <v>638</v>
      </c>
      <c r="I210" s="8"/>
      <c r="J210" s="8"/>
    </row>
    <row r="211" spans="1:10" x14ac:dyDescent="0.2">
      <c r="A211" s="32"/>
      <c r="G211"/>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c r="I223" s="8"/>
      <c r="J223" s="8"/>
    </row>
    <row r="224" spans="1:10" x14ac:dyDescent="0.2">
      <c r="A224" s="32"/>
      <c r="I224" s="8"/>
      <c r="J224" s="8"/>
    </row>
    <row r="225" spans="1:10" x14ac:dyDescent="0.2">
      <c r="A225" s="32"/>
      <c r="I225" s="8"/>
      <c r="J225" s="8"/>
    </row>
    <row r="226" spans="1:10" x14ac:dyDescent="0.2">
      <c r="A226" s="32"/>
      <c r="I226" s="8"/>
      <c r="J226" s="8"/>
    </row>
    <row r="227" spans="1:10" x14ac:dyDescent="0.2">
      <c r="A227" s="32"/>
      <c r="I227" s="8"/>
      <c r="J227" s="8"/>
    </row>
    <row r="228" spans="1:10" x14ac:dyDescent="0.2">
      <c r="A228" s="32"/>
      <c r="I228" s="8"/>
      <c r="J228" s="8"/>
    </row>
    <row r="229" spans="1:10" x14ac:dyDescent="0.2">
      <c r="A229" s="32"/>
      <c r="I229" s="8"/>
      <c r="J229" s="8"/>
    </row>
    <row r="230" spans="1:10" x14ac:dyDescent="0.2">
      <c r="A230" s="32"/>
      <c r="I230" s="8"/>
      <c r="J230" s="8"/>
    </row>
    <row r="231" spans="1:10" x14ac:dyDescent="0.2">
      <c r="A231" s="32"/>
      <c r="I231" s="8"/>
      <c r="J231" s="8"/>
    </row>
    <row r="232" spans="1:10" x14ac:dyDescent="0.2">
      <c r="A232" s="32"/>
      <c r="I232" s="8"/>
      <c r="J232" s="8"/>
    </row>
    <row r="233" spans="1:10" x14ac:dyDescent="0.2">
      <c r="A233" s="32"/>
      <c r="I233" s="8"/>
      <c r="J233" s="8"/>
    </row>
    <row r="234" spans="1:10" x14ac:dyDescent="0.2">
      <c r="A234" s="32"/>
      <c r="I234" s="8"/>
      <c r="J234" s="8"/>
    </row>
    <row r="235" spans="1:10" x14ac:dyDescent="0.2">
      <c r="A235" s="32"/>
      <c r="I235" s="8"/>
      <c r="J235" s="8"/>
    </row>
    <row r="236" spans="1:10" x14ac:dyDescent="0.2">
      <c r="A236" s="32"/>
      <c r="I236" s="8"/>
      <c r="J236" s="8"/>
    </row>
    <row r="237" spans="1:10" x14ac:dyDescent="0.2">
      <c r="A237" s="32"/>
      <c r="I237" s="8"/>
      <c r="J237" s="8"/>
    </row>
    <row r="238" spans="1:10" x14ac:dyDescent="0.2">
      <c r="A238" s="32"/>
      <c r="I238" s="8"/>
      <c r="J238" s="8"/>
    </row>
    <row r="239" spans="1:10" x14ac:dyDescent="0.2">
      <c r="A239" s="32"/>
      <c r="I239" s="8"/>
      <c r="J239" s="8"/>
    </row>
    <row r="240" spans="1:10" x14ac:dyDescent="0.2">
      <c r="A240" s="32"/>
      <c r="I240" s="8"/>
      <c r="J240" s="8"/>
    </row>
    <row r="241" spans="1:10" x14ac:dyDescent="0.2">
      <c r="A241" s="32"/>
      <c r="I241" s="8"/>
      <c r="J241" s="8"/>
    </row>
    <row r="242" spans="1:10" x14ac:dyDescent="0.2">
      <c r="A242" s="32"/>
      <c r="I242" s="8"/>
      <c r="J242" s="8"/>
    </row>
    <row r="243" spans="1:10" x14ac:dyDescent="0.2">
      <c r="A243" s="32"/>
      <c r="I243" s="8"/>
      <c r="J243" s="8"/>
    </row>
    <row r="244" spans="1:10" x14ac:dyDescent="0.2">
      <c r="A244" s="32"/>
      <c r="I244" s="8"/>
      <c r="J244" s="8"/>
    </row>
    <row r="245" spans="1:10" x14ac:dyDescent="0.2">
      <c r="A245" s="32"/>
      <c r="I245" s="8"/>
      <c r="J245" s="8"/>
    </row>
    <row r="246" spans="1:10" x14ac:dyDescent="0.2">
      <c r="A246" s="32"/>
      <c r="I246" s="8"/>
      <c r="J246" s="8"/>
    </row>
    <row r="247" spans="1:10" x14ac:dyDescent="0.2">
      <c r="A247" s="32"/>
      <c r="I247" s="8"/>
      <c r="J247" s="8"/>
    </row>
    <row r="248" spans="1:10" x14ac:dyDescent="0.2">
      <c r="A248" s="32"/>
      <c r="I248" s="8"/>
      <c r="J248" s="8"/>
    </row>
    <row r="249" spans="1:10" x14ac:dyDescent="0.2">
      <c r="A249" s="32"/>
      <c r="I249" s="8"/>
      <c r="J249" s="8"/>
    </row>
    <row r="250" spans="1:10" x14ac:dyDescent="0.2">
      <c r="A250" s="32"/>
      <c r="I250" s="8"/>
      <c r="J250" s="8"/>
    </row>
    <row r="251" spans="1:10" x14ac:dyDescent="0.2">
      <c r="A251" s="32"/>
      <c r="I251" s="8"/>
      <c r="J251" s="8"/>
    </row>
    <row r="252" spans="1:10" x14ac:dyDescent="0.2">
      <c r="A252" s="32"/>
      <c r="I252" s="8"/>
      <c r="J252" s="8"/>
    </row>
    <row r="253" spans="1:10" x14ac:dyDescent="0.2">
      <c r="A253" s="32"/>
      <c r="I253" s="8"/>
      <c r="J253" s="8"/>
    </row>
    <row r="254" spans="1:10" x14ac:dyDescent="0.2">
      <c r="A254" s="32"/>
      <c r="I254" s="8"/>
      <c r="J254" s="8"/>
    </row>
    <row r="255" spans="1:10" x14ac:dyDescent="0.2">
      <c r="A255" s="32"/>
      <c r="I255" s="8"/>
      <c r="J255" s="8"/>
    </row>
    <row r="256" spans="1:10" x14ac:dyDescent="0.2">
      <c r="A256" s="32"/>
      <c r="I256" s="8"/>
      <c r="J256" s="8"/>
    </row>
    <row r="257" spans="1:10" x14ac:dyDescent="0.2">
      <c r="A257" s="32"/>
      <c r="I257" s="8"/>
      <c r="J257" s="8"/>
    </row>
    <row r="258" spans="1:10" x14ac:dyDescent="0.2">
      <c r="A258" s="32"/>
      <c r="I258" s="8"/>
      <c r="J258" s="8"/>
    </row>
    <row r="259" spans="1:10" x14ac:dyDescent="0.2">
      <c r="A259" s="32"/>
      <c r="I259" s="8"/>
      <c r="J259" s="8"/>
    </row>
    <row r="260" spans="1:10" x14ac:dyDescent="0.2">
      <c r="A260" s="32"/>
      <c r="I260" s="8"/>
      <c r="J260" s="8"/>
    </row>
    <row r="261" spans="1:10" x14ac:dyDescent="0.2">
      <c r="A261" s="32"/>
      <c r="I261" s="8"/>
      <c r="J261" s="8"/>
    </row>
    <row r="262" spans="1:10" x14ac:dyDescent="0.2">
      <c r="A262" s="32"/>
      <c r="I262" s="8"/>
      <c r="J262" s="8"/>
    </row>
    <row r="263" spans="1:10" x14ac:dyDescent="0.2">
      <c r="A263" s="32"/>
      <c r="I263" s="8"/>
      <c r="J263" s="8"/>
    </row>
    <row r="264" spans="1:10" x14ac:dyDescent="0.2">
      <c r="A264" s="32"/>
      <c r="I264" s="8"/>
      <c r="J264" s="8"/>
    </row>
    <row r="265" spans="1:10" x14ac:dyDescent="0.2">
      <c r="A265" s="32"/>
      <c r="I265" s="8"/>
      <c r="J265" s="8"/>
    </row>
    <row r="266" spans="1:10" x14ac:dyDescent="0.2">
      <c r="A266" s="32"/>
      <c r="I266" s="8"/>
      <c r="J266" s="8"/>
    </row>
    <row r="267" spans="1:10" x14ac:dyDescent="0.2">
      <c r="A267" s="32"/>
      <c r="I267" s="8"/>
      <c r="J267" s="8"/>
    </row>
    <row r="268" spans="1:10" x14ac:dyDescent="0.2">
      <c r="A268" s="32"/>
      <c r="I268" s="8"/>
      <c r="J268" s="8"/>
    </row>
    <row r="269" spans="1:10" x14ac:dyDescent="0.2">
      <c r="A269" s="32"/>
      <c r="I269" s="8"/>
      <c r="J269" s="8"/>
    </row>
    <row r="270" spans="1:10" x14ac:dyDescent="0.2">
      <c r="A270" s="32"/>
      <c r="I270" s="8"/>
      <c r="J270" s="8"/>
    </row>
    <row r="271" spans="1:10" x14ac:dyDescent="0.2">
      <c r="A271" s="32"/>
      <c r="I271" s="8"/>
      <c r="J271" s="8"/>
    </row>
    <row r="272" spans="1:10" x14ac:dyDescent="0.2">
      <c r="A272" s="32"/>
      <c r="I272" s="8"/>
      <c r="J272" s="8"/>
    </row>
    <row r="273" spans="1:10" x14ac:dyDescent="0.2">
      <c r="A273" s="32"/>
      <c r="I273" s="8"/>
      <c r="J273" s="8"/>
    </row>
    <row r="274" spans="1:10" x14ac:dyDescent="0.2">
      <c r="A274" s="32"/>
      <c r="I274" s="8"/>
      <c r="J274" s="8"/>
    </row>
    <row r="275" spans="1:10" x14ac:dyDescent="0.2">
      <c r="A275" s="32"/>
      <c r="I275" s="8"/>
      <c r="J275" s="8"/>
    </row>
    <row r="276" spans="1:10" x14ac:dyDescent="0.2">
      <c r="A276" s="32"/>
      <c r="I276" s="8"/>
      <c r="J276" s="8"/>
    </row>
    <row r="277" spans="1:10" x14ac:dyDescent="0.2">
      <c r="A277" s="32"/>
      <c r="I277" s="8"/>
      <c r="J277" s="8"/>
    </row>
    <row r="278" spans="1:10" x14ac:dyDescent="0.2">
      <c r="A278" s="32"/>
      <c r="I278" s="8"/>
      <c r="J278" s="8"/>
    </row>
    <row r="279" spans="1:10" x14ac:dyDescent="0.2">
      <c r="A279" s="32"/>
      <c r="I279" s="8"/>
      <c r="J279" s="8"/>
    </row>
    <row r="280" spans="1:10" x14ac:dyDescent="0.2">
      <c r="A280" s="32"/>
      <c r="I280" s="8"/>
      <c r="J280" s="8"/>
    </row>
    <row r="281" spans="1:10" x14ac:dyDescent="0.2">
      <c r="A281" s="32"/>
      <c r="I281" s="8"/>
      <c r="J281" s="8"/>
    </row>
    <row r="282" spans="1:10" x14ac:dyDescent="0.2">
      <c r="A282" s="32"/>
      <c r="I282" s="8"/>
      <c r="J282" s="8"/>
    </row>
    <row r="283" spans="1:10" x14ac:dyDescent="0.2">
      <c r="A283" s="32"/>
      <c r="I283" s="8"/>
      <c r="J283" s="8"/>
    </row>
    <row r="284" spans="1:10" x14ac:dyDescent="0.2">
      <c r="A284" s="32"/>
      <c r="I284" s="8"/>
      <c r="J284" s="8"/>
    </row>
    <row r="285" spans="1:10" x14ac:dyDescent="0.2">
      <c r="A285" s="32"/>
      <c r="I285" s="8"/>
      <c r="J285" s="8"/>
    </row>
    <row r="286" spans="1:10" x14ac:dyDescent="0.2">
      <c r="A286" s="32"/>
    </row>
    <row r="287" spans="1:10" x14ac:dyDescent="0.2">
      <c r="A287" s="32"/>
    </row>
    <row r="288" spans="1:10" x14ac:dyDescent="0.2">
      <c r="A288" s="32"/>
    </row>
    <row r="289" spans="1:1" x14ac:dyDescent="0.2">
      <c r="A289" s="32"/>
    </row>
    <row r="290" spans="1:1" x14ac:dyDescent="0.2">
      <c r="A290" s="32"/>
    </row>
    <row r="291" spans="1:1" x14ac:dyDescent="0.2">
      <c r="A291" s="32"/>
    </row>
    <row r="292" spans="1:1" x14ac:dyDescent="0.2">
      <c r="A292" s="32"/>
    </row>
    <row r="293" spans="1:1" x14ac:dyDescent="0.2">
      <c r="A293" s="32"/>
    </row>
    <row r="294" spans="1:1" x14ac:dyDescent="0.2">
      <c r="A294" s="32"/>
    </row>
    <row r="295" spans="1:1" x14ac:dyDescent="0.2">
      <c r="A295" s="32"/>
    </row>
    <row r="296" spans="1:1" x14ac:dyDescent="0.2">
      <c r="A296" s="32"/>
    </row>
    <row r="297" spans="1:1" x14ac:dyDescent="0.2">
      <c r="A297" s="32"/>
    </row>
    <row r="298" spans="1:1" x14ac:dyDescent="0.2">
      <c r="A298" s="32"/>
    </row>
    <row r="299" spans="1:1" x14ac:dyDescent="0.2">
      <c r="A299" s="32"/>
    </row>
    <row r="300" spans="1:1" x14ac:dyDescent="0.2">
      <c r="A300" s="32"/>
    </row>
    <row r="301" spans="1:1" x14ac:dyDescent="0.2">
      <c r="A301" s="32"/>
    </row>
    <row r="302" spans="1:1" x14ac:dyDescent="0.2">
      <c r="A302" s="32"/>
    </row>
    <row r="303" spans="1:1" x14ac:dyDescent="0.2">
      <c r="A303" s="32"/>
    </row>
    <row r="304" spans="1:1" x14ac:dyDescent="0.2">
      <c r="A304" s="32"/>
    </row>
    <row r="305" spans="1:1" x14ac:dyDescent="0.2">
      <c r="A305" s="32"/>
    </row>
    <row r="306" spans="1:1" x14ac:dyDescent="0.2">
      <c r="A306" s="32"/>
    </row>
    <row r="307" spans="1:1" x14ac:dyDescent="0.2">
      <c r="A307" s="32"/>
    </row>
    <row r="308" spans="1:1" x14ac:dyDescent="0.2">
      <c r="A308" s="32"/>
    </row>
    <row r="309" spans="1:1" x14ac:dyDescent="0.2">
      <c r="A309" s="32"/>
    </row>
    <row r="310" spans="1:1" x14ac:dyDescent="0.2">
      <c r="A310" s="32"/>
    </row>
    <row r="311" spans="1:1" x14ac:dyDescent="0.2">
      <c r="A311" s="32"/>
    </row>
  </sheetData>
  <autoFilter ref="A1:BI1" xr:uid="{A198EE33-64C6-47A7-BFA6-580DD75ED87C}"/>
  <mergeCells count="148">
    <mergeCell ref="C152:H152"/>
    <mergeCell ref="C153:H153"/>
    <mergeCell ref="C154:H154"/>
    <mergeCell ref="C164:H164"/>
    <mergeCell ref="C165:H165"/>
    <mergeCell ref="C166:H166"/>
    <mergeCell ref="C160:H160"/>
    <mergeCell ref="C161:H161"/>
    <mergeCell ref="C162:H162"/>
    <mergeCell ref="C156:H156"/>
    <mergeCell ref="C157:H157"/>
    <mergeCell ref="C158:H158"/>
    <mergeCell ref="C129:H129"/>
    <mergeCell ref="C148:H148"/>
    <mergeCell ref="C147:H147"/>
    <mergeCell ref="C139:H139"/>
    <mergeCell ref="C132:H132"/>
    <mergeCell ref="C130:H130"/>
    <mergeCell ref="C125:H125"/>
    <mergeCell ref="C128:H128"/>
    <mergeCell ref="C127:H127"/>
    <mergeCell ref="C126:H126"/>
    <mergeCell ref="C138:H138"/>
    <mergeCell ref="C141:H141"/>
    <mergeCell ref="C142:H142"/>
    <mergeCell ref="C143:H143"/>
    <mergeCell ref="C144:H144"/>
    <mergeCell ref="C145:H145"/>
    <mergeCell ref="C146:H146"/>
    <mergeCell ref="C94:H94"/>
    <mergeCell ref="C96:H96"/>
    <mergeCell ref="C98:H98"/>
    <mergeCell ref="C100:H100"/>
    <mergeCell ref="C101:H101"/>
    <mergeCell ref="C103:H103"/>
    <mergeCell ref="C104:H104"/>
    <mergeCell ref="C95:H95"/>
    <mergeCell ref="C97:H97"/>
    <mergeCell ref="C208:G208"/>
    <mergeCell ref="C177:D177"/>
    <mergeCell ref="C159:H159"/>
    <mergeCell ref="C196:D196"/>
    <mergeCell ref="C197:D197"/>
    <mergeCell ref="C198:D198"/>
    <mergeCell ref="C201:D201"/>
    <mergeCell ref="C199:D199"/>
    <mergeCell ref="C200:D200"/>
    <mergeCell ref="C194:D194"/>
    <mergeCell ref="C178:D178"/>
    <mergeCell ref="C179:D179"/>
    <mergeCell ref="C180:D180"/>
    <mergeCell ref="C182:D182"/>
    <mergeCell ref="C189:D189"/>
    <mergeCell ref="C190:D190"/>
    <mergeCell ref="C195:D195"/>
    <mergeCell ref="C172:D172"/>
    <mergeCell ref="C173:D173"/>
    <mergeCell ref="C192:D192"/>
    <mergeCell ref="C193:D193"/>
    <mergeCell ref="C181:D181"/>
    <mergeCell ref="A188:D188"/>
    <mergeCell ref="C191:D191"/>
    <mergeCell ref="C45:D45"/>
    <mergeCell ref="C155:H155"/>
    <mergeCell ref="C102:H102"/>
    <mergeCell ref="C105:H105"/>
    <mergeCell ref="C106:H106"/>
    <mergeCell ref="C107:H107"/>
    <mergeCell ref="C113:H113"/>
    <mergeCell ref="C124:H124"/>
    <mergeCell ref="C131:H131"/>
    <mergeCell ref="C140:H140"/>
    <mergeCell ref="C149:H149"/>
    <mergeCell ref="C150:H150"/>
    <mergeCell ref="C151:H151"/>
    <mergeCell ref="C69:H69"/>
    <mergeCell ref="C70:H70"/>
    <mergeCell ref="C71:H71"/>
    <mergeCell ref="C76:H76"/>
    <mergeCell ref="C77:H77"/>
    <mergeCell ref="C64:H64"/>
    <mergeCell ref="C66:H66"/>
    <mergeCell ref="C65:H65"/>
    <mergeCell ref="C89:H89"/>
    <mergeCell ref="C91:H91"/>
    <mergeCell ref="C92:H92"/>
    <mergeCell ref="C84:H84"/>
    <mergeCell ref="A59:H59"/>
    <mergeCell ref="C93:H93"/>
    <mergeCell ref="C72:H72"/>
    <mergeCell ref="C73:H73"/>
    <mergeCell ref="C74:H74"/>
    <mergeCell ref="C79:H79"/>
    <mergeCell ref="C80:H80"/>
    <mergeCell ref="C81:H81"/>
    <mergeCell ref="C82:H82"/>
    <mergeCell ref="C83:H83"/>
    <mergeCell ref="C87:H87"/>
    <mergeCell ref="C88:H88"/>
    <mergeCell ref="C90:H90"/>
    <mergeCell ref="C174:D174"/>
    <mergeCell ref="C175:D175"/>
    <mergeCell ref="C176:D176"/>
    <mergeCell ref="C163:H163"/>
    <mergeCell ref="C167:H167"/>
    <mergeCell ref="C168:H168"/>
    <mergeCell ref="C169:H169"/>
    <mergeCell ref="A171:D171"/>
    <mergeCell ref="C99:H99"/>
    <mergeCell ref="C114:H114"/>
    <mergeCell ref="C115:H115"/>
    <mergeCell ref="C122:H122"/>
    <mergeCell ref="C123:H123"/>
    <mergeCell ref="C108:H108"/>
    <mergeCell ref="C109:H109"/>
    <mergeCell ref="C111:H111"/>
    <mergeCell ref="C112:H112"/>
    <mergeCell ref="C121:H121"/>
    <mergeCell ref="C120:H120"/>
    <mergeCell ref="C110:H110"/>
    <mergeCell ref="C118:H118"/>
    <mergeCell ref="C119:H119"/>
    <mergeCell ref="C116:H116"/>
    <mergeCell ref="C117:H117"/>
    <mergeCell ref="P45:Q45"/>
    <mergeCell ref="R45:S45"/>
    <mergeCell ref="T45:V45"/>
    <mergeCell ref="W45:Y45"/>
    <mergeCell ref="Z45:AB45"/>
    <mergeCell ref="AC45:AE45"/>
    <mergeCell ref="AF45:AH45"/>
    <mergeCell ref="C136:H136"/>
    <mergeCell ref="C137:H137"/>
    <mergeCell ref="C133:H133"/>
    <mergeCell ref="C134:H134"/>
    <mergeCell ref="C135:H135"/>
    <mergeCell ref="M46:O46"/>
    <mergeCell ref="H47:I47"/>
    <mergeCell ref="C60:H60"/>
    <mergeCell ref="C61:H61"/>
    <mergeCell ref="C62:H62"/>
    <mergeCell ref="C63:H63"/>
    <mergeCell ref="C85:H85"/>
    <mergeCell ref="C86:H86"/>
    <mergeCell ref="C67:H67"/>
    <mergeCell ref="C68:H68"/>
    <mergeCell ref="C75:H75"/>
    <mergeCell ref="C78:H78"/>
  </mergeCells>
  <dataValidations count="8">
    <dataValidation type="list" allowBlank="1" showInputMessage="1" showErrorMessage="1" sqref="J66:J67 J141:J169 J132:J139 J114:J123 J90:J92 J69:J70 J73:J74 J79:J83 J76:J77 J85:J88 J94 J103:J106 J100:J101 J98 J96 J108:J112 J125:J130" xr:uid="{48CA9C3F-1C58-4054-8A1D-09FF7FFB980B}">
      <formula1>$B$188:$B$201</formula1>
    </dataValidation>
    <dataValidation type="list" allowBlank="1" showInputMessage="1" showErrorMessage="1" sqref="I67 I141:I169 I132:I139 I114:I123 I90:I92 I69:I70 I74 I80:I83 I76:I77 I85:I88 I94 I103:I106 I100:I101 I98 I96 I108:I112 I125:I130" xr:uid="{97D2F91E-C603-4607-B198-0B92678B5CB8}">
      <formula1>$B$172:$B$182</formula1>
    </dataValidation>
    <dataValidation type="list" allowBlank="1" showInputMessage="1" showErrorMessage="1" sqref="I68 I140 I78 I75 I84 I89 I107 I113 I102 I99 I97 I95 I93 I124 I131" xr:uid="{C5C2BC17-BD3D-42AE-AFBD-69708481DEDD}">
      <formula1>$B$229:$B$239</formula1>
    </dataValidation>
    <dataValidation type="list" allowBlank="1" showInputMessage="1" showErrorMessage="1" sqref="J68 J140 J78 J75 J84 J89 J107 J113 J102 J99 J97 J95 J93 J124 J131" xr:uid="{BF1C85A0-3790-4B87-8492-9D932BD8DA9E}">
      <formula1>$B$245:$B$258</formula1>
    </dataValidation>
    <dataValidation type="list" allowBlank="1" showInputMessage="1" showErrorMessage="1" sqref="I71:I73 I79 I65:I66" xr:uid="{2CAA62BD-009E-4A60-AABC-5FAA13F7CCEF}">
      <formula1>$B$226:$B$236</formula1>
    </dataValidation>
    <dataValidation type="list" allowBlank="1" showInputMessage="1" showErrorMessage="1" sqref="J71:J72 J65" xr:uid="{929F7CFD-3561-40A5-B6BE-FC82BF0717C1}">
      <formula1>$B$242:$B$255</formula1>
    </dataValidation>
    <dataValidation type="list" allowBlank="1" showInputMessage="1" showErrorMessage="1" sqref="I60:I64" xr:uid="{D1D8B036-1E00-4E42-8199-31A818CE6F88}">
      <formula1>$B$221:$B$231</formula1>
    </dataValidation>
    <dataValidation type="list" allowBlank="1" showInputMessage="1" showErrorMessage="1" sqref="J60:J64" xr:uid="{A2C36D23-5064-4235-B65B-1A55D3EEB260}">
      <formula1>$B$237:$B$250</formula1>
    </dataValidation>
  </dataValidations>
  <pageMargins left="0.25" right="0.25" top="0.75" bottom="0.75" header="0.3" footer="0.3"/>
  <pageSetup scale="17" fitToHeight="0"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2AAB-9FCC-4316-AF92-8114DF248D04}">
  <sheetPr codeName="Hoja10">
    <tabColor rgb="FFFF0000"/>
  </sheetPr>
  <dimension ref="A1:BJ208"/>
  <sheetViews>
    <sheetView zoomScale="85" zoomScaleNormal="85" workbookViewId="0">
      <pane xSplit="11" ySplit="1" topLeftCell="Q7"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21.6640625" style="1" customWidth="1"/>
    <col min="23" max="23" width="13.5" style="1" customWidth="1"/>
    <col min="24" max="24" width="4.6640625" style="1" customWidth="1"/>
    <col min="25" max="25" width="21.6640625" style="1" customWidth="1"/>
    <col min="26" max="26" width="13.5" style="1" customWidth="1"/>
    <col min="27" max="27" width="4.6640625" style="1" customWidth="1"/>
    <col min="28" max="28" width="21.6640625" style="1" customWidth="1"/>
    <col min="29" max="29" width="13.5" style="1" customWidth="1"/>
    <col min="30" max="30" width="4.6640625" style="1" customWidth="1"/>
    <col min="31" max="31" width="21.6640625" style="1" customWidth="1"/>
    <col min="32" max="32" width="13.5" style="1" customWidth="1"/>
    <col min="33" max="33" width="4.6640625" style="1" customWidth="1"/>
    <col min="34" max="34" width="21.6640625" style="1" customWidth="1"/>
    <col min="35" max="16384" width="11.5" style="1"/>
  </cols>
  <sheetData>
    <row r="1" spans="1:62"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246</v>
      </c>
      <c r="AO1" s="150" t="s">
        <v>123</v>
      </c>
      <c r="AP1" s="150" t="s">
        <v>124</v>
      </c>
      <c r="AQ1" s="150" t="s">
        <v>125</v>
      </c>
      <c r="AR1" s="150" t="s">
        <v>126</v>
      </c>
      <c r="AS1" s="143" t="s">
        <v>247</v>
      </c>
      <c r="AT1" s="139" t="s">
        <v>248</v>
      </c>
      <c r="AU1" s="139" t="s">
        <v>249</v>
      </c>
      <c r="AV1" s="139" t="s">
        <v>248</v>
      </c>
      <c r="AW1" s="139" t="s">
        <v>250</v>
      </c>
      <c r="AX1" s="139" t="s">
        <v>248</v>
      </c>
      <c r="AY1" s="139" t="s">
        <v>251</v>
      </c>
      <c r="AZ1" s="139" t="s">
        <v>248</v>
      </c>
      <c r="BA1" s="139" t="s">
        <v>252</v>
      </c>
      <c r="BB1" s="139" t="s">
        <v>248</v>
      </c>
      <c r="BC1" s="139" t="s">
        <v>253</v>
      </c>
      <c r="BD1" s="139" t="s">
        <v>248</v>
      </c>
      <c r="BE1" s="139" t="s">
        <v>254</v>
      </c>
      <c r="BF1" s="139" t="s">
        <v>246</v>
      </c>
      <c r="BG1" s="139" t="s">
        <v>255</v>
      </c>
      <c r="BH1" s="139" t="s">
        <v>256</v>
      </c>
      <c r="BI1" s="139" t="s">
        <v>257</v>
      </c>
      <c r="BJ1" s="8"/>
    </row>
    <row r="2" spans="1:62" s="48" customFormat="1" x14ac:dyDescent="0.15">
      <c r="A2" s="206" t="s">
        <v>354</v>
      </c>
      <c r="B2" s="206">
        <v>1417</v>
      </c>
      <c r="C2" s="206" t="s">
        <v>22</v>
      </c>
      <c r="D2" s="206" t="s">
        <v>652</v>
      </c>
      <c r="E2" s="206" t="s">
        <v>24</v>
      </c>
      <c r="F2" s="206" t="s">
        <v>653</v>
      </c>
      <c r="G2" s="206" t="s">
        <v>33</v>
      </c>
      <c r="H2" s="206">
        <v>1726</v>
      </c>
      <c r="I2" s="206">
        <v>243894</v>
      </c>
      <c r="J2" s="230">
        <v>23580000</v>
      </c>
      <c r="K2" s="208">
        <v>1</v>
      </c>
      <c r="L2" s="206">
        <v>5</v>
      </c>
      <c r="M2" s="206" t="s">
        <v>27</v>
      </c>
      <c r="N2" s="196">
        <v>44810</v>
      </c>
      <c r="O2" s="195">
        <v>1</v>
      </c>
      <c r="P2" s="240" t="s">
        <v>27</v>
      </c>
      <c r="Q2" s="241" t="s">
        <v>128</v>
      </c>
      <c r="R2" s="242" t="s">
        <v>27</v>
      </c>
      <c r="S2" s="242">
        <v>1</v>
      </c>
      <c r="T2" s="242" t="s">
        <v>27</v>
      </c>
      <c r="U2" s="242">
        <v>5</v>
      </c>
      <c r="V2" s="242" t="s">
        <v>555</v>
      </c>
      <c r="W2" s="242" t="s">
        <v>27</v>
      </c>
      <c r="X2" s="242">
        <v>20</v>
      </c>
      <c r="Y2" s="242" t="s">
        <v>594</v>
      </c>
      <c r="Z2" s="242" t="s">
        <v>27</v>
      </c>
      <c r="AA2" s="276" t="s">
        <v>128</v>
      </c>
      <c r="AB2" s="242" t="s">
        <v>558</v>
      </c>
      <c r="AC2" s="242" t="s">
        <v>27</v>
      </c>
      <c r="AD2" s="276" t="s">
        <v>128</v>
      </c>
      <c r="AE2" s="276" t="s">
        <v>128</v>
      </c>
      <c r="AF2" s="242" t="s">
        <v>27</v>
      </c>
      <c r="AG2" s="276" t="s">
        <v>128</v>
      </c>
      <c r="AH2" s="276" t="s">
        <v>128</v>
      </c>
      <c r="AI2" s="103"/>
      <c r="AJ2" s="103"/>
      <c r="AK2" s="104"/>
      <c r="AL2" s="297"/>
      <c r="AM2" s="205"/>
      <c r="AN2" s="194"/>
      <c r="AO2" s="106"/>
      <c r="AP2" s="106"/>
      <c r="AQ2" s="106"/>
      <c r="AR2" s="106"/>
      <c r="AS2" s="144"/>
      <c r="AT2" s="140"/>
      <c r="AU2" s="140"/>
      <c r="AV2" s="140"/>
      <c r="AW2" s="140"/>
      <c r="AX2" s="140"/>
      <c r="AY2" s="140"/>
      <c r="AZ2" s="140"/>
      <c r="BA2" s="140"/>
      <c r="BB2" s="140"/>
      <c r="BC2" s="140"/>
      <c r="BD2" s="140"/>
      <c r="BE2" s="140"/>
      <c r="BF2" s="140"/>
      <c r="BG2" s="140" t="s">
        <v>654</v>
      </c>
      <c r="BH2" s="140" t="s">
        <v>264</v>
      </c>
      <c r="BI2" s="140" t="s">
        <v>264</v>
      </c>
    </row>
    <row r="3" spans="1:62" s="48" customFormat="1" x14ac:dyDescent="0.15">
      <c r="A3" s="206" t="s">
        <v>354</v>
      </c>
      <c r="B3" s="206">
        <v>1443</v>
      </c>
      <c r="C3" s="206" t="s">
        <v>22</v>
      </c>
      <c r="D3" s="277" t="s">
        <v>655</v>
      </c>
      <c r="E3" s="206" t="s">
        <v>31</v>
      </c>
      <c r="F3" s="206" t="s">
        <v>32</v>
      </c>
      <c r="G3" s="206" t="s">
        <v>68</v>
      </c>
      <c r="H3" s="206">
        <v>1119</v>
      </c>
      <c r="I3" s="206">
        <v>7000165</v>
      </c>
      <c r="J3" s="230">
        <v>34800000</v>
      </c>
      <c r="K3" s="208">
        <v>1</v>
      </c>
      <c r="L3" s="206">
        <v>3</v>
      </c>
      <c r="M3" s="206" t="s">
        <v>27</v>
      </c>
      <c r="N3" s="196">
        <v>44791</v>
      </c>
      <c r="O3" s="195">
        <v>1</v>
      </c>
      <c r="P3" s="261" t="s">
        <v>27</v>
      </c>
      <c r="Q3" s="243" t="s">
        <v>128</v>
      </c>
      <c r="R3" s="262" t="s">
        <v>27</v>
      </c>
      <c r="S3" s="262">
        <v>2</v>
      </c>
      <c r="T3" s="262" t="s">
        <v>27</v>
      </c>
      <c r="U3" s="262">
        <v>5</v>
      </c>
      <c r="V3" s="262" t="s">
        <v>568</v>
      </c>
      <c r="W3" s="262" t="s">
        <v>27</v>
      </c>
      <c r="X3" s="262">
        <v>6</v>
      </c>
      <c r="Y3" s="262" t="s">
        <v>569</v>
      </c>
      <c r="Z3" s="262" t="s">
        <v>27</v>
      </c>
      <c r="AA3" s="244" t="s">
        <v>128</v>
      </c>
      <c r="AB3" s="244" t="s">
        <v>128</v>
      </c>
      <c r="AC3" s="262" t="s">
        <v>27</v>
      </c>
      <c r="AD3" s="244" t="s">
        <v>128</v>
      </c>
      <c r="AE3" s="244" t="s">
        <v>128</v>
      </c>
      <c r="AF3" s="262" t="s">
        <v>27</v>
      </c>
      <c r="AG3" s="244" t="s">
        <v>128</v>
      </c>
      <c r="AH3" s="244" t="s">
        <v>128</v>
      </c>
      <c r="AI3" s="103"/>
      <c r="AJ3" s="103"/>
      <c r="AK3" s="104"/>
      <c r="AL3" s="297"/>
      <c r="AM3" s="205"/>
      <c r="AN3" s="194"/>
      <c r="AO3" s="106"/>
      <c r="AP3" s="106"/>
      <c r="AQ3" s="106"/>
      <c r="AR3" s="106"/>
      <c r="AS3" s="144"/>
      <c r="AT3" s="140"/>
      <c r="AU3" s="140"/>
      <c r="AV3" s="140"/>
      <c r="AW3" s="140"/>
      <c r="AX3" s="140"/>
      <c r="AY3" s="140"/>
      <c r="AZ3" s="140"/>
      <c r="BA3" s="140"/>
      <c r="BB3" s="140"/>
      <c r="BC3" s="140"/>
      <c r="BD3" s="140"/>
      <c r="BE3" s="140"/>
      <c r="BF3" s="140"/>
      <c r="BG3" s="140" t="s">
        <v>358</v>
      </c>
      <c r="BH3" s="140" t="s">
        <v>264</v>
      </c>
      <c r="BI3" s="140" t="s">
        <v>264</v>
      </c>
    </row>
    <row r="4" spans="1:62" s="48" customFormat="1" x14ac:dyDescent="0.15">
      <c r="A4" s="206" t="s">
        <v>354</v>
      </c>
      <c r="B4" s="206">
        <v>1366</v>
      </c>
      <c r="C4" s="206" t="s">
        <v>22</v>
      </c>
      <c r="D4" s="206" t="s">
        <v>138</v>
      </c>
      <c r="E4" s="206" t="s">
        <v>31</v>
      </c>
      <c r="F4" s="206" t="s">
        <v>656</v>
      </c>
      <c r="G4" s="206" t="s">
        <v>44</v>
      </c>
      <c r="H4" s="206">
        <v>9170</v>
      </c>
      <c r="I4" s="206">
        <v>5459</v>
      </c>
      <c r="J4" s="230">
        <v>37400000</v>
      </c>
      <c r="K4" s="208">
        <v>1</v>
      </c>
      <c r="L4" s="206">
        <v>7</v>
      </c>
      <c r="M4" s="198" t="s">
        <v>27</v>
      </c>
      <c r="N4" s="195" t="s">
        <v>541</v>
      </c>
      <c r="O4" s="195">
        <v>1</v>
      </c>
      <c r="P4" s="261" t="s">
        <v>27</v>
      </c>
      <c r="Q4" s="243" t="s">
        <v>128</v>
      </c>
      <c r="R4" s="262" t="s">
        <v>27</v>
      </c>
      <c r="S4" s="262">
        <v>1.5</v>
      </c>
      <c r="T4" s="262" t="s">
        <v>27</v>
      </c>
      <c r="U4" s="262">
        <v>5</v>
      </c>
      <c r="V4" s="262" t="s">
        <v>555</v>
      </c>
      <c r="W4" s="262" t="s">
        <v>27</v>
      </c>
      <c r="X4" s="262">
        <v>8</v>
      </c>
      <c r="Y4" s="262" t="s">
        <v>657</v>
      </c>
      <c r="Z4" s="262" t="s">
        <v>27</v>
      </c>
      <c r="AA4" s="244" t="s">
        <v>128</v>
      </c>
      <c r="AB4" s="262" t="s">
        <v>546</v>
      </c>
      <c r="AC4" s="262" t="s">
        <v>27</v>
      </c>
      <c r="AD4" s="244" t="s">
        <v>128</v>
      </c>
      <c r="AE4" s="244" t="s">
        <v>128</v>
      </c>
      <c r="AF4" s="262" t="s">
        <v>27</v>
      </c>
      <c r="AG4" s="244" t="s">
        <v>128</v>
      </c>
      <c r="AH4" s="244" t="s">
        <v>128</v>
      </c>
      <c r="AI4" s="103"/>
      <c r="AJ4" s="103"/>
      <c r="AK4" s="104"/>
      <c r="AL4" s="297"/>
      <c r="AM4" s="205"/>
      <c r="AN4" s="194"/>
      <c r="AO4" s="106"/>
      <c r="AP4" s="106"/>
      <c r="AQ4" s="106"/>
      <c r="AR4" s="106"/>
      <c r="AS4" s="144"/>
      <c r="AT4" s="140"/>
      <c r="AU4" s="140"/>
      <c r="AV4" s="140"/>
      <c r="AW4" s="140"/>
      <c r="AX4" s="140"/>
      <c r="AY4" s="140"/>
      <c r="AZ4" s="140"/>
      <c r="BA4" s="140"/>
      <c r="BB4" s="140"/>
      <c r="BC4" s="140"/>
      <c r="BD4" s="140"/>
      <c r="BE4" s="140"/>
      <c r="BF4" s="140"/>
      <c r="BG4" s="140"/>
      <c r="BH4" s="140"/>
      <c r="BI4" s="140" t="s">
        <v>264</v>
      </c>
    </row>
    <row r="5" spans="1:62" s="48" customFormat="1" x14ac:dyDescent="0.15">
      <c r="A5" s="206" t="s">
        <v>354</v>
      </c>
      <c r="B5" s="206">
        <v>1437</v>
      </c>
      <c r="C5" s="206" t="s">
        <v>29</v>
      </c>
      <c r="D5" s="206" t="s">
        <v>658</v>
      </c>
      <c r="E5" s="206" t="s">
        <v>46</v>
      </c>
      <c r="F5" s="206" t="s">
        <v>139</v>
      </c>
      <c r="G5" s="206" t="s">
        <v>33</v>
      </c>
      <c r="H5" s="206">
        <v>1726</v>
      </c>
      <c r="I5" s="206">
        <v>248610</v>
      </c>
      <c r="J5" s="230">
        <v>50000000</v>
      </c>
      <c r="K5" s="208">
        <v>1</v>
      </c>
      <c r="L5" s="206">
        <v>5</v>
      </c>
      <c r="M5" s="206" t="s">
        <v>27</v>
      </c>
      <c r="N5" s="196">
        <v>44802</v>
      </c>
      <c r="O5" s="195">
        <v>1</v>
      </c>
      <c r="P5" s="261" t="s">
        <v>27</v>
      </c>
      <c r="Q5" s="243" t="s">
        <v>128</v>
      </c>
      <c r="R5" s="262" t="s">
        <v>27</v>
      </c>
      <c r="S5" s="262">
        <v>1.5</v>
      </c>
      <c r="T5" s="262" t="s">
        <v>27</v>
      </c>
      <c r="U5" s="262">
        <v>12</v>
      </c>
      <c r="V5" s="262" t="s">
        <v>120</v>
      </c>
      <c r="W5" s="262" t="s">
        <v>571</v>
      </c>
      <c r="X5" s="244" t="s">
        <v>128</v>
      </c>
      <c r="Y5" s="262" t="s">
        <v>559</v>
      </c>
      <c r="Z5" s="262" t="s">
        <v>27</v>
      </c>
      <c r="AA5" s="244" t="s">
        <v>128</v>
      </c>
      <c r="AB5" s="244" t="s">
        <v>128</v>
      </c>
      <c r="AC5" s="262" t="s">
        <v>27</v>
      </c>
      <c r="AD5" s="244" t="s">
        <v>128</v>
      </c>
      <c r="AE5" s="244" t="s">
        <v>128</v>
      </c>
      <c r="AF5" s="262" t="s">
        <v>27</v>
      </c>
      <c r="AG5" s="244" t="s">
        <v>128</v>
      </c>
      <c r="AH5" s="244" t="s">
        <v>128</v>
      </c>
      <c r="AI5" s="103"/>
      <c r="AJ5" s="103"/>
      <c r="AK5" s="104"/>
      <c r="AL5" s="297"/>
      <c r="AM5" s="205"/>
      <c r="AN5" s="194"/>
      <c r="AO5" s="106"/>
      <c r="AP5" s="106"/>
      <c r="AQ5" s="106"/>
      <c r="AR5" s="106"/>
      <c r="AS5" s="144"/>
      <c r="AT5" s="140"/>
      <c r="AU5" s="140"/>
      <c r="AV5" s="140"/>
      <c r="AW5" s="140"/>
      <c r="AX5" s="140"/>
      <c r="AY5" s="140"/>
      <c r="AZ5" s="140"/>
      <c r="BA5" s="140"/>
      <c r="BB5" s="140"/>
      <c r="BC5" s="140"/>
      <c r="BD5" s="140"/>
      <c r="BE5" s="140"/>
      <c r="BF5" s="140"/>
      <c r="BG5" s="140"/>
      <c r="BH5" s="140"/>
      <c r="BI5" s="140"/>
    </row>
    <row r="6" spans="1:62" s="48" customFormat="1" x14ac:dyDescent="0.15">
      <c r="A6" s="206" t="s">
        <v>354</v>
      </c>
      <c r="B6" s="206">
        <v>1404</v>
      </c>
      <c r="C6" s="206" t="s">
        <v>29</v>
      </c>
      <c r="D6" s="206" t="s">
        <v>101</v>
      </c>
      <c r="E6" s="206" t="s">
        <v>31</v>
      </c>
      <c r="F6" s="206" t="s">
        <v>475</v>
      </c>
      <c r="G6" s="206" t="s">
        <v>44</v>
      </c>
      <c r="H6" s="206">
        <v>9170</v>
      </c>
      <c r="I6" s="206">
        <v>10115</v>
      </c>
      <c r="J6" s="230">
        <v>23900000</v>
      </c>
      <c r="K6" s="208">
        <v>1</v>
      </c>
      <c r="L6" s="206">
        <v>4</v>
      </c>
      <c r="M6" s="206" t="s">
        <v>27</v>
      </c>
      <c r="N6" s="196">
        <v>44799</v>
      </c>
      <c r="O6" s="195">
        <v>1</v>
      </c>
      <c r="P6" s="261" t="s">
        <v>27</v>
      </c>
      <c r="Q6" s="243" t="s">
        <v>128</v>
      </c>
      <c r="R6" s="262" t="s">
        <v>27</v>
      </c>
      <c r="S6" s="262">
        <v>2</v>
      </c>
      <c r="T6" s="262" t="s">
        <v>27</v>
      </c>
      <c r="U6" s="262">
        <v>4.5</v>
      </c>
      <c r="V6" s="262" t="s">
        <v>564</v>
      </c>
      <c r="W6" s="262" t="s">
        <v>27</v>
      </c>
      <c r="X6" s="262">
        <v>7</v>
      </c>
      <c r="Y6" s="262" t="s">
        <v>594</v>
      </c>
      <c r="Z6" s="262" t="s">
        <v>27</v>
      </c>
      <c r="AA6" s="244" t="s">
        <v>128</v>
      </c>
      <c r="AB6" s="244" t="s">
        <v>128</v>
      </c>
      <c r="AC6" s="262" t="s">
        <v>27</v>
      </c>
      <c r="AD6" s="244" t="s">
        <v>128</v>
      </c>
      <c r="AE6" s="244" t="s">
        <v>128</v>
      </c>
      <c r="AF6" s="262" t="s">
        <v>27</v>
      </c>
      <c r="AG6" s="244" t="s">
        <v>128</v>
      </c>
      <c r="AH6" s="244" t="s">
        <v>128</v>
      </c>
      <c r="AI6" s="103"/>
      <c r="AJ6" s="103"/>
      <c r="AK6" s="104"/>
      <c r="AL6" s="297"/>
      <c r="AM6" s="205"/>
      <c r="AN6" s="194"/>
      <c r="AO6" s="106"/>
      <c r="AP6" s="106"/>
      <c r="AQ6" s="106"/>
      <c r="AR6" s="106"/>
      <c r="AS6" s="144"/>
      <c r="AT6" s="140"/>
      <c r="AU6" s="140"/>
      <c r="AV6" s="140"/>
      <c r="AW6" s="140"/>
      <c r="AX6" s="140"/>
      <c r="AY6" s="140"/>
      <c r="AZ6" s="140"/>
      <c r="BA6" s="140"/>
      <c r="BB6" s="140"/>
      <c r="BC6" s="140"/>
      <c r="BD6" s="140"/>
      <c r="BE6" s="140"/>
      <c r="BF6" s="140"/>
      <c r="BG6" s="140" t="s">
        <v>269</v>
      </c>
      <c r="BH6" s="140" t="s">
        <v>264</v>
      </c>
      <c r="BI6" s="140" t="s">
        <v>264</v>
      </c>
    </row>
    <row r="7" spans="1:62" s="48" customFormat="1" x14ac:dyDescent="0.15">
      <c r="A7" s="206" t="s">
        <v>354</v>
      </c>
      <c r="B7" s="206">
        <v>1304</v>
      </c>
      <c r="C7" s="206" t="s">
        <v>22</v>
      </c>
      <c r="D7" s="206" t="s">
        <v>23</v>
      </c>
      <c r="E7" s="206" t="s">
        <v>38</v>
      </c>
      <c r="F7" s="206" t="s">
        <v>659</v>
      </c>
      <c r="G7" s="206" t="s">
        <v>23</v>
      </c>
      <c r="H7" s="206" t="s">
        <v>26</v>
      </c>
      <c r="I7" s="206">
        <v>184029</v>
      </c>
      <c r="J7" s="230">
        <v>14700000</v>
      </c>
      <c r="K7" s="208">
        <v>1</v>
      </c>
      <c r="L7" s="206">
        <v>6</v>
      </c>
      <c r="M7" s="206" t="s">
        <v>27</v>
      </c>
      <c r="N7" s="196">
        <v>44812</v>
      </c>
      <c r="O7" s="195">
        <v>1</v>
      </c>
      <c r="P7" s="261" t="s">
        <v>27</v>
      </c>
      <c r="Q7" s="243" t="s">
        <v>128</v>
      </c>
      <c r="R7" s="262" t="s">
        <v>27</v>
      </c>
      <c r="S7" s="262">
        <v>1.5</v>
      </c>
      <c r="T7" s="262" t="s">
        <v>27</v>
      </c>
      <c r="U7" s="262">
        <v>2.5</v>
      </c>
      <c r="V7" s="262" t="s">
        <v>544</v>
      </c>
      <c r="W7" s="262" t="s">
        <v>27</v>
      </c>
      <c r="X7" s="262">
        <v>3</v>
      </c>
      <c r="Y7" s="262" t="s">
        <v>545</v>
      </c>
      <c r="Z7" s="262" t="s">
        <v>27</v>
      </c>
      <c r="AA7" s="262">
        <v>1</v>
      </c>
      <c r="AB7" s="262" t="s">
        <v>546</v>
      </c>
      <c r="AC7" s="262" t="s">
        <v>27</v>
      </c>
      <c r="AD7" s="244" t="s">
        <v>128</v>
      </c>
      <c r="AE7" s="262" t="s">
        <v>547</v>
      </c>
      <c r="AF7" s="262" t="s">
        <v>27</v>
      </c>
      <c r="AG7" s="244" t="s">
        <v>128</v>
      </c>
      <c r="AH7" s="244" t="s">
        <v>128</v>
      </c>
      <c r="AI7" s="103"/>
      <c r="AJ7" s="103"/>
      <c r="AK7" s="104"/>
      <c r="AL7" s="297"/>
      <c r="AM7" s="205" t="s">
        <v>660</v>
      </c>
      <c r="AN7" s="194" t="s">
        <v>387</v>
      </c>
      <c r="AO7" s="106"/>
      <c r="AP7" s="106"/>
      <c r="AQ7" s="106"/>
      <c r="AR7" s="106"/>
      <c r="AS7" s="144"/>
      <c r="AT7" s="140"/>
      <c r="AU7" s="140"/>
      <c r="AV7" s="140"/>
      <c r="AW7" s="140"/>
      <c r="AX7" s="140"/>
      <c r="AY7" s="140"/>
      <c r="AZ7" s="140"/>
      <c r="BA7" s="140"/>
      <c r="BB7" s="140"/>
      <c r="BC7" s="140"/>
      <c r="BD7" s="140"/>
      <c r="BE7" s="140"/>
      <c r="BF7" s="140"/>
      <c r="BG7" s="140" t="s">
        <v>269</v>
      </c>
      <c r="BH7" s="140" t="s">
        <v>264</v>
      </c>
      <c r="BI7" s="140" t="s">
        <v>264</v>
      </c>
    </row>
    <row r="8" spans="1:62" s="48" customFormat="1" x14ac:dyDescent="0.15">
      <c r="A8" s="206" t="s">
        <v>354</v>
      </c>
      <c r="B8" s="206">
        <v>1305</v>
      </c>
      <c r="C8" s="206" t="s">
        <v>22</v>
      </c>
      <c r="D8" s="206" t="s">
        <v>23</v>
      </c>
      <c r="E8" s="206" t="s">
        <v>38</v>
      </c>
      <c r="F8" s="206" t="s">
        <v>659</v>
      </c>
      <c r="G8" s="206" t="s">
        <v>23</v>
      </c>
      <c r="H8" s="206" t="s">
        <v>26</v>
      </c>
      <c r="I8" s="206">
        <v>184862</v>
      </c>
      <c r="J8" s="230">
        <v>14700000</v>
      </c>
      <c r="K8" s="208">
        <v>1</v>
      </c>
      <c r="L8" s="206">
        <v>8</v>
      </c>
      <c r="M8" s="206" t="s">
        <v>27</v>
      </c>
      <c r="N8" s="196">
        <v>44825</v>
      </c>
      <c r="O8" s="195">
        <v>1</v>
      </c>
      <c r="P8" s="261" t="s">
        <v>27</v>
      </c>
      <c r="Q8" s="243" t="s">
        <v>128</v>
      </c>
      <c r="R8" s="262" t="s">
        <v>27</v>
      </c>
      <c r="S8" s="262">
        <v>1.5</v>
      </c>
      <c r="T8" s="262" t="s">
        <v>27</v>
      </c>
      <c r="U8" s="262">
        <v>2.5</v>
      </c>
      <c r="V8" s="262" t="s">
        <v>544</v>
      </c>
      <c r="W8" s="262" t="s">
        <v>27</v>
      </c>
      <c r="X8" s="262">
        <v>3</v>
      </c>
      <c r="Y8" s="262" t="s">
        <v>545</v>
      </c>
      <c r="Z8" s="262" t="s">
        <v>27</v>
      </c>
      <c r="AA8" s="262">
        <v>1</v>
      </c>
      <c r="AB8" s="262" t="s">
        <v>546</v>
      </c>
      <c r="AC8" s="262" t="s">
        <v>27</v>
      </c>
      <c r="AD8" s="244" t="s">
        <v>128</v>
      </c>
      <c r="AE8" s="244" t="s">
        <v>128</v>
      </c>
      <c r="AF8" s="262" t="s">
        <v>27</v>
      </c>
      <c r="AG8" s="244" t="s">
        <v>128</v>
      </c>
      <c r="AH8" s="244" t="s">
        <v>128</v>
      </c>
      <c r="AI8" s="103"/>
      <c r="AJ8" s="103"/>
      <c r="AK8" s="104"/>
      <c r="AL8" s="297"/>
      <c r="AM8" s="205" t="s">
        <v>660</v>
      </c>
      <c r="AN8" s="194" t="s">
        <v>240</v>
      </c>
      <c r="AO8" s="106"/>
      <c r="AP8" s="106"/>
      <c r="AQ8" s="106"/>
      <c r="AR8" s="106"/>
      <c r="AS8" s="144"/>
      <c r="AT8" s="140"/>
      <c r="AU8" s="140"/>
      <c r="AV8" s="140"/>
      <c r="AW8" s="140"/>
      <c r="AX8" s="140"/>
      <c r="AY8" s="140"/>
      <c r="AZ8" s="140"/>
      <c r="BA8" s="140"/>
      <c r="BB8" s="140"/>
      <c r="BC8" s="140"/>
      <c r="BD8" s="140"/>
      <c r="BE8" s="140"/>
      <c r="BF8" s="140"/>
      <c r="BG8" s="140" t="s">
        <v>269</v>
      </c>
      <c r="BH8" s="140" t="s">
        <v>264</v>
      </c>
      <c r="BI8" s="140" t="s">
        <v>264</v>
      </c>
    </row>
    <row r="9" spans="1:62" s="48" customFormat="1" x14ac:dyDescent="0.15">
      <c r="A9" s="206" t="s">
        <v>354</v>
      </c>
      <c r="B9" s="206">
        <v>1339</v>
      </c>
      <c r="C9" s="206" t="s">
        <v>22</v>
      </c>
      <c r="D9" s="206" t="s">
        <v>132</v>
      </c>
      <c r="E9" s="206" t="s">
        <v>66</v>
      </c>
      <c r="F9" s="206" t="s">
        <v>661</v>
      </c>
      <c r="G9" s="206" t="s">
        <v>44</v>
      </c>
      <c r="H9" s="206">
        <v>17280</v>
      </c>
      <c r="I9" s="206">
        <v>17840</v>
      </c>
      <c r="J9" s="230">
        <v>19000000</v>
      </c>
      <c r="K9" s="208">
        <v>1</v>
      </c>
      <c r="L9" s="206">
        <v>8</v>
      </c>
      <c r="M9" s="206" t="s">
        <v>27</v>
      </c>
      <c r="N9" s="196">
        <v>44824</v>
      </c>
      <c r="O9" s="195">
        <v>1</v>
      </c>
      <c r="P9" s="261" t="s">
        <v>27</v>
      </c>
      <c r="Q9" s="243" t="s">
        <v>128</v>
      </c>
      <c r="R9" s="262" t="s">
        <v>27</v>
      </c>
      <c r="S9" s="262">
        <v>1.5</v>
      </c>
      <c r="T9" s="262" t="s">
        <v>27</v>
      </c>
      <c r="U9" s="262">
        <v>4.5</v>
      </c>
      <c r="V9" s="262" t="s">
        <v>555</v>
      </c>
      <c r="W9" s="262" t="s">
        <v>27</v>
      </c>
      <c r="X9" s="262">
        <v>4</v>
      </c>
      <c r="Y9" s="262" t="s">
        <v>569</v>
      </c>
      <c r="Z9" s="262" t="s">
        <v>27</v>
      </c>
      <c r="AA9" s="244" t="s">
        <v>128</v>
      </c>
      <c r="AB9" s="244" t="s">
        <v>128</v>
      </c>
      <c r="AC9" s="262" t="s">
        <v>27</v>
      </c>
      <c r="AD9" s="244" t="s">
        <v>128</v>
      </c>
      <c r="AE9" s="262" t="s">
        <v>662</v>
      </c>
      <c r="AF9" s="262" t="s">
        <v>27</v>
      </c>
      <c r="AG9" s="244" t="s">
        <v>128</v>
      </c>
      <c r="AH9" s="244" t="s">
        <v>128</v>
      </c>
      <c r="AI9" s="103"/>
      <c r="AJ9" s="103"/>
      <c r="AK9" s="104"/>
      <c r="AL9" s="297"/>
      <c r="AM9" s="205"/>
      <c r="AN9" s="194"/>
      <c r="AO9" s="106"/>
      <c r="AP9" s="106"/>
      <c r="AQ9" s="106"/>
      <c r="AR9" s="106"/>
      <c r="AS9" s="144"/>
      <c r="AT9" s="140"/>
      <c r="AU9" s="140"/>
      <c r="AV9" s="140"/>
      <c r="AW9" s="140"/>
      <c r="AX9" s="140"/>
      <c r="AY9" s="140"/>
      <c r="AZ9" s="140"/>
      <c r="BA9" s="140"/>
      <c r="BB9" s="140"/>
      <c r="BC9" s="140"/>
      <c r="BD9" s="140"/>
      <c r="BE9" s="140"/>
      <c r="BF9" s="140"/>
      <c r="BG9" s="140" t="s">
        <v>269</v>
      </c>
      <c r="BH9" s="140" t="s">
        <v>264</v>
      </c>
      <c r="BI9" s="140" t="s">
        <v>264</v>
      </c>
    </row>
    <row r="10" spans="1:62" s="48" customFormat="1" x14ac:dyDescent="0.15">
      <c r="A10" s="206" t="s">
        <v>354</v>
      </c>
      <c r="B10" s="206">
        <v>1340</v>
      </c>
      <c r="C10" s="206" t="s">
        <v>22</v>
      </c>
      <c r="D10" s="206" t="s">
        <v>132</v>
      </c>
      <c r="E10" s="206" t="s">
        <v>38</v>
      </c>
      <c r="F10" s="206" t="s">
        <v>96</v>
      </c>
      <c r="G10" s="206" t="s">
        <v>44</v>
      </c>
      <c r="H10" s="206">
        <v>32360</v>
      </c>
      <c r="I10" s="206">
        <v>11772</v>
      </c>
      <c r="J10" s="230">
        <v>14900000</v>
      </c>
      <c r="K10" s="208">
        <v>1</v>
      </c>
      <c r="L10" s="206">
        <v>7</v>
      </c>
      <c r="M10" s="206" t="s">
        <v>27</v>
      </c>
      <c r="N10" s="196">
        <v>44811</v>
      </c>
      <c r="O10" s="195">
        <v>1</v>
      </c>
      <c r="P10" s="261" t="s">
        <v>27</v>
      </c>
      <c r="Q10" s="243" t="s">
        <v>128</v>
      </c>
      <c r="R10" s="262" t="s">
        <v>27</v>
      </c>
      <c r="S10" s="262">
        <v>2</v>
      </c>
      <c r="T10" s="262" t="s">
        <v>27</v>
      </c>
      <c r="U10" s="262">
        <v>8</v>
      </c>
      <c r="V10" s="262" t="s">
        <v>555</v>
      </c>
      <c r="W10" s="262" t="s">
        <v>27</v>
      </c>
      <c r="X10" s="262">
        <v>3.5</v>
      </c>
      <c r="Y10" s="262" t="s">
        <v>663</v>
      </c>
      <c r="Z10" s="262" t="s">
        <v>27</v>
      </c>
      <c r="AA10" s="244" t="s">
        <v>128</v>
      </c>
      <c r="AB10" s="244" t="s">
        <v>128</v>
      </c>
      <c r="AC10" s="262" t="s">
        <v>27</v>
      </c>
      <c r="AD10" s="244" t="s">
        <v>128</v>
      </c>
      <c r="AE10" s="244" t="s">
        <v>128</v>
      </c>
      <c r="AF10" s="262" t="s">
        <v>27</v>
      </c>
      <c r="AG10" s="244" t="s">
        <v>128</v>
      </c>
      <c r="AH10" s="244" t="s">
        <v>128</v>
      </c>
      <c r="AI10" s="103"/>
      <c r="AJ10" s="103"/>
      <c r="AK10" s="104"/>
      <c r="AL10" s="297"/>
      <c r="AM10" s="205" t="s">
        <v>664</v>
      </c>
      <c r="AN10" s="194" t="s">
        <v>240</v>
      </c>
      <c r="AO10" s="106"/>
      <c r="AP10" s="106"/>
      <c r="AQ10" s="106"/>
      <c r="AR10" s="106"/>
      <c r="AS10" s="144"/>
      <c r="AT10" s="140"/>
      <c r="AU10" s="140"/>
      <c r="AV10" s="140"/>
      <c r="AW10" s="140"/>
      <c r="AX10" s="140"/>
      <c r="AY10" s="140"/>
      <c r="AZ10" s="140"/>
      <c r="BA10" s="140"/>
      <c r="BB10" s="140"/>
      <c r="BC10" s="140"/>
      <c r="BD10" s="140"/>
      <c r="BE10" s="140"/>
      <c r="BF10" s="140"/>
      <c r="BG10" s="140" t="s">
        <v>269</v>
      </c>
      <c r="BH10" s="140" t="s">
        <v>264</v>
      </c>
      <c r="BI10" s="140" t="s">
        <v>381</v>
      </c>
    </row>
    <row r="11" spans="1:62" s="48" customFormat="1" x14ac:dyDescent="0.15">
      <c r="A11" s="206" t="s">
        <v>354</v>
      </c>
      <c r="B11" s="206">
        <v>1350</v>
      </c>
      <c r="C11" s="206" t="s">
        <v>22</v>
      </c>
      <c r="D11" s="277" t="s">
        <v>665</v>
      </c>
      <c r="E11" s="206" t="s">
        <v>66</v>
      </c>
      <c r="F11" s="206" t="s">
        <v>666</v>
      </c>
      <c r="G11" s="206" t="s">
        <v>44</v>
      </c>
      <c r="H11" s="206">
        <v>17280</v>
      </c>
      <c r="I11" s="206">
        <v>16615</v>
      </c>
      <c r="J11" s="230">
        <v>22400000</v>
      </c>
      <c r="K11" s="208">
        <v>1</v>
      </c>
      <c r="L11" s="206">
        <v>5</v>
      </c>
      <c r="M11" s="206" t="s">
        <v>27</v>
      </c>
      <c r="N11" s="196">
        <v>44806</v>
      </c>
      <c r="O11" s="195">
        <v>1</v>
      </c>
      <c r="P11" s="261" t="s">
        <v>27</v>
      </c>
      <c r="Q11" s="243" t="s">
        <v>128</v>
      </c>
      <c r="R11" s="262" t="s">
        <v>27</v>
      </c>
      <c r="S11" s="262">
        <v>2</v>
      </c>
      <c r="T11" s="262" t="s">
        <v>27</v>
      </c>
      <c r="U11" s="262">
        <v>6.5</v>
      </c>
      <c r="V11" s="262" t="s">
        <v>568</v>
      </c>
      <c r="W11" s="262" t="s">
        <v>27</v>
      </c>
      <c r="X11" s="262">
        <v>6</v>
      </c>
      <c r="Y11" s="262" t="s">
        <v>663</v>
      </c>
      <c r="Z11" s="262" t="s">
        <v>27</v>
      </c>
      <c r="AA11" s="244" t="s">
        <v>128</v>
      </c>
      <c r="AB11" s="244" t="s">
        <v>128</v>
      </c>
      <c r="AC11" s="262" t="s">
        <v>27</v>
      </c>
      <c r="AD11" s="244" t="s">
        <v>128</v>
      </c>
      <c r="AE11" s="244" t="s">
        <v>128</v>
      </c>
      <c r="AF11" s="262" t="s">
        <v>27</v>
      </c>
      <c r="AG11" s="244" t="s">
        <v>128</v>
      </c>
      <c r="AH11" s="244" t="s">
        <v>128</v>
      </c>
      <c r="AI11" s="103"/>
      <c r="AJ11" s="103"/>
      <c r="AK11" s="104"/>
      <c r="AL11" s="297"/>
      <c r="AM11" s="205"/>
      <c r="AN11" s="194"/>
      <c r="AO11" s="106"/>
      <c r="AP11" s="106"/>
      <c r="AQ11" s="106"/>
      <c r="AR11" s="106"/>
      <c r="AS11" s="144"/>
      <c r="AT11" s="140"/>
      <c r="AU11" s="140"/>
      <c r="AV11" s="140"/>
      <c r="AW11" s="140"/>
      <c r="AX11" s="140"/>
      <c r="AY11" s="140"/>
      <c r="AZ11" s="140"/>
      <c r="BA11" s="140"/>
      <c r="BB11" s="140"/>
      <c r="BC11" s="140"/>
      <c r="BD11" s="140"/>
      <c r="BE11" s="140"/>
      <c r="BF11" s="140"/>
      <c r="BG11" s="140" t="s">
        <v>269</v>
      </c>
      <c r="BH11" s="140" t="s">
        <v>264</v>
      </c>
      <c r="BI11" s="140" t="s">
        <v>264</v>
      </c>
    </row>
    <row r="12" spans="1:62" s="48" customFormat="1" x14ac:dyDescent="0.15">
      <c r="A12" s="206" t="s">
        <v>354</v>
      </c>
      <c r="B12" s="206">
        <v>1301</v>
      </c>
      <c r="C12" s="206" t="s">
        <v>22</v>
      </c>
      <c r="D12" s="206" t="s">
        <v>667</v>
      </c>
      <c r="E12" s="206" t="s">
        <v>31</v>
      </c>
      <c r="F12" s="206" t="s">
        <v>570</v>
      </c>
      <c r="G12" s="206" t="s">
        <v>40</v>
      </c>
      <c r="H12" s="206" t="s">
        <v>41</v>
      </c>
      <c r="I12" s="206">
        <v>3337</v>
      </c>
      <c r="J12" s="230">
        <v>95760000</v>
      </c>
      <c r="K12" s="208">
        <v>1</v>
      </c>
      <c r="L12" s="206">
        <v>8</v>
      </c>
      <c r="M12" s="206" t="s">
        <v>27</v>
      </c>
      <c r="N12" s="196">
        <v>44826</v>
      </c>
      <c r="O12" s="195">
        <v>1</v>
      </c>
      <c r="P12" s="261" t="s">
        <v>27</v>
      </c>
      <c r="Q12" s="243" t="s">
        <v>128</v>
      </c>
      <c r="R12" s="262" t="s">
        <v>27</v>
      </c>
      <c r="S12" s="262">
        <v>2</v>
      </c>
      <c r="T12" s="262" t="s">
        <v>27</v>
      </c>
      <c r="U12" s="262">
        <v>5</v>
      </c>
      <c r="V12" s="262" t="s">
        <v>668</v>
      </c>
      <c r="W12" s="262" t="s">
        <v>27</v>
      </c>
      <c r="X12" s="262">
        <v>7.5</v>
      </c>
      <c r="Y12" s="262" t="s">
        <v>569</v>
      </c>
      <c r="Z12" s="262" t="s">
        <v>27</v>
      </c>
      <c r="AA12" s="244" t="s">
        <v>128</v>
      </c>
      <c r="AB12" s="244" t="s">
        <v>128</v>
      </c>
      <c r="AC12" s="262" t="s">
        <v>27</v>
      </c>
      <c r="AD12" s="244" t="s">
        <v>128</v>
      </c>
      <c r="AE12" s="244" t="s">
        <v>128</v>
      </c>
      <c r="AF12" s="262" t="s">
        <v>27</v>
      </c>
      <c r="AG12" s="244" t="s">
        <v>128</v>
      </c>
      <c r="AH12" s="244" t="s">
        <v>128</v>
      </c>
      <c r="AI12" s="103"/>
      <c r="AJ12" s="103"/>
      <c r="AK12" s="104"/>
      <c r="AL12" s="297"/>
      <c r="AM12" s="205"/>
      <c r="AN12" s="194"/>
      <c r="AO12" s="106"/>
      <c r="AP12" s="106"/>
      <c r="AQ12" s="106"/>
      <c r="AR12" s="106"/>
      <c r="AS12" s="144"/>
      <c r="AT12" s="140"/>
      <c r="AU12" s="140"/>
      <c r="AV12" s="140"/>
      <c r="AW12" s="140"/>
      <c r="AX12" s="140"/>
      <c r="AY12" s="140"/>
      <c r="AZ12" s="140"/>
      <c r="BA12" s="140"/>
      <c r="BB12" s="140"/>
      <c r="BC12" s="140"/>
      <c r="BD12" s="140"/>
      <c r="BE12" s="140"/>
      <c r="BF12" s="140"/>
      <c r="BG12" s="140" t="s">
        <v>495</v>
      </c>
      <c r="BH12" s="140" t="s">
        <v>264</v>
      </c>
      <c r="BI12" s="140" t="s">
        <v>264</v>
      </c>
    </row>
    <row r="13" spans="1:62" s="48" customFormat="1" x14ac:dyDescent="0.15">
      <c r="A13" s="206" t="s">
        <v>354</v>
      </c>
      <c r="B13" s="206">
        <v>1193</v>
      </c>
      <c r="C13" s="206" t="s">
        <v>22</v>
      </c>
      <c r="D13" s="206" t="s">
        <v>23</v>
      </c>
      <c r="E13" s="206" t="s">
        <v>38</v>
      </c>
      <c r="F13" s="206" t="s">
        <v>669</v>
      </c>
      <c r="G13" s="206" t="s">
        <v>23</v>
      </c>
      <c r="H13" s="206" t="s">
        <v>356</v>
      </c>
      <c r="I13" s="206" t="s">
        <v>670</v>
      </c>
      <c r="J13" s="230" t="s">
        <v>671</v>
      </c>
      <c r="K13" s="208">
        <v>1</v>
      </c>
      <c r="L13" s="206">
        <v>3</v>
      </c>
      <c r="M13" s="206" t="s">
        <v>27</v>
      </c>
      <c r="N13" s="196">
        <v>44790</v>
      </c>
      <c r="O13" s="195">
        <v>1</v>
      </c>
      <c r="P13" s="261" t="s">
        <v>27</v>
      </c>
      <c r="Q13" s="243" t="s">
        <v>128</v>
      </c>
      <c r="R13" s="262" t="s">
        <v>27</v>
      </c>
      <c r="S13" s="262">
        <v>2</v>
      </c>
      <c r="T13" s="262" t="s">
        <v>27</v>
      </c>
      <c r="U13" s="262">
        <v>5</v>
      </c>
      <c r="V13" s="262" t="s">
        <v>544</v>
      </c>
      <c r="W13" s="262" t="s">
        <v>27</v>
      </c>
      <c r="X13" s="262">
        <v>6</v>
      </c>
      <c r="Y13" s="262" t="s">
        <v>545</v>
      </c>
      <c r="Z13" s="262" t="s">
        <v>27</v>
      </c>
      <c r="AA13" s="244" t="s">
        <v>128</v>
      </c>
      <c r="AB13" s="244" t="s">
        <v>128</v>
      </c>
      <c r="AC13" s="262" t="s">
        <v>27</v>
      </c>
      <c r="AD13" s="244" t="s">
        <v>128</v>
      </c>
      <c r="AE13" s="244" t="s">
        <v>128</v>
      </c>
      <c r="AF13" s="262" t="s">
        <v>27</v>
      </c>
      <c r="AG13" s="244" t="s">
        <v>128</v>
      </c>
      <c r="AH13" s="244" t="s">
        <v>128</v>
      </c>
      <c r="AI13" s="103"/>
      <c r="AJ13" s="103"/>
      <c r="AK13" s="104"/>
      <c r="AL13" s="297"/>
      <c r="AM13" s="205" t="s">
        <v>672</v>
      </c>
      <c r="AN13" s="194" t="s">
        <v>240</v>
      </c>
      <c r="AO13" s="106"/>
      <c r="AP13" s="106"/>
      <c r="AQ13" s="106"/>
      <c r="AR13" s="106"/>
      <c r="AS13" s="144"/>
      <c r="AT13" s="140"/>
      <c r="AU13" s="140"/>
      <c r="AV13" s="140"/>
      <c r="AW13" s="140"/>
      <c r="AX13" s="140"/>
      <c r="AY13" s="140"/>
      <c r="AZ13" s="140"/>
      <c r="BA13" s="140"/>
      <c r="BB13" s="140"/>
      <c r="BC13" s="140"/>
      <c r="BD13" s="140"/>
      <c r="BE13" s="140"/>
      <c r="BF13" s="140"/>
      <c r="BG13" s="140" t="s">
        <v>358</v>
      </c>
      <c r="BH13" s="140" t="s">
        <v>264</v>
      </c>
      <c r="BI13" s="140" t="s">
        <v>264</v>
      </c>
    </row>
    <row r="14" spans="1:62" s="48" customFormat="1" x14ac:dyDescent="0.15">
      <c r="A14" s="206" t="s">
        <v>354</v>
      </c>
      <c r="B14" s="206">
        <v>1448</v>
      </c>
      <c r="C14" s="206" t="s">
        <v>29</v>
      </c>
      <c r="D14" s="206" t="s">
        <v>45</v>
      </c>
      <c r="E14" s="206" t="s">
        <v>38</v>
      </c>
      <c r="F14" s="206" t="s">
        <v>135</v>
      </c>
      <c r="G14" s="206" t="s">
        <v>33</v>
      </c>
      <c r="H14" s="206">
        <v>1726</v>
      </c>
      <c r="I14" s="206" t="s">
        <v>670</v>
      </c>
      <c r="J14" s="230">
        <v>11000000</v>
      </c>
      <c r="K14" s="208">
        <v>1</v>
      </c>
      <c r="L14" s="206">
        <v>4</v>
      </c>
      <c r="M14" s="206" t="s">
        <v>27</v>
      </c>
      <c r="N14" s="196">
        <v>44799</v>
      </c>
      <c r="O14" s="195">
        <v>1</v>
      </c>
      <c r="P14" s="261" t="s">
        <v>27</v>
      </c>
      <c r="Q14" s="243" t="s">
        <v>128</v>
      </c>
      <c r="R14" s="262" t="s">
        <v>27</v>
      </c>
      <c r="S14" s="262">
        <v>3</v>
      </c>
      <c r="T14" s="262" t="s">
        <v>27</v>
      </c>
      <c r="U14" s="262">
        <v>3</v>
      </c>
      <c r="V14" s="262" t="s">
        <v>544</v>
      </c>
      <c r="W14" s="262" t="s">
        <v>27</v>
      </c>
      <c r="X14" s="262">
        <v>4</v>
      </c>
      <c r="Y14" s="262" t="s">
        <v>594</v>
      </c>
      <c r="Z14" s="262" t="s">
        <v>27</v>
      </c>
      <c r="AA14" s="262">
        <v>1</v>
      </c>
      <c r="AB14" s="244" t="s">
        <v>128</v>
      </c>
      <c r="AC14" s="262" t="s">
        <v>27</v>
      </c>
      <c r="AD14" s="244" t="s">
        <v>128</v>
      </c>
      <c r="AE14" s="244" t="s">
        <v>128</v>
      </c>
      <c r="AF14" s="262" t="s">
        <v>27</v>
      </c>
      <c r="AG14" s="244" t="s">
        <v>128</v>
      </c>
      <c r="AH14" s="244" t="s">
        <v>128</v>
      </c>
      <c r="AI14" s="103"/>
      <c r="AJ14" s="103"/>
      <c r="AK14" s="104"/>
      <c r="AL14" s="297"/>
      <c r="AM14" s="205"/>
      <c r="AN14" s="194"/>
      <c r="AO14" s="106"/>
      <c r="AP14" s="106"/>
      <c r="AQ14" s="106"/>
      <c r="AR14" s="106"/>
      <c r="AS14" s="144"/>
      <c r="AT14" s="140"/>
      <c r="AU14" s="140"/>
      <c r="AV14" s="140"/>
      <c r="AW14" s="140"/>
      <c r="AX14" s="140"/>
      <c r="AY14" s="140"/>
      <c r="AZ14" s="140"/>
      <c r="BA14" s="140"/>
      <c r="BB14" s="140"/>
      <c r="BC14" s="140"/>
      <c r="BD14" s="140"/>
      <c r="BE14" s="140"/>
      <c r="BF14" s="140"/>
      <c r="BG14" s="140"/>
      <c r="BH14" s="140"/>
      <c r="BI14" s="140"/>
    </row>
    <row r="15" spans="1:62" s="48" customFormat="1" x14ac:dyDescent="0.15">
      <c r="A15" s="206" t="s">
        <v>354</v>
      </c>
      <c r="B15" s="206">
        <v>1458</v>
      </c>
      <c r="C15" s="206" t="s">
        <v>29</v>
      </c>
      <c r="D15" s="206" t="s">
        <v>673</v>
      </c>
      <c r="E15" s="206" t="s">
        <v>38</v>
      </c>
      <c r="F15" s="206" t="s">
        <v>674</v>
      </c>
      <c r="G15" s="206" t="s">
        <v>44</v>
      </c>
      <c r="H15" s="206">
        <v>11180</v>
      </c>
      <c r="I15" s="206">
        <v>11286</v>
      </c>
      <c r="J15" s="230">
        <v>9500000</v>
      </c>
      <c r="K15" s="208">
        <v>1</v>
      </c>
      <c r="L15" s="206">
        <v>6</v>
      </c>
      <c r="M15" s="206" t="s">
        <v>27</v>
      </c>
      <c r="N15" s="196">
        <v>44812</v>
      </c>
      <c r="O15" s="195">
        <v>1</v>
      </c>
      <c r="P15" s="261" t="s">
        <v>27</v>
      </c>
      <c r="Q15" s="243" t="s">
        <v>128</v>
      </c>
      <c r="R15" s="262" t="s">
        <v>27</v>
      </c>
      <c r="S15" s="262">
        <v>2</v>
      </c>
      <c r="T15" s="262" t="s">
        <v>27</v>
      </c>
      <c r="U15" s="262">
        <v>2.5</v>
      </c>
      <c r="V15" s="262" t="s">
        <v>555</v>
      </c>
      <c r="W15" s="262" t="s">
        <v>27</v>
      </c>
      <c r="X15" s="262">
        <v>3</v>
      </c>
      <c r="Y15" s="262" t="s">
        <v>594</v>
      </c>
      <c r="Z15" s="262" t="s">
        <v>27</v>
      </c>
      <c r="AA15" s="262">
        <v>1</v>
      </c>
      <c r="AB15" s="262" t="s">
        <v>546</v>
      </c>
      <c r="AC15" s="262" t="s">
        <v>27</v>
      </c>
      <c r="AD15" s="244" t="s">
        <v>128</v>
      </c>
      <c r="AE15" s="244" t="s">
        <v>128</v>
      </c>
      <c r="AF15" s="262" t="s">
        <v>27</v>
      </c>
      <c r="AG15" s="244" t="s">
        <v>128</v>
      </c>
      <c r="AH15" s="244" t="s">
        <v>128</v>
      </c>
      <c r="AI15" s="103"/>
      <c r="AJ15" s="103"/>
      <c r="AK15" s="104"/>
      <c r="AL15" s="297"/>
      <c r="AM15" s="205"/>
      <c r="AN15" s="194"/>
      <c r="AO15" s="106"/>
      <c r="AP15" s="106"/>
      <c r="AQ15" s="106"/>
      <c r="AR15" s="106"/>
      <c r="AS15" s="144"/>
      <c r="AT15" s="140"/>
      <c r="AU15" s="140"/>
      <c r="AV15" s="140"/>
      <c r="AW15" s="140"/>
      <c r="AX15" s="140"/>
      <c r="AY15" s="140"/>
      <c r="AZ15" s="140"/>
      <c r="BA15" s="140"/>
      <c r="BB15" s="140"/>
      <c r="BC15" s="140"/>
      <c r="BD15" s="140"/>
      <c r="BE15" s="140"/>
      <c r="BF15" s="140"/>
      <c r="BG15" s="140"/>
      <c r="BH15" s="140"/>
      <c r="BI15" s="140"/>
    </row>
    <row r="16" spans="1:62" s="48" customFormat="1" x14ac:dyDescent="0.15">
      <c r="A16" s="206" t="s">
        <v>354</v>
      </c>
      <c r="B16" s="206">
        <v>1457</v>
      </c>
      <c r="C16" s="206" t="s">
        <v>22</v>
      </c>
      <c r="D16" s="206" t="s">
        <v>37</v>
      </c>
      <c r="E16" s="206" t="s">
        <v>24</v>
      </c>
      <c r="F16" s="206" t="s">
        <v>102</v>
      </c>
      <c r="G16" s="206" t="s">
        <v>68</v>
      </c>
      <c r="H16" s="206" t="s">
        <v>69</v>
      </c>
      <c r="I16" s="206">
        <v>7000103</v>
      </c>
      <c r="J16" s="230">
        <v>25000000</v>
      </c>
      <c r="K16" s="208">
        <v>1</v>
      </c>
      <c r="L16" s="206">
        <v>7</v>
      </c>
      <c r="M16" s="206" t="s">
        <v>27</v>
      </c>
      <c r="N16" s="196">
        <v>44823</v>
      </c>
      <c r="O16" s="195">
        <v>1</v>
      </c>
      <c r="P16" s="261" t="s">
        <v>27</v>
      </c>
      <c r="Q16" s="243" t="s">
        <v>128</v>
      </c>
      <c r="R16" s="262" t="s">
        <v>27</v>
      </c>
      <c r="S16" s="262">
        <v>3</v>
      </c>
      <c r="T16" s="262" t="s">
        <v>27</v>
      </c>
      <c r="U16" s="262">
        <v>5</v>
      </c>
      <c r="V16" s="262" t="s">
        <v>564</v>
      </c>
      <c r="W16" s="262" t="s">
        <v>27</v>
      </c>
      <c r="X16" s="244" t="s">
        <v>128</v>
      </c>
      <c r="Y16" s="244" t="s">
        <v>128</v>
      </c>
      <c r="Z16" s="262" t="s">
        <v>27</v>
      </c>
      <c r="AA16" s="262">
        <v>2</v>
      </c>
      <c r="AB16" s="262" t="s">
        <v>558</v>
      </c>
      <c r="AC16" s="262" t="s">
        <v>27</v>
      </c>
      <c r="AD16" s="244" t="s">
        <v>128</v>
      </c>
      <c r="AE16" s="262" t="s">
        <v>675</v>
      </c>
      <c r="AF16" s="262" t="s">
        <v>27</v>
      </c>
      <c r="AG16" s="244" t="s">
        <v>128</v>
      </c>
      <c r="AH16" s="244" t="s">
        <v>128</v>
      </c>
      <c r="AI16" s="103"/>
      <c r="AJ16" s="103"/>
      <c r="AK16" s="104"/>
      <c r="AL16" s="297"/>
      <c r="AM16" s="205"/>
      <c r="AN16" s="194"/>
      <c r="AO16" s="106"/>
      <c r="AP16" s="106"/>
      <c r="AQ16" s="106"/>
      <c r="AR16" s="106"/>
      <c r="AS16" s="144"/>
      <c r="AT16" s="140"/>
      <c r="AU16" s="140"/>
      <c r="AV16" s="140"/>
      <c r="AW16" s="140"/>
      <c r="AX16" s="140"/>
      <c r="AY16" s="140"/>
      <c r="AZ16" s="140"/>
      <c r="BA16" s="140"/>
      <c r="BB16" s="140"/>
      <c r="BC16" s="140"/>
      <c r="BD16" s="140"/>
      <c r="BE16" s="140"/>
      <c r="BF16" s="140"/>
      <c r="BG16" s="140"/>
      <c r="BH16" s="140"/>
      <c r="BI16" s="140"/>
    </row>
    <row r="17" spans="1:61" s="48" customFormat="1" x14ac:dyDescent="0.15">
      <c r="A17" s="206" t="s">
        <v>354</v>
      </c>
      <c r="B17" s="206">
        <v>1194</v>
      </c>
      <c r="C17" s="206" t="s">
        <v>22</v>
      </c>
      <c r="D17" s="206" t="s">
        <v>23</v>
      </c>
      <c r="E17" s="206" t="s">
        <v>38</v>
      </c>
      <c r="F17" s="206" t="s">
        <v>676</v>
      </c>
      <c r="G17" s="206" t="s">
        <v>23</v>
      </c>
      <c r="H17" s="198" t="s">
        <v>128</v>
      </c>
      <c r="I17" s="198" t="s">
        <v>128</v>
      </c>
      <c r="J17" s="230">
        <v>6500000</v>
      </c>
      <c r="K17" s="208">
        <v>1</v>
      </c>
      <c r="L17" s="206">
        <v>5</v>
      </c>
      <c r="M17" s="206" t="s">
        <v>27</v>
      </c>
      <c r="N17" s="196">
        <v>44805</v>
      </c>
      <c r="O17" s="195">
        <v>1</v>
      </c>
      <c r="P17" s="261" t="s">
        <v>27</v>
      </c>
      <c r="Q17" s="243" t="s">
        <v>128</v>
      </c>
      <c r="R17" s="262" t="s">
        <v>27</v>
      </c>
      <c r="S17" s="244" t="s">
        <v>128</v>
      </c>
      <c r="T17" s="262" t="s">
        <v>27</v>
      </c>
      <c r="U17" s="262">
        <v>5</v>
      </c>
      <c r="V17" s="262" t="s">
        <v>564</v>
      </c>
      <c r="W17" s="262" t="s">
        <v>27</v>
      </c>
      <c r="X17" s="262">
        <v>3</v>
      </c>
      <c r="Y17" s="262" t="s">
        <v>677</v>
      </c>
      <c r="Z17" s="262" t="s">
        <v>27</v>
      </c>
      <c r="AA17" s="262">
        <v>1</v>
      </c>
      <c r="AB17" s="262" t="s">
        <v>558</v>
      </c>
      <c r="AC17" s="262" t="s">
        <v>575</v>
      </c>
      <c r="AD17" s="244" t="s">
        <v>128</v>
      </c>
      <c r="AE17" s="244" t="s">
        <v>128</v>
      </c>
      <c r="AF17" s="262" t="s">
        <v>27</v>
      </c>
      <c r="AG17" s="244" t="s">
        <v>128</v>
      </c>
      <c r="AH17" s="244" t="s">
        <v>128</v>
      </c>
      <c r="AI17" s="103"/>
      <c r="AJ17" s="103"/>
      <c r="AK17" s="104"/>
      <c r="AL17" s="297"/>
      <c r="AM17" s="205"/>
      <c r="AN17" s="194"/>
      <c r="AO17" s="106"/>
      <c r="AP17" s="106"/>
      <c r="AQ17" s="106"/>
      <c r="AR17" s="106"/>
      <c r="AS17" s="144"/>
      <c r="AT17" s="140"/>
      <c r="AU17" s="140"/>
      <c r="AV17" s="140"/>
      <c r="AW17" s="140"/>
      <c r="AX17" s="140"/>
      <c r="AY17" s="140"/>
      <c r="AZ17" s="140"/>
      <c r="BA17" s="140"/>
      <c r="BB17" s="140"/>
      <c r="BC17" s="140"/>
      <c r="BD17" s="140"/>
      <c r="BE17" s="140"/>
      <c r="BF17" s="140"/>
      <c r="BG17" s="140"/>
      <c r="BH17" s="140"/>
      <c r="BI17" s="140"/>
    </row>
    <row r="18" spans="1:61" s="48" customFormat="1" x14ac:dyDescent="0.15">
      <c r="A18" s="206" t="s">
        <v>354</v>
      </c>
      <c r="B18" s="206">
        <v>1195</v>
      </c>
      <c r="C18" s="206" t="s">
        <v>22</v>
      </c>
      <c r="D18" s="206" t="s">
        <v>23</v>
      </c>
      <c r="E18" s="206" t="s">
        <v>38</v>
      </c>
      <c r="F18" s="206" t="s">
        <v>676</v>
      </c>
      <c r="G18" s="206" t="s">
        <v>23</v>
      </c>
      <c r="H18" s="198" t="s">
        <v>128</v>
      </c>
      <c r="I18" s="198" t="s">
        <v>128</v>
      </c>
      <c r="J18" s="230">
        <v>6500000</v>
      </c>
      <c r="K18" s="208">
        <v>1</v>
      </c>
      <c r="L18" s="206">
        <v>6</v>
      </c>
      <c r="M18" s="206" t="s">
        <v>27</v>
      </c>
      <c r="N18" s="196">
        <v>44810</v>
      </c>
      <c r="O18" s="195">
        <v>1</v>
      </c>
      <c r="P18" s="261" t="s">
        <v>27</v>
      </c>
      <c r="Q18" s="243" t="s">
        <v>128</v>
      </c>
      <c r="R18" s="262" t="s">
        <v>27</v>
      </c>
      <c r="S18" s="244" t="s">
        <v>128</v>
      </c>
      <c r="T18" s="262" t="s">
        <v>27</v>
      </c>
      <c r="U18" s="262">
        <v>6.5</v>
      </c>
      <c r="V18" s="262" t="s">
        <v>568</v>
      </c>
      <c r="W18" s="262" t="s">
        <v>27</v>
      </c>
      <c r="X18" s="262">
        <v>3</v>
      </c>
      <c r="Y18" s="262" t="s">
        <v>677</v>
      </c>
      <c r="Z18" s="262" t="s">
        <v>27</v>
      </c>
      <c r="AA18" s="262">
        <v>1</v>
      </c>
      <c r="AB18" s="262" t="s">
        <v>546</v>
      </c>
      <c r="AC18" s="262" t="s">
        <v>575</v>
      </c>
      <c r="AD18" s="244" t="s">
        <v>128</v>
      </c>
      <c r="AE18" s="244" t="s">
        <v>128</v>
      </c>
      <c r="AF18" s="262" t="s">
        <v>27</v>
      </c>
      <c r="AG18" s="244" t="s">
        <v>128</v>
      </c>
      <c r="AH18" s="244" t="s">
        <v>128</v>
      </c>
      <c r="AI18" s="103"/>
      <c r="AJ18" s="103"/>
      <c r="AK18" s="104"/>
      <c r="AL18" s="297"/>
      <c r="AM18" s="205"/>
      <c r="AN18" s="194"/>
      <c r="AO18" s="106"/>
      <c r="AP18" s="106"/>
      <c r="AQ18" s="106"/>
      <c r="AR18" s="106"/>
      <c r="AS18" s="144"/>
      <c r="AT18" s="140"/>
      <c r="AU18" s="140"/>
      <c r="AV18" s="140"/>
      <c r="AW18" s="140"/>
      <c r="AX18" s="140"/>
      <c r="AY18" s="140"/>
      <c r="AZ18" s="140"/>
      <c r="BA18" s="140"/>
      <c r="BB18" s="140"/>
      <c r="BC18" s="140"/>
      <c r="BD18" s="140"/>
      <c r="BE18" s="140"/>
      <c r="BF18" s="140"/>
      <c r="BG18" s="140"/>
      <c r="BH18" s="140"/>
      <c r="BI18" s="140"/>
    </row>
    <row r="19" spans="1:61" s="48" customFormat="1" x14ac:dyDescent="0.15">
      <c r="A19" s="215" t="s">
        <v>354</v>
      </c>
      <c r="B19" s="200">
        <v>1381</v>
      </c>
      <c r="C19" s="200" t="s">
        <v>22</v>
      </c>
      <c r="D19" s="200" t="s">
        <v>132</v>
      </c>
      <c r="E19" s="200" t="s">
        <v>66</v>
      </c>
      <c r="F19" s="200" t="s">
        <v>661</v>
      </c>
      <c r="G19" s="200" t="s">
        <v>44</v>
      </c>
      <c r="H19" s="215" t="s">
        <v>128</v>
      </c>
      <c r="I19" s="200">
        <v>18310</v>
      </c>
      <c r="J19" s="230">
        <v>19000000</v>
      </c>
      <c r="K19" s="201">
        <v>1</v>
      </c>
      <c r="L19" s="198">
        <v>9</v>
      </c>
      <c r="M19" s="198" t="s">
        <v>27</v>
      </c>
      <c r="N19" s="196">
        <v>44840</v>
      </c>
      <c r="O19" s="195">
        <v>1</v>
      </c>
      <c r="P19" s="261" t="s">
        <v>27</v>
      </c>
      <c r="Q19" s="243" t="s">
        <v>128</v>
      </c>
      <c r="R19" s="262" t="s">
        <v>27</v>
      </c>
      <c r="S19" s="262">
        <v>1.5</v>
      </c>
      <c r="T19" s="262" t="s">
        <v>27</v>
      </c>
      <c r="U19" s="262">
        <v>3</v>
      </c>
      <c r="V19" s="262" t="s">
        <v>564</v>
      </c>
      <c r="W19" s="262" t="s">
        <v>27</v>
      </c>
      <c r="X19" s="262">
        <v>6</v>
      </c>
      <c r="Y19" s="262" t="s">
        <v>678</v>
      </c>
      <c r="Z19" s="262" t="s">
        <v>27</v>
      </c>
      <c r="AA19" s="262">
        <v>2</v>
      </c>
      <c r="AB19" s="262" t="s">
        <v>546</v>
      </c>
      <c r="AC19" s="262" t="s">
        <v>27</v>
      </c>
      <c r="AD19" s="244" t="s">
        <v>128</v>
      </c>
      <c r="AE19" s="262" t="s">
        <v>675</v>
      </c>
      <c r="AF19" s="262" t="s">
        <v>27</v>
      </c>
      <c r="AG19" s="244" t="s">
        <v>128</v>
      </c>
      <c r="AH19" s="244" t="s">
        <v>128</v>
      </c>
      <c r="AI19" s="103"/>
      <c r="AJ19" s="103"/>
      <c r="AK19" s="104"/>
      <c r="AL19" s="297"/>
      <c r="AM19" s="205"/>
      <c r="AN19" s="194"/>
      <c r="AO19" s="106"/>
      <c r="AP19" s="106"/>
      <c r="AQ19" s="106"/>
      <c r="AR19" s="106"/>
      <c r="AS19" s="144"/>
      <c r="AT19" s="140"/>
      <c r="AU19" s="140"/>
      <c r="AV19" s="140"/>
      <c r="AW19" s="140"/>
      <c r="AX19" s="140"/>
      <c r="AY19" s="140"/>
      <c r="AZ19" s="140"/>
      <c r="BA19" s="140"/>
      <c r="BB19" s="140"/>
      <c r="BC19" s="140"/>
      <c r="BD19" s="140"/>
      <c r="BE19" s="140"/>
      <c r="BF19" s="140"/>
      <c r="BG19" s="140" t="s">
        <v>358</v>
      </c>
      <c r="BH19" s="140" t="s">
        <v>264</v>
      </c>
      <c r="BI19" s="140" t="s">
        <v>264</v>
      </c>
    </row>
    <row r="20" spans="1:61" customFormat="1" x14ac:dyDescent="0.2"/>
    <row r="21" spans="1:61" s="8" customFormat="1" x14ac:dyDescent="0.2">
      <c r="C21" s="366" t="s">
        <v>83</v>
      </c>
      <c r="D21" s="366"/>
      <c r="E21" s="43" t="s">
        <v>4</v>
      </c>
      <c r="F21" s="1"/>
      <c r="G21" s="1"/>
      <c r="H21" s="31" t="s">
        <v>679</v>
      </c>
      <c r="I21" s="30">
        <f>SUM(O2:O19)</f>
        <v>18</v>
      </c>
      <c r="J21" s="20">
        <f>SUM(J2:J19)</f>
        <v>428640000</v>
      </c>
      <c r="K21" s="24">
        <f>SUM(P21:AH21)</f>
        <v>1</v>
      </c>
      <c r="L21" s="1"/>
      <c r="M21" s="1"/>
      <c r="N21" s="21"/>
      <c r="P21" s="271">
        <v>0.03</v>
      </c>
      <c r="Q21" s="299"/>
      <c r="R21" s="271">
        <v>0.1</v>
      </c>
      <c r="S21" s="209"/>
      <c r="T21" s="436">
        <v>0.3</v>
      </c>
      <c r="U21" s="437"/>
      <c r="V21" s="437"/>
      <c r="W21" s="436">
        <v>0.3</v>
      </c>
      <c r="X21" s="437"/>
      <c r="Y21" s="437"/>
      <c r="Z21" s="436">
        <v>0.1</v>
      </c>
      <c r="AA21" s="437"/>
      <c r="AB21" s="437"/>
      <c r="AC21" s="436">
        <v>0.12</v>
      </c>
      <c r="AD21" s="437"/>
      <c r="AE21" s="437"/>
      <c r="AF21" s="436">
        <v>0.05</v>
      </c>
      <c r="AG21" s="437"/>
      <c r="AH21" s="437"/>
    </row>
    <row r="22" spans="1:61" x14ac:dyDescent="0.2">
      <c r="C22" s="23" t="s">
        <v>24</v>
      </c>
      <c r="D22" s="8">
        <f t="shared" ref="D22:D29" si="0">SUMIF($E$2:$E$19,C22,$O$2:$O$19)</f>
        <v>2</v>
      </c>
      <c r="E22" s="23" t="s">
        <v>29</v>
      </c>
      <c r="F22" s="8">
        <f>SUMIF($C$2:$C$19,E22,$O$2:$O$19)</f>
        <v>4</v>
      </c>
      <c r="M22" s="360" t="s">
        <v>406</v>
      </c>
      <c r="N22" s="360"/>
      <c r="O22" s="360"/>
    </row>
    <row r="23" spans="1:61" s="8" customFormat="1" x14ac:dyDescent="0.2">
      <c r="C23" s="23" t="s">
        <v>66</v>
      </c>
      <c r="D23" s="8">
        <f t="shared" si="0"/>
        <v>3</v>
      </c>
      <c r="E23" s="23" t="s">
        <v>22</v>
      </c>
      <c r="F23" s="8">
        <f>SUMIF($C$2:$C$19,E23,$O$2:$O$19)</f>
        <v>14</v>
      </c>
      <c r="G23" s="1"/>
      <c r="H23" s="348" t="s">
        <v>75</v>
      </c>
      <c r="I23" s="348"/>
      <c r="J23" s="20">
        <f>SUMIF(K2:K19,K23,J2:J19)</f>
        <v>428640000</v>
      </c>
      <c r="K23" s="24">
        <v>1</v>
      </c>
      <c r="L23" s="1"/>
      <c r="M23" s="48"/>
      <c r="N23" s="43">
        <f>SUMIF($K$2:$K$19,K23,$O$2:$O$19)</f>
        <v>18</v>
      </c>
      <c r="O23" s="43"/>
      <c r="P23" s="1"/>
      <c r="Q23" s="1"/>
      <c r="R23" s="1"/>
      <c r="S23" s="1"/>
      <c r="T23" s="1"/>
      <c r="U23" s="1"/>
      <c r="V23" s="1"/>
      <c r="W23" s="1"/>
      <c r="X23" s="1"/>
      <c r="Y23" s="1"/>
      <c r="Z23" s="1"/>
      <c r="AA23" s="1"/>
      <c r="AB23" s="1"/>
      <c r="AC23" s="1"/>
      <c r="AD23" s="1"/>
      <c r="AE23" s="1"/>
      <c r="AF23" s="1"/>
      <c r="AG23" s="1"/>
      <c r="AH23" s="1"/>
    </row>
    <row r="24" spans="1:61" s="8" customFormat="1" x14ac:dyDescent="0.2">
      <c r="C24" s="1" t="s">
        <v>34</v>
      </c>
      <c r="D24" s="8">
        <f t="shared" si="0"/>
        <v>0</v>
      </c>
      <c r="E24" s="1"/>
      <c r="F24" s="1"/>
      <c r="G24" s="1"/>
      <c r="H24" s="1" t="s">
        <v>76</v>
      </c>
      <c r="I24" s="2" t="s">
        <v>600</v>
      </c>
      <c r="J24" s="20">
        <f t="shared" ref="J24:J32" si="1">SUMIF($L$2:$L$19,K24,$J$2:$J$19)</f>
        <v>0</v>
      </c>
      <c r="K24" s="25">
        <v>1</v>
      </c>
      <c r="L24" s="1"/>
      <c r="M24" s="1"/>
      <c r="N24" s="21"/>
      <c r="P24" s="1"/>
      <c r="Q24" s="1"/>
      <c r="R24" s="1"/>
      <c r="S24" s="1"/>
      <c r="T24" s="1"/>
      <c r="U24" s="1"/>
      <c r="V24" s="1"/>
      <c r="W24" s="1"/>
      <c r="X24" s="1"/>
      <c r="Y24" s="1"/>
      <c r="Z24" s="1"/>
      <c r="AA24" s="1"/>
      <c r="AB24" s="1"/>
      <c r="AC24" s="1"/>
      <c r="AD24" s="1"/>
      <c r="AE24" s="1"/>
      <c r="AF24" s="1"/>
      <c r="AG24" s="1"/>
      <c r="AH24" s="1"/>
    </row>
    <row r="25" spans="1:61" s="8" customFormat="1" x14ac:dyDescent="0.2">
      <c r="C25" s="23" t="s">
        <v>31</v>
      </c>
      <c r="D25" s="8">
        <f t="shared" si="0"/>
        <v>4</v>
      </c>
      <c r="E25" s="1"/>
      <c r="F25" s="1"/>
      <c r="G25" s="1"/>
      <c r="H25" s="1" t="s">
        <v>76</v>
      </c>
      <c r="I25" s="2" t="s">
        <v>601</v>
      </c>
      <c r="J25" s="20">
        <f t="shared" si="1"/>
        <v>0</v>
      </c>
      <c r="K25" s="25">
        <v>2</v>
      </c>
      <c r="L25" s="1"/>
      <c r="M25" s="1"/>
      <c r="N25" s="21"/>
      <c r="P25" s="1"/>
      <c r="Q25" s="1"/>
      <c r="R25" s="1"/>
      <c r="S25" s="1"/>
      <c r="T25" s="1"/>
      <c r="U25" s="1"/>
      <c r="V25" s="1"/>
      <c r="W25" s="1"/>
      <c r="X25" s="1"/>
      <c r="Y25" s="1"/>
      <c r="Z25" s="1"/>
      <c r="AA25" s="1"/>
      <c r="AB25" s="1"/>
      <c r="AC25" s="1"/>
      <c r="AD25" s="1"/>
      <c r="AE25" s="1"/>
      <c r="AF25" s="1"/>
      <c r="AG25" s="1"/>
      <c r="AH25" s="1"/>
    </row>
    <row r="26" spans="1:61" s="8" customFormat="1" x14ac:dyDescent="0.2">
      <c r="C26" s="23" t="s">
        <v>85</v>
      </c>
      <c r="D26" s="8">
        <f t="shared" si="0"/>
        <v>0</v>
      </c>
      <c r="E26" s="1"/>
      <c r="F26" s="1"/>
      <c r="G26" s="1"/>
      <c r="H26" s="1" t="s">
        <v>76</v>
      </c>
      <c r="I26" s="2" t="s">
        <v>602</v>
      </c>
      <c r="J26" s="20">
        <f t="shared" si="1"/>
        <v>34800000</v>
      </c>
      <c r="K26" s="25">
        <v>3</v>
      </c>
      <c r="L26" s="1"/>
      <c r="M26" s="1"/>
      <c r="N26" s="21"/>
      <c r="P26" s="1"/>
      <c r="Q26" s="1"/>
      <c r="R26" s="1"/>
      <c r="S26" s="1"/>
      <c r="T26" s="1"/>
      <c r="U26" s="1"/>
      <c r="V26" s="1"/>
      <c r="W26" s="1"/>
      <c r="X26" s="1"/>
      <c r="Y26" s="1"/>
      <c r="Z26" s="1"/>
      <c r="AA26" s="1"/>
      <c r="AB26" s="1"/>
      <c r="AC26" s="1"/>
      <c r="AD26" s="1"/>
      <c r="AE26" s="1"/>
      <c r="AF26" s="1"/>
      <c r="AG26" s="1"/>
      <c r="AH26" s="1"/>
    </row>
    <row r="27" spans="1:61" s="8" customFormat="1" x14ac:dyDescent="0.2">
      <c r="C27" s="23" t="s">
        <v>34</v>
      </c>
      <c r="D27" s="8">
        <f t="shared" si="0"/>
        <v>0</v>
      </c>
      <c r="E27" s="1"/>
      <c r="F27" s="1"/>
      <c r="G27" s="1"/>
      <c r="H27" s="1" t="s">
        <v>76</v>
      </c>
      <c r="I27" s="2" t="s">
        <v>603</v>
      </c>
      <c r="J27" s="20">
        <f t="shared" si="1"/>
        <v>34900000</v>
      </c>
      <c r="K27" s="25">
        <v>4</v>
      </c>
      <c r="L27" s="1"/>
      <c r="M27" s="1"/>
      <c r="N27" s="21"/>
      <c r="P27" s="1"/>
      <c r="Q27" s="1"/>
      <c r="R27" s="1"/>
      <c r="S27" s="1"/>
      <c r="T27" s="1"/>
      <c r="U27" s="1"/>
      <c r="V27" s="1"/>
      <c r="W27" s="1"/>
      <c r="X27" s="1"/>
      <c r="Y27" s="1"/>
      <c r="Z27" s="1"/>
      <c r="AA27" s="1"/>
      <c r="AB27" s="1"/>
      <c r="AC27" s="1"/>
      <c r="AD27" s="1"/>
      <c r="AE27" s="1"/>
      <c r="AF27" s="1"/>
      <c r="AG27" s="1"/>
      <c r="AH27" s="1"/>
    </row>
    <row r="28" spans="1:61" x14ac:dyDescent="0.2">
      <c r="C28" s="23" t="s">
        <v>46</v>
      </c>
      <c r="D28" s="8">
        <f t="shared" si="0"/>
        <v>1</v>
      </c>
      <c r="H28" s="1" t="s">
        <v>76</v>
      </c>
      <c r="I28" s="2" t="s">
        <v>604</v>
      </c>
      <c r="J28" s="20">
        <f t="shared" si="1"/>
        <v>102480000</v>
      </c>
      <c r="K28" s="25">
        <v>5</v>
      </c>
    </row>
    <row r="29" spans="1:61" x14ac:dyDescent="0.2">
      <c r="C29" s="23" t="s">
        <v>38</v>
      </c>
      <c r="D29" s="8">
        <f t="shared" si="0"/>
        <v>8</v>
      </c>
      <c r="H29" s="1" t="s">
        <v>76</v>
      </c>
      <c r="I29" s="2" t="s">
        <v>680</v>
      </c>
      <c r="J29" s="20">
        <f t="shared" si="1"/>
        <v>30700000</v>
      </c>
      <c r="K29" s="25">
        <v>6</v>
      </c>
    </row>
    <row r="30" spans="1:61" x14ac:dyDescent="0.2">
      <c r="H30" s="1" t="s">
        <v>76</v>
      </c>
      <c r="I30" s="2" t="s">
        <v>681</v>
      </c>
      <c r="J30" s="20">
        <f t="shared" si="1"/>
        <v>77300000</v>
      </c>
      <c r="K30" s="25">
        <v>7</v>
      </c>
      <c r="L30" s="33"/>
    </row>
    <row r="31" spans="1:61" x14ac:dyDescent="0.2">
      <c r="C31" s="3" t="s">
        <v>157</v>
      </c>
      <c r="D31" s="8">
        <f>SUM(D22:D30)</f>
        <v>18</v>
      </c>
      <c r="E31" s="3" t="s">
        <v>157</v>
      </c>
      <c r="F31" s="8">
        <f>SUM(F22:F30)</f>
        <v>18</v>
      </c>
      <c r="H31" s="1" t="s">
        <v>76</v>
      </c>
      <c r="I31" s="2" t="s">
        <v>682</v>
      </c>
      <c r="J31" s="20">
        <f t="shared" si="1"/>
        <v>129460000</v>
      </c>
      <c r="K31" s="25">
        <v>8</v>
      </c>
    </row>
    <row r="32" spans="1:61" x14ac:dyDescent="0.2">
      <c r="C32" s="3"/>
      <c r="D32" s="8"/>
      <c r="E32" s="3"/>
      <c r="F32" s="8"/>
      <c r="H32" s="1" t="s">
        <v>76</v>
      </c>
      <c r="I32" s="2" t="s">
        <v>683</v>
      </c>
      <c r="J32" s="20">
        <f t="shared" si="1"/>
        <v>19000000</v>
      </c>
      <c r="K32" s="25">
        <v>9</v>
      </c>
    </row>
    <row r="33" spans="1:15" x14ac:dyDescent="0.2">
      <c r="C33" s="3"/>
      <c r="D33" s="8"/>
      <c r="E33" s="3"/>
      <c r="F33" s="8"/>
      <c r="J33" s="20"/>
      <c r="K33" s="25"/>
    </row>
    <row r="34" spans="1:15" x14ac:dyDescent="0.2">
      <c r="C34" s="3"/>
      <c r="D34" s="8"/>
      <c r="E34" s="3"/>
      <c r="F34" s="8"/>
    </row>
    <row r="35" spans="1:15" s="57" customFormat="1" ht="29.25" hidden="1" customHeight="1" x14ac:dyDescent="0.2">
      <c r="A35" s="361" t="s">
        <v>158</v>
      </c>
      <c r="B35" s="361"/>
      <c r="C35" s="361"/>
      <c r="D35" s="361"/>
      <c r="E35" s="361"/>
      <c r="F35" s="361"/>
      <c r="G35" s="361"/>
      <c r="H35" s="362"/>
      <c r="I35" s="58" t="s">
        <v>159</v>
      </c>
      <c r="J35" s="58" t="s">
        <v>160</v>
      </c>
      <c r="N35" s="59"/>
      <c r="O35" s="7"/>
    </row>
    <row r="36" spans="1:15" hidden="1" x14ac:dyDescent="0.2">
      <c r="A36" s="49">
        <v>44774</v>
      </c>
      <c r="B36" s="50" t="s">
        <v>167</v>
      </c>
      <c r="C36" s="353"/>
      <c r="D36" s="353"/>
      <c r="E36" s="353"/>
      <c r="F36" s="353"/>
      <c r="G36" s="353"/>
      <c r="H36" s="353"/>
      <c r="I36" s="51"/>
      <c r="J36" s="51"/>
    </row>
    <row r="37" spans="1:15" hidden="1" x14ac:dyDescent="0.2">
      <c r="A37" s="49">
        <f>+A36+1</f>
        <v>44775</v>
      </c>
      <c r="B37" s="50" t="s">
        <v>161</v>
      </c>
      <c r="C37" s="353"/>
      <c r="D37" s="353"/>
      <c r="E37" s="353"/>
      <c r="F37" s="353"/>
      <c r="G37" s="353"/>
      <c r="H37" s="353"/>
      <c r="I37" s="51"/>
      <c r="J37" s="51"/>
    </row>
    <row r="38" spans="1:15" hidden="1" x14ac:dyDescent="0.2">
      <c r="A38" s="49">
        <f t="shared" ref="A38:A66" si="2">+A37+1</f>
        <v>44776</v>
      </c>
      <c r="B38" s="50" t="s">
        <v>162</v>
      </c>
      <c r="C38" s="353"/>
      <c r="D38" s="353"/>
      <c r="E38" s="353"/>
      <c r="F38" s="353"/>
      <c r="G38" s="353"/>
      <c r="H38" s="353"/>
      <c r="I38" s="51"/>
      <c r="J38" s="51"/>
    </row>
    <row r="39" spans="1:15" hidden="1" x14ac:dyDescent="0.2">
      <c r="A39" s="49">
        <f t="shared" si="2"/>
        <v>44777</v>
      </c>
      <c r="B39" s="50" t="s">
        <v>163</v>
      </c>
      <c r="C39" s="353"/>
      <c r="D39" s="353"/>
      <c r="E39" s="353"/>
      <c r="F39" s="353"/>
      <c r="G39" s="353"/>
      <c r="H39" s="353"/>
      <c r="I39" s="51"/>
      <c r="J39" s="51"/>
    </row>
    <row r="40" spans="1:15" hidden="1" x14ac:dyDescent="0.2">
      <c r="A40" s="49">
        <f t="shared" si="2"/>
        <v>44778</v>
      </c>
      <c r="B40" s="50" t="s">
        <v>164</v>
      </c>
      <c r="C40" s="353"/>
      <c r="D40" s="353"/>
      <c r="E40" s="353"/>
      <c r="F40" s="353"/>
      <c r="G40" s="353"/>
      <c r="H40" s="353"/>
      <c r="I40" s="51"/>
      <c r="J40" s="51"/>
    </row>
    <row r="41" spans="1:15" hidden="1" x14ac:dyDescent="0.2">
      <c r="A41" s="234">
        <f t="shared" si="2"/>
        <v>44779</v>
      </c>
      <c r="B41" s="235" t="s">
        <v>165</v>
      </c>
      <c r="C41" s="427"/>
      <c r="D41" s="427"/>
      <c r="E41" s="427"/>
      <c r="F41" s="427"/>
      <c r="G41" s="427"/>
      <c r="H41" s="427"/>
      <c r="I41" s="236"/>
      <c r="J41" s="237"/>
    </row>
    <row r="42" spans="1:15" hidden="1" x14ac:dyDescent="0.2">
      <c r="A42" s="263">
        <f t="shared" si="2"/>
        <v>44780</v>
      </c>
      <c r="B42" s="264" t="s">
        <v>166</v>
      </c>
      <c r="C42" s="435"/>
      <c r="D42" s="435"/>
      <c r="E42" s="435"/>
      <c r="F42" s="435"/>
      <c r="G42" s="435"/>
      <c r="H42" s="435"/>
      <c r="I42" s="265"/>
      <c r="J42" s="266"/>
    </row>
    <row r="43" spans="1:15" hidden="1" x14ac:dyDescent="0.2">
      <c r="A43" s="49">
        <f t="shared" si="2"/>
        <v>44781</v>
      </c>
      <c r="B43" s="50" t="s">
        <v>167</v>
      </c>
      <c r="C43" s="353"/>
      <c r="D43" s="353"/>
      <c r="E43" s="353"/>
      <c r="F43" s="353"/>
      <c r="G43" s="353"/>
      <c r="H43" s="353"/>
      <c r="I43" s="51"/>
      <c r="J43" s="51"/>
    </row>
    <row r="44" spans="1:15" hidden="1" x14ac:dyDescent="0.2">
      <c r="A44" s="49">
        <f t="shared" si="2"/>
        <v>44782</v>
      </c>
      <c r="B44" s="50" t="s">
        <v>161</v>
      </c>
      <c r="C44" s="353"/>
      <c r="D44" s="353"/>
      <c r="E44" s="353"/>
      <c r="F44" s="353"/>
      <c r="G44" s="353"/>
      <c r="H44" s="353"/>
      <c r="I44" s="51"/>
      <c r="J44" s="51"/>
    </row>
    <row r="45" spans="1:15" hidden="1" x14ac:dyDescent="0.2">
      <c r="A45" s="49">
        <f t="shared" si="2"/>
        <v>44783</v>
      </c>
      <c r="B45" s="50" t="s">
        <v>162</v>
      </c>
      <c r="C45" s="353"/>
      <c r="D45" s="353"/>
      <c r="E45" s="353"/>
      <c r="F45" s="353"/>
      <c r="G45" s="353"/>
      <c r="H45" s="353"/>
      <c r="I45" s="51"/>
      <c r="J45" s="51"/>
    </row>
    <row r="46" spans="1:15" hidden="1" x14ac:dyDescent="0.2">
      <c r="A46" s="49">
        <f t="shared" si="2"/>
        <v>44784</v>
      </c>
      <c r="B46" s="50" t="s">
        <v>163</v>
      </c>
      <c r="C46" s="353"/>
      <c r="D46" s="353"/>
      <c r="E46" s="353"/>
      <c r="F46" s="353"/>
      <c r="G46" s="353"/>
      <c r="H46" s="353"/>
      <c r="I46" s="51"/>
      <c r="J46" s="51"/>
    </row>
    <row r="47" spans="1:15" hidden="1" x14ac:dyDescent="0.2">
      <c r="A47" s="49">
        <f t="shared" si="2"/>
        <v>44785</v>
      </c>
      <c r="B47" s="50" t="s">
        <v>164</v>
      </c>
      <c r="C47" s="353"/>
      <c r="D47" s="353"/>
      <c r="E47" s="353"/>
      <c r="F47" s="353"/>
      <c r="G47" s="353"/>
      <c r="H47" s="353"/>
      <c r="I47" s="51"/>
      <c r="J47" s="51"/>
    </row>
    <row r="48" spans="1:15" hidden="1" x14ac:dyDescent="0.2">
      <c r="A48" s="234">
        <f t="shared" si="2"/>
        <v>44786</v>
      </c>
      <c r="B48" s="235" t="s">
        <v>165</v>
      </c>
      <c r="C48" s="427"/>
      <c r="D48" s="427"/>
      <c r="E48" s="427"/>
      <c r="F48" s="427"/>
      <c r="G48" s="427"/>
      <c r="H48" s="427"/>
      <c r="I48" s="236"/>
      <c r="J48" s="237"/>
    </row>
    <row r="49" spans="1:10" hidden="1" x14ac:dyDescent="0.2">
      <c r="A49" s="263">
        <f t="shared" si="2"/>
        <v>44787</v>
      </c>
      <c r="B49" s="264" t="s">
        <v>166</v>
      </c>
      <c r="C49" s="435"/>
      <c r="D49" s="435"/>
      <c r="E49" s="435"/>
      <c r="F49" s="435"/>
      <c r="G49" s="435"/>
      <c r="H49" s="435"/>
      <c r="I49" s="265"/>
      <c r="J49" s="266"/>
    </row>
    <row r="50" spans="1:10" hidden="1" x14ac:dyDescent="0.2">
      <c r="A50" s="61">
        <f t="shared" si="2"/>
        <v>44788</v>
      </c>
      <c r="B50" s="62" t="s">
        <v>167</v>
      </c>
      <c r="C50" s="429"/>
      <c r="D50" s="429"/>
      <c r="E50" s="429"/>
      <c r="F50" s="429"/>
      <c r="G50" s="429"/>
      <c r="H50" s="429"/>
      <c r="I50" s="63"/>
      <c r="J50" s="63"/>
    </row>
    <row r="51" spans="1:10" hidden="1" x14ac:dyDescent="0.2">
      <c r="A51" s="49">
        <f t="shared" si="2"/>
        <v>44789</v>
      </c>
      <c r="B51" s="50" t="s">
        <v>161</v>
      </c>
      <c r="C51" s="353"/>
      <c r="D51" s="353"/>
      <c r="E51" s="353"/>
      <c r="F51" s="353"/>
      <c r="G51" s="353"/>
      <c r="H51" s="353"/>
      <c r="I51" s="51"/>
      <c r="J51" s="51"/>
    </row>
    <row r="52" spans="1:10" hidden="1" x14ac:dyDescent="0.2">
      <c r="A52" s="49">
        <f t="shared" si="2"/>
        <v>44790</v>
      </c>
      <c r="B52" s="50" t="s">
        <v>162</v>
      </c>
      <c r="C52" s="353"/>
      <c r="D52" s="353"/>
      <c r="E52" s="353"/>
      <c r="F52" s="353"/>
      <c r="G52" s="353"/>
      <c r="H52" s="353"/>
      <c r="I52" s="51"/>
      <c r="J52" s="51"/>
    </row>
    <row r="53" spans="1:10" hidden="1" x14ac:dyDescent="0.2">
      <c r="A53" s="49">
        <f t="shared" si="2"/>
        <v>44791</v>
      </c>
      <c r="B53" s="50" t="s">
        <v>163</v>
      </c>
      <c r="C53" s="353"/>
      <c r="D53" s="353"/>
      <c r="E53" s="353"/>
      <c r="F53" s="353"/>
      <c r="G53" s="353"/>
      <c r="H53" s="353"/>
      <c r="I53" s="51"/>
      <c r="J53" s="51"/>
    </row>
    <row r="54" spans="1:10" hidden="1" x14ac:dyDescent="0.2">
      <c r="A54" s="49">
        <f t="shared" si="2"/>
        <v>44792</v>
      </c>
      <c r="B54" s="50" t="s">
        <v>164</v>
      </c>
      <c r="C54" s="353"/>
      <c r="D54" s="353"/>
      <c r="E54" s="353"/>
      <c r="F54" s="353"/>
      <c r="G54" s="353"/>
      <c r="H54" s="353"/>
      <c r="I54" s="51"/>
      <c r="J54" s="51"/>
    </row>
    <row r="55" spans="1:10" hidden="1" x14ac:dyDescent="0.2">
      <c r="A55" s="234">
        <f t="shared" si="2"/>
        <v>44793</v>
      </c>
      <c r="B55" s="235" t="s">
        <v>165</v>
      </c>
      <c r="C55" s="427"/>
      <c r="D55" s="427"/>
      <c r="E55" s="427"/>
      <c r="F55" s="427"/>
      <c r="G55" s="427"/>
      <c r="H55" s="427"/>
      <c r="I55" s="236"/>
      <c r="J55" s="237"/>
    </row>
    <row r="56" spans="1:10" hidden="1" x14ac:dyDescent="0.2">
      <c r="A56" s="263">
        <f t="shared" si="2"/>
        <v>44794</v>
      </c>
      <c r="B56" s="264" t="s">
        <v>166</v>
      </c>
      <c r="C56" s="435"/>
      <c r="D56" s="435"/>
      <c r="E56" s="435"/>
      <c r="F56" s="435"/>
      <c r="G56" s="435"/>
      <c r="H56" s="435"/>
      <c r="I56" s="265"/>
      <c r="J56" s="266"/>
    </row>
    <row r="57" spans="1:10" hidden="1" x14ac:dyDescent="0.2">
      <c r="A57" s="49">
        <f t="shared" si="2"/>
        <v>44795</v>
      </c>
      <c r="B57" s="50" t="s">
        <v>167</v>
      </c>
      <c r="C57" s="353"/>
      <c r="D57" s="353"/>
      <c r="E57" s="353"/>
      <c r="F57" s="353"/>
      <c r="G57" s="353"/>
      <c r="H57" s="353"/>
      <c r="I57" s="51"/>
      <c r="J57" s="51"/>
    </row>
    <row r="58" spans="1:10" hidden="1" x14ac:dyDescent="0.2">
      <c r="A58" s="49">
        <f t="shared" si="2"/>
        <v>44796</v>
      </c>
      <c r="B58" s="50" t="s">
        <v>161</v>
      </c>
      <c r="C58" s="353"/>
      <c r="D58" s="353"/>
      <c r="E58" s="353"/>
      <c r="F58" s="353"/>
      <c r="G58" s="353"/>
      <c r="H58" s="353"/>
      <c r="I58" s="51"/>
      <c r="J58" s="51"/>
    </row>
    <row r="59" spans="1:10" hidden="1" x14ac:dyDescent="0.2">
      <c r="A59" s="49">
        <f t="shared" si="2"/>
        <v>44797</v>
      </c>
      <c r="B59" s="50" t="s">
        <v>162</v>
      </c>
      <c r="C59" s="353"/>
      <c r="D59" s="353"/>
      <c r="E59" s="353"/>
      <c r="F59" s="353"/>
      <c r="G59" s="353"/>
      <c r="H59" s="353"/>
      <c r="I59" s="51"/>
      <c r="J59" s="51"/>
    </row>
    <row r="60" spans="1:10" hidden="1" x14ac:dyDescent="0.2">
      <c r="A60" s="49">
        <f t="shared" si="2"/>
        <v>44798</v>
      </c>
      <c r="B60" s="50" t="s">
        <v>163</v>
      </c>
      <c r="C60" s="353"/>
      <c r="D60" s="353"/>
      <c r="E60" s="353"/>
      <c r="F60" s="353"/>
      <c r="G60" s="353"/>
      <c r="H60" s="353"/>
      <c r="I60" s="51"/>
      <c r="J60" s="51"/>
    </row>
    <row r="61" spans="1:10" hidden="1" x14ac:dyDescent="0.2">
      <c r="A61" s="49">
        <f t="shared" si="2"/>
        <v>44799</v>
      </c>
      <c r="B61" s="50" t="s">
        <v>164</v>
      </c>
      <c r="C61" s="353"/>
      <c r="D61" s="353"/>
      <c r="E61" s="353"/>
      <c r="F61" s="353"/>
      <c r="G61" s="353"/>
      <c r="H61" s="353"/>
      <c r="I61" s="51"/>
      <c r="J61" s="51"/>
    </row>
    <row r="62" spans="1:10" hidden="1" x14ac:dyDescent="0.2">
      <c r="A62" s="234">
        <f t="shared" si="2"/>
        <v>44800</v>
      </c>
      <c r="B62" s="235" t="s">
        <v>165</v>
      </c>
      <c r="C62" s="427"/>
      <c r="D62" s="427"/>
      <c r="E62" s="427"/>
      <c r="F62" s="427"/>
      <c r="G62" s="427"/>
      <c r="H62" s="427"/>
      <c r="I62" s="236"/>
      <c r="J62" s="237"/>
    </row>
    <row r="63" spans="1:10" hidden="1" x14ac:dyDescent="0.2">
      <c r="A63" s="263">
        <f t="shared" si="2"/>
        <v>44801</v>
      </c>
      <c r="B63" s="264" t="s">
        <v>166</v>
      </c>
      <c r="C63" s="435"/>
      <c r="D63" s="435"/>
      <c r="E63" s="435"/>
      <c r="F63" s="435"/>
      <c r="G63" s="435"/>
      <c r="H63" s="435"/>
      <c r="I63" s="265"/>
      <c r="J63" s="266"/>
    </row>
    <row r="64" spans="1:10" hidden="1" x14ac:dyDescent="0.2">
      <c r="A64" s="49">
        <f t="shared" si="2"/>
        <v>44802</v>
      </c>
      <c r="B64" s="50" t="s">
        <v>167</v>
      </c>
      <c r="C64" s="353"/>
      <c r="D64" s="353"/>
      <c r="E64" s="353"/>
      <c r="F64" s="353"/>
      <c r="G64" s="353"/>
      <c r="H64" s="353"/>
      <c r="I64" s="51"/>
      <c r="J64" s="51"/>
    </row>
    <row r="65" spans="1:22" hidden="1" x14ac:dyDescent="0.2">
      <c r="A65" s="49">
        <f t="shared" si="2"/>
        <v>44803</v>
      </c>
      <c r="B65" s="50" t="s">
        <v>161</v>
      </c>
      <c r="C65" s="353"/>
      <c r="D65" s="353"/>
      <c r="E65" s="353"/>
      <c r="F65" s="353"/>
      <c r="G65" s="353"/>
      <c r="H65" s="353"/>
      <c r="I65" s="51"/>
      <c r="J65" s="51"/>
    </row>
    <row r="66" spans="1:22" hidden="1" x14ac:dyDescent="0.2">
      <c r="A66" s="49">
        <f t="shared" si="2"/>
        <v>44804</v>
      </c>
      <c r="B66" s="50" t="s">
        <v>162</v>
      </c>
      <c r="C66" s="353"/>
      <c r="D66" s="353"/>
      <c r="E66" s="353"/>
      <c r="F66" s="353"/>
      <c r="G66" s="353"/>
      <c r="H66" s="353"/>
      <c r="I66" s="51"/>
      <c r="J66" s="51"/>
    </row>
    <row r="67" spans="1:22" hidden="1" x14ac:dyDescent="0.2">
      <c r="A67" s="32"/>
      <c r="I67" s="8"/>
      <c r="J67" s="8"/>
      <c r="R67" s="21"/>
      <c r="S67" s="21"/>
      <c r="T67" s="8"/>
      <c r="U67" s="8"/>
      <c r="V67" s="8"/>
    </row>
    <row r="68" spans="1:22" hidden="1" x14ac:dyDescent="0.2">
      <c r="A68" s="367" t="s">
        <v>207</v>
      </c>
      <c r="B68" s="368"/>
      <c r="C68" s="368"/>
      <c r="D68" s="368"/>
      <c r="I68" s="8"/>
      <c r="J68" s="8"/>
      <c r="R68" s="21"/>
      <c r="S68" s="21"/>
      <c r="T68" s="8"/>
      <c r="U68" s="8"/>
      <c r="V68" s="8"/>
    </row>
    <row r="69" spans="1:22" hidden="1" x14ac:dyDescent="0.2">
      <c r="A69" s="52">
        <f>COUNTIF($I$36:$I$69,B69)</f>
        <v>0</v>
      </c>
      <c r="B69" s="53" t="s">
        <v>208</v>
      </c>
      <c r="C69" s="370" t="s">
        <v>209</v>
      </c>
      <c r="D69" s="370"/>
      <c r="I69" s="8"/>
      <c r="J69" s="8"/>
      <c r="R69" s="21"/>
      <c r="S69" s="21"/>
      <c r="T69" s="8"/>
      <c r="U69" s="8"/>
      <c r="V69" s="8"/>
    </row>
    <row r="70" spans="1:22" hidden="1" x14ac:dyDescent="0.2">
      <c r="A70" s="52">
        <f t="shared" ref="A70:A79" si="3">COUNTIF($I$36:$I$69,B70)</f>
        <v>0</v>
      </c>
      <c r="B70" s="53" t="s">
        <v>172</v>
      </c>
      <c r="C70" s="370" t="s">
        <v>210</v>
      </c>
      <c r="D70" s="370"/>
      <c r="I70" s="8"/>
      <c r="J70" s="8"/>
      <c r="R70" s="21"/>
      <c r="S70" s="21"/>
      <c r="T70" s="8"/>
      <c r="U70" s="8"/>
      <c r="V70" s="8"/>
    </row>
    <row r="71" spans="1:22" hidden="1" x14ac:dyDescent="0.2">
      <c r="A71" s="52">
        <f t="shared" si="3"/>
        <v>0</v>
      </c>
      <c r="B71" s="53" t="s">
        <v>169</v>
      </c>
      <c r="C71" s="370" t="s">
        <v>211</v>
      </c>
      <c r="D71" s="370"/>
      <c r="I71" s="8"/>
      <c r="J71" s="8"/>
      <c r="R71" s="21"/>
      <c r="S71" s="21"/>
      <c r="T71" s="8"/>
      <c r="U71" s="8"/>
      <c r="V71" s="8"/>
    </row>
    <row r="72" spans="1:22" hidden="1" x14ac:dyDescent="0.2">
      <c r="A72" s="52">
        <f t="shared" si="3"/>
        <v>0</v>
      </c>
      <c r="B72" s="53" t="s">
        <v>181</v>
      </c>
      <c r="C72" s="370" t="s">
        <v>212</v>
      </c>
      <c r="D72" s="370"/>
      <c r="I72" s="8"/>
      <c r="J72" s="8"/>
      <c r="R72" s="21"/>
      <c r="S72" s="21"/>
      <c r="T72" s="8"/>
      <c r="U72" s="8"/>
      <c r="V72" s="8"/>
    </row>
    <row r="73" spans="1:22" hidden="1" x14ac:dyDescent="0.2">
      <c r="A73" s="52">
        <f t="shared" si="3"/>
        <v>0</v>
      </c>
      <c r="B73" s="53" t="s">
        <v>183</v>
      </c>
      <c r="C73" s="370" t="s">
        <v>213</v>
      </c>
      <c r="D73" s="370"/>
      <c r="I73" s="8"/>
      <c r="J73" s="8"/>
      <c r="R73" s="21"/>
      <c r="S73" s="21"/>
      <c r="T73" s="8"/>
      <c r="U73" s="8"/>
      <c r="V73" s="8"/>
    </row>
    <row r="74" spans="1:22" hidden="1" x14ac:dyDescent="0.2">
      <c r="A74" s="52">
        <f t="shared" si="3"/>
        <v>0</v>
      </c>
      <c r="B74" s="53" t="s">
        <v>214</v>
      </c>
      <c r="C74" s="370" t="s">
        <v>215</v>
      </c>
      <c r="D74" s="370"/>
      <c r="I74" s="8"/>
      <c r="J74" s="8"/>
      <c r="R74" s="21"/>
      <c r="S74" s="21"/>
      <c r="T74" s="8"/>
      <c r="U74" s="8"/>
      <c r="V74" s="8"/>
    </row>
    <row r="75" spans="1:22" hidden="1" x14ac:dyDescent="0.2">
      <c r="A75" s="52">
        <f t="shared" si="3"/>
        <v>0</v>
      </c>
      <c r="B75" s="53" t="s">
        <v>216</v>
      </c>
      <c r="C75" s="370" t="s">
        <v>217</v>
      </c>
      <c r="D75" s="370"/>
      <c r="I75" s="8"/>
      <c r="J75" s="8"/>
      <c r="R75" s="21"/>
      <c r="S75" s="21"/>
      <c r="T75" s="8"/>
      <c r="U75" s="8"/>
      <c r="V75" s="8"/>
    </row>
    <row r="76" spans="1:22" hidden="1" x14ac:dyDescent="0.2">
      <c r="A76" s="52">
        <f t="shared" si="3"/>
        <v>0</v>
      </c>
      <c r="B76" s="53" t="s">
        <v>218</v>
      </c>
      <c r="C76" s="371" t="s">
        <v>219</v>
      </c>
      <c r="D76" s="372"/>
      <c r="I76" s="8"/>
      <c r="J76" s="8"/>
      <c r="R76" s="21"/>
      <c r="S76" s="21"/>
      <c r="T76" s="8"/>
      <c r="U76" s="8"/>
      <c r="V76" s="8"/>
    </row>
    <row r="77" spans="1:22" hidden="1" x14ac:dyDescent="0.2">
      <c r="A77" s="52">
        <f t="shared" si="3"/>
        <v>0</v>
      </c>
      <c r="B77" s="53" t="s">
        <v>220</v>
      </c>
      <c r="C77" s="370" t="s">
        <v>221</v>
      </c>
      <c r="D77" s="370"/>
      <c r="I77" s="8"/>
      <c r="J77" s="8"/>
    </row>
    <row r="78" spans="1:22" hidden="1" x14ac:dyDescent="0.2">
      <c r="A78" s="52">
        <f>COUNTIF($I$36:$I$69,B78)</f>
        <v>0</v>
      </c>
      <c r="B78" s="53" t="s">
        <v>178</v>
      </c>
      <c r="C78" s="370" t="s">
        <v>222</v>
      </c>
      <c r="D78" s="370"/>
      <c r="I78" s="8"/>
      <c r="J78" s="8"/>
    </row>
    <row r="79" spans="1:22" hidden="1" x14ac:dyDescent="0.2">
      <c r="A79" s="52">
        <f t="shared" si="3"/>
        <v>0</v>
      </c>
      <c r="B79" s="53" t="s">
        <v>223</v>
      </c>
      <c r="C79" s="370" t="s">
        <v>224</v>
      </c>
      <c r="D79" s="370"/>
      <c r="I79" s="8"/>
      <c r="J79" s="8"/>
    </row>
    <row r="80" spans="1:22" hidden="1" x14ac:dyDescent="0.2">
      <c r="A80" s="54"/>
      <c r="B80" s="55"/>
      <c r="C80" s="56"/>
      <c r="D80" s="56"/>
      <c r="I80" s="8"/>
      <c r="J80" s="8"/>
    </row>
    <row r="81" spans="1:10" hidden="1" x14ac:dyDescent="0.2">
      <c r="A81" s="54"/>
      <c r="B81" s="55"/>
      <c r="C81" s="56"/>
      <c r="D81" s="56"/>
      <c r="I81" s="8"/>
      <c r="J81" s="8"/>
    </row>
    <row r="82" spans="1:10" hidden="1" x14ac:dyDescent="0.2">
      <c r="A82" s="54"/>
      <c r="B82" s="55"/>
      <c r="C82" s="56"/>
      <c r="D82" s="56"/>
      <c r="I82" s="8"/>
      <c r="J82" s="8"/>
    </row>
    <row r="83" spans="1:10" hidden="1" x14ac:dyDescent="0.2">
      <c r="A83" s="54"/>
      <c r="B83" s="55"/>
      <c r="C83" s="56"/>
      <c r="D83" s="56"/>
      <c r="I83" s="8"/>
      <c r="J83" s="8"/>
    </row>
    <row r="84" spans="1:10" hidden="1" x14ac:dyDescent="0.2">
      <c r="A84" s="32"/>
      <c r="I84" s="8"/>
      <c r="J84" s="8"/>
    </row>
    <row r="85" spans="1:10" hidden="1" x14ac:dyDescent="0.2">
      <c r="A85" s="367" t="s">
        <v>225</v>
      </c>
      <c r="B85" s="368"/>
      <c r="C85" s="368"/>
      <c r="D85" s="368"/>
      <c r="I85" s="8"/>
      <c r="J85" s="8"/>
    </row>
    <row r="86" spans="1:10" hidden="1" x14ac:dyDescent="0.2">
      <c r="A86" s="52">
        <f>COUNTIF($J$36:$J$69,B86)</f>
        <v>0</v>
      </c>
      <c r="B86" s="52" t="s">
        <v>170</v>
      </c>
      <c r="C86" s="356" t="s">
        <v>226</v>
      </c>
      <c r="D86" s="356"/>
      <c r="I86" s="8"/>
      <c r="J86" s="8"/>
    </row>
    <row r="87" spans="1:10" hidden="1" x14ac:dyDescent="0.2">
      <c r="A87" s="52">
        <f t="shared" ref="A87:A98" si="4">COUNTIF($J$36:$J$69,B87)</f>
        <v>0</v>
      </c>
      <c r="B87" s="52" t="s">
        <v>191</v>
      </c>
      <c r="C87" s="356" t="s">
        <v>227</v>
      </c>
      <c r="D87" s="356"/>
      <c r="I87" s="8"/>
      <c r="J87" s="8"/>
    </row>
    <row r="88" spans="1:10" hidden="1" x14ac:dyDescent="0.2">
      <c r="A88" s="52">
        <f t="shared" si="4"/>
        <v>0</v>
      </c>
      <c r="B88" s="52" t="s">
        <v>179</v>
      </c>
      <c r="C88" s="356" t="s">
        <v>228</v>
      </c>
      <c r="D88" s="356"/>
      <c r="I88" s="8"/>
      <c r="J88" s="8"/>
    </row>
    <row r="89" spans="1:10" hidden="1" x14ac:dyDescent="0.2">
      <c r="A89" s="52">
        <f t="shared" si="4"/>
        <v>0</v>
      </c>
      <c r="B89" s="52" t="s">
        <v>229</v>
      </c>
      <c r="C89" s="356" t="s">
        <v>230</v>
      </c>
      <c r="D89" s="356"/>
      <c r="I89" s="8"/>
      <c r="J89" s="8"/>
    </row>
    <row r="90" spans="1:10" hidden="1" x14ac:dyDescent="0.2">
      <c r="A90" s="52">
        <f t="shared" si="4"/>
        <v>0</v>
      </c>
      <c r="B90" s="52" t="s">
        <v>174</v>
      </c>
      <c r="C90" s="356" t="s">
        <v>231</v>
      </c>
      <c r="D90" s="356"/>
      <c r="I90" s="8"/>
      <c r="J90" s="8"/>
    </row>
    <row r="91" spans="1:10" hidden="1" x14ac:dyDescent="0.2">
      <c r="A91" s="52">
        <f t="shared" si="4"/>
        <v>0</v>
      </c>
      <c r="B91" s="52" t="s">
        <v>232</v>
      </c>
      <c r="C91" s="356" t="s">
        <v>233</v>
      </c>
      <c r="D91" s="356"/>
      <c r="I91" s="8"/>
      <c r="J91" s="8"/>
    </row>
    <row r="92" spans="1:10" hidden="1" x14ac:dyDescent="0.2">
      <c r="A92" s="52">
        <f t="shared" si="4"/>
        <v>0</v>
      </c>
      <c r="B92" s="52" t="s">
        <v>187</v>
      </c>
      <c r="C92" s="356" t="s">
        <v>234</v>
      </c>
      <c r="D92" s="356"/>
      <c r="I92" s="8"/>
      <c r="J92" s="8"/>
    </row>
    <row r="93" spans="1:10" hidden="1" x14ac:dyDescent="0.2">
      <c r="A93" s="52">
        <f t="shared" si="4"/>
        <v>0</v>
      </c>
      <c r="B93" s="52" t="s">
        <v>235</v>
      </c>
      <c r="C93" s="356" t="s">
        <v>236</v>
      </c>
      <c r="D93" s="356"/>
      <c r="I93" s="8"/>
      <c r="J93" s="8"/>
    </row>
    <row r="94" spans="1:10" hidden="1" x14ac:dyDescent="0.2">
      <c r="A94" s="52">
        <f t="shared" si="4"/>
        <v>0</v>
      </c>
      <c r="B94" s="52" t="s">
        <v>185</v>
      </c>
      <c r="C94" s="356" t="s">
        <v>237</v>
      </c>
      <c r="D94" s="356"/>
      <c r="I94" s="8"/>
      <c r="J94" s="8"/>
    </row>
    <row r="95" spans="1:10" hidden="1" x14ac:dyDescent="0.2">
      <c r="A95" s="52">
        <f t="shared" si="4"/>
        <v>0</v>
      </c>
      <c r="B95" s="52" t="s">
        <v>238</v>
      </c>
      <c r="C95" s="356" t="s">
        <v>239</v>
      </c>
      <c r="D95" s="356"/>
      <c r="I95" s="8"/>
      <c r="J95" s="8"/>
    </row>
    <row r="96" spans="1:10" hidden="1" x14ac:dyDescent="0.2">
      <c r="A96" s="52">
        <f>COUNTIF($J$36:$J$69,B96)</f>
        <v>0</v>
      </c>
      <c r="B96" s="52" t="s">
        <v>240</v>
      </c>
      <c r="C96" s="356" t="s">
        <v>241</v>
      </c>
      <c r="D96" s="356"/>
      <c r="I96" s="8"/>
      <c r="J96" s="8"/>
    </row>
    <row r="97" spans="1:10" hidden="1" x14ac:dyDescent="0.2">
      <c r="A97" s="52">
        <f>COUNTIF($J$36:$J$69,B97)</f>
        <v>0</v>
      </c>
      <c r="B97" s="52" t="s">
        <v>242</v>
      </c>
      <c r="C97" s="356" t="s">
        <v>243</v>
      </c>
      <c r="D97" s="356"/>
      <c r="I97" s="8"/>
      <c r="J97" s="8"/>
    </row>
    <row r="98" spans="1:10" hidden="1" x14ac:dyDescent="0.2">
      <c r="A98" s="52">
        <f t="shared" si="4"/>
        <v>0</v>
      </c>
      <c r="B98" s="52" t="s">
        <v>244</v>
      </c>
      <c r="C98" s="356" t="s">
        <v>245</v>
      </c>
      <c r="D98" s="356"/>
      <c r="I98" s="8"/>
      <c r="J98" s="8"/>
    </row>
    <row r="99" spans="1:10" hidden="1" x14ac:dyDescent="0.2">
      <c r="A99" s="32"/>
      <c r="I99" s="8"/>
      <c r="J99" s="8"/>
    </row>
    <row r="100" spans="1:10" hidden="1" x14ac:dyDescent="0.2">
      <c r="A100" s="32"/>
      <c r="I100" s="8"/>
      <c r="J100" s="8"/>
    </row>
    <row r="101" spans="1:10" x14ac:dyDescent="0.2">
      <c r="A101" s="32"/>
      <c r="I101" s="8"/>
      <c r="J101" s="8"/>
    </row>
    <row r="102" spans="1:10" x14ac:dyDescent="0.2">
      <c r="A102" s="32"/>
      <c r="I102" s="8"/>
      <c r="J102" s="8"/>
    </row>
    <row r="103" spans="1:10" x14ac:dyDescent="0.2">
      <c r="A103" s="32"/>
      <c r="I103" s="8"/>
      <c r="J103" s="8"/>
    </row>
    <row r="104" spans="1:10" x14ac:dyDescent="0.2">
      <c r="A104" s="32"/>
      <c r="I104" s="8"/>
      <c r="J104" s="8"/>
    </row>
    <row r="105" spans="1:10" ht="19" x14ac:dyDescent="0.2">
      <c r="A105" s="32"/>
      <c r="C105" s="349" t="s">
        <v>86</v>
      </c>
      <c r="D105" s="350"/>
      <c r="E105" s="350"/>
      <c r="F105" s="350"/>
      <c r="G105" s="351"/>
      <c r="I105" s="8"/>
      <c r="J105" s="8"/>
    </row>
    <row r="106" spans="1:10" ht="32" x14ac:dyDescent="0.2">
      <c r="A106" s="32"/>
      <c r="C106" s="68" t="s">
        <v>87</v>
      </c>
      <c r="D106" s="64" t="s">
        <v>88</v>
      </c>
      <c r="E106" s="64" t="s">
        <v>89</v>
      </c>
      <c r="F106" s="64" t="s">
        <v>90</v>
      </c>
      <c r="G106" s="66" t="s">
        <v>91</v>
      </c>
      <c r="I106" s="8"/>
      <c r="J106" s="8"/>
    </row>
    <row r="107" spans="1:10" x14ac:dyDescent="0.2">
      <c r="A107" s="32"/>
      <c r="C107" s="65">
        <v>105</v>
      </c>
      <c r="D107" s="65">
        <v>513</v>
      </c>
      <c r="E107" s="65">
        <v>15</v>
      </c>
      <c r="F107" s="65">
        <v>113</v>
      </c>
      <c r="G107" s="67">
        <f>SUM(B107:F107)</f>
        <v>746</v>
      </c>
      <c r="I107" s="8"/>
      <c r="J107" s="8"/>
    </row>
    <row r="108" spans="1:10" x14ac:dyDescent="0.2">
      <c r="A108" s="32"/>
      <c r="G108"/>
      <c r="I108" s="8"/>
      <c r="J108" s="8"/>
    </row>
    <row r="109" spans="1:10" x14ac:dyDescent="0.2">
      <c r="A109" s="32"/>
      <c r="I109" s="8"/>
      <c r="J109" s="8"/>
    </row>
    <row r="110" spans="1:10" x14ac:dyDescent="0.2">
      <c r="A110" s="32"/>
      <c r="I110" s="8"/>
      <c r="J110" s="8"/>
    </row>
    <row r="111" spans="1:10" x14ac:dyDescent="0.2">
      <c r="A111" s="32"/>
      <c r="I111" s="8"/>
      <c r="J111" s="8"/>
    </row>
    <row r="112" spans="1:10" x14ac:dyDescent="0.2">
      <c r="A112" s="32"/>
      <c r="I112" s="8"/>
      <c r="J112" s="8"/>
    </row>
    <row r="113" spans="1:10" x14ac:dyDescent="0.2">
      <c r="A113" s="32"/>
      <c r="I113" s="8"/>
      <c r="J113" s="8"/>
    </row>
    <row r="114" spans="1:10" x14ac:dyDescent="0.2">
      <c r="A114" s="32"/>
      <c r="I114" s="8"/>
      <c r="J114" s="8"/>
    </row>
    <row r="115" spans="1:10" x14ac:dyDescent="0.2">
      <c r="A115" s="32"/>
      <c r="I115" s="8"/>
      <c r="J115" s="8"/>
    </row>
    <row r="116" spans="1:10" x14ac:dyDescent="0.2">
      <c r="A116" s="32"/>
      <c r="I116" s="8"/>
      <c r="J116" s="8"/>
    </row>
    <row r="117" spans="1:10" x14ac:dyDescent="0.2">
      <c r="A117" s="32"/>
      <c r="I117" s="8"/>
      <c r="J117" s="8"/>
    </row>
    <row r="118" spans="1:10" x14ac:dyDescent="0.2">
      <c r="A118" s="32"/>
      <c r="I118" s="8"/>
      <c r="J118" s="8"/>
    </row>
    <row r="119" spans="1:10" x14ac:dyDescent="0.2">
      <c r="A119" s="32"/>
      <c r="I119" s="8"/>
      <c r="J119" s="8"/>
    </row>
    <row r="120" spans="1:10" x14ac:dyDescent="0.2">
      <c r="A120" s="32"/>
      <c r="I120" s="8"/>
      <c r="J120" s="8"/>
    </row>
    <row r="121" spans="1:10" x14ac:dyDescent="0.2">
      <c r="A121" s="32"/>
      <c r="I121" s="8"/>
      <c r="J121" s="8"/>
    </row>
    <row r="122" spans="1:10" x14ac:dyDescent="0.2">
      <c r="A122" s="32"/>
      <c r="I122" s="8"/>
      <c r="J122" s="8"/>
    </row>
    <row r="123" spans="1:10" x14ac:dyDescent="0.2">
      <c r="A123" s="32"/>
      <c r="I123" s="8"/>
      <c r="J123" s="8"/>
    </row>
    <row r="124" spans="1:10" x14ac:dyDescent="0.2">
      <c r="A124" s="32"/>
      <c r="I124" s="8"/>
      <c r="J124" s="8"/>
    </row>
    <row r="125" spans="1:10" x14ac:dyDescent="0.2">
      <c r="A125" s="32"/>
      <c r="I125" s="8"/>
      <c r="J125" s="8"/>
    </row>
    <row r="126" spans="1:10" x14ac:dyDescent="0.2">
      <c r="A126" s="32"/>
      <c r="I126" s="8"/>
      <c r="J126" s="8"/>
    </row>
    <row r="127" spans="1:10" x14ac:dyDescent="0.2">
      <c r="A127" s="32"/>
      <c r="I127" s="8"/>
      <c r="J127" s="8"/>
    </row>
    <row r="128" spans="1:10" x14ac:dyDescent="0.2">
      <c r="A128" s="32"/>
      <c r="I128" s="8"/>
      <c r="J128" s="8"/>
    </row>
    <row r="129" spans="1:10" x14ac:dyDescent="0.2">
      <c r="A129" s="32"/>
      <c r="I129" s="8"/>
      <c r="J129" s="8"/>
    </row>
    <row r="130" spans="1:10" x14ac:dyDescent="0.2">
      <c r="A130" s="32"/>
      <c r="I130" s="8"/>
      <c r="J130" s="8"/>
    </row>
    <row r="131" spans="1:10" x14ac:dyDescent="0.2">
      <c r="A131" s="32"/>
      <c r="I131" s="8"/>
      <c r="J131" s="8"/>
    </row>
    <row r="132" spans="1:10" x14ac:dyDescent="0.2">
      <c r="A132" s="32"/>
      <c r="I132" s="8"/>
      <c r="J132" s="8"/>
    </row>
    <row r="133" spans="1:10" x14ac:dyDescent="0.2">
      <c r="A133" s="32"/>
      <c r="I133" s="8"/>
      <c r="J133" s="8"/>
    </row>
    <row r="134" spans="1:10" x14ac:dyDescent="0.2">
      <c r="A134" s="32"/>
      <c r="I134" s="8"/>
      <c r="J134" s="8"/>
    </row>
    <row r="135" spans="1:10" x14ac:dyDescent="0.2">
      <c r="A135" s="32"/>
      <c r="I135" s="8"/>
      <c r="J135" s="8"/>
    </row>
    <row r="136" spans="1:10" x14ac:dyDescent="0.2">
      <c r="A136" s="32"/>
      <c r="I136" s="8"/>
      <c r="J136" s="8"/>
    </row>
    <row r="137" spans="1:10" x14ac:dyDescent="0.2">
      <c r="A137" s="32"/>
      <c r="I137" s="8"/>
      <c r="J137" s="8"/>
    </row>
    <row r="138" spans="1:10" x14ac:dyDescent="0.2">
      <c r="A138" s="32"/>
      <c r="I138" s="8"/>
      <c r="J138" s="8"/>
    </row>
    <row r="139" spans="1:10" x14ac:dyDescent="0.2">
      <c r="A139" s="32"/>
      <c r="I139" s="8"/>
      <c r="J139" s="8"/>
    </row>
    <row r="140" spans="1:10" x14ac:dyDescent="0.2">
      <c r="A140" s="32"/>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x14ac:dyDescent="0.2">
      <c r="A145" s="32"/>
      <c r="I145" s="8"/>
      <c r="J145" s="8"/>
    </row>
    <row r="146" spans="1:10" x14ac:dyDescent="0.2">
      <c r="A146" s="32"/>
      <c r="I146" s="8"/>
      <c r="J146" s="8"/>
    </row>
    <row r="147" spans="1:10" x14ac:dyDescent="0.2">
      <c r="A147" s="32"/>
      <c r="I147" s="8"/>
      <c r="J147" s="8"/>
    </row>
    <row r="148" spans="1:10" x14ac:dyDescent="0.2">
      <c r="A148" s="32"/>
      <c r="I148" s="8"/>
      <c r="J148" s="8"/>
    </row>
    <row r="149" spans="1:10" x14ac:dyDescent="0.2">
      <c r="A149" s="32"/>
      <c r="I149" s="8"/>
      <c r="J149" s="8"/>
    </row>
    <row r="150" spans="1:10" x14ac:dyDescent="0.2">
      <c r="A150" s="32"/>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row>
    <row r="184" spans="1:10" x14ac:dyDescent="0.2">
      <c r="A184" s="32"/>
    </row>
    <row r="185" spans="1:10" x14ac:dyDescent="0.2">
      <c r="A185" s="32"/>
    </row>
    <row r="186" spans="1:10" x14ac:dyDescent="0.2">
      <c r="A186" s="32"/>
    </row>
    <row r="187" spans="1:10" x14ac:dyDescent="0.2">
      <c r="A187" s="32"/>
    </row>
    <row r="188" spans="1:10" x14ac:dyDescent="0.2">
      <c r="A188" s="32"/>
    </row>
    <row r="189" spans="1:10" x14ac:dyDescent="0.2">
      <c r="A189" s="32"/>
    </row>
    <row r="190" spans="1:10" x14ac:dyDescent="0.2">
      <c r="A190" s="32"/>
    </row>
    <row r="191" spans="1:10" x14ac:dyDescent="0.2">
      <c r="A191" s="32"/>
    </row>
    <row r="192" spans="1:10" x14ac:dyDescent="0.2">
      <c r="A192" s="32"/>
    </row>
    <row r="193" spans="1:1" x14ac:dyDescent="0.2">
      <c r="A193" s="32"/>
    </row>
    <row r="194" spans="1:1" x14ac:dyDescent="0.2">
      <c r="A194" s="32"/>
    </row>
    <row r="195" spans="1:1" x14ac:dyDescent="0.2">
      <c r="A195" s="32"/>
    </row>
    <row r="196" spans="1:1" x14ac:dyDescent="0.2">
      <c r="A196" s="32"/>
    </row>
    <row r="197" spans="1:1" x14ac:dyDescent="0.2">
      <c r="A197" s="32"/>
    </row>
    <row r="198" spans="1:1" x14ac:dyDescent="0.2">
      <c r="A198" s="32"/>
    </row>
    <row r="199" spans="1:1" x14ac:dyDescent="0.2">
      <c r="A199" s="32"/>
    </row>
    <row r="200" spans="1:1" x14ac:dyDescent="0.2">
      <c r="A200" s="32"/>
    </row>
    <row r="201" spans="1:1" x14ac:dyDescent="0.2">
      <c r="A201" s="32"/>
    </row>
    <row r="202" spans="1:1" x14ac:dyDescent="0.2">
      <c r="A202" s="32"/>
    </row>
    <row r="203" spans="1:1" x14ac:dyDescent="0.2">
      <c r="A203" s="32"/>
    </row>
    <row r="204" spans="1:1" x14ac:dyDescent="0.2">
      <c r="A204" s="32"/>
    </row>
    <row r="205" spans="1:1" x14ac:dyDescent="0.2">
      <c r="A205" s="32"/>
    </row>
    <row r="206" spans="1:1" x14ac:dyDescent="0.2">
      <c r="A206" s="32"/>
    </row>
    <row r="207" spans="1:1" x14ac:dyDescent="0.2">
      <c r="A207" s="32"/>
    </row>
    <row r="208" spans="1:1" x14ac:dyDescent="0.2">
      <c r="A208" s="32"/>
    </row>
  </sheetData>
  <autoFilter ref="A1:AG1" xr:uid="{6BFE2AAB-9FCC-4316-AF92-8114DF248D04}"/>
  <mergeCells count="67">
    <mergeCell ref="T21:V21"/>
    <mergeCell ref="W21:Y21"/>
    <mergeCell ref="Z21:AB21"/>
    <mergeCell ref="AC21:AE21"/>
    <mergeCell ref="AF21:AH21"/>
    <mergeCell ref="C37:H37"/>
    <mergeCell ref="C105:G105"/>
    <mergeCell ref="C21:D21"/>
    <mergeCell ref="C61:H61"/>
    <mergeCell ref="C50:H50"/>
    <mergeCell ref="C51:H51"/>
    <mergeCell ref="C52:H52"/>
    <mergeCell ref="C53:H53"/>
    <mergeCell ref="C54:H54"/>
    <mergeCell ref="C55:H55"/>
    <mergeCell ref="C56:H56"/>
    <mergeCell ref="C57:H57"/>
    <mergeCell ref="C58:H58"/>
    <mergeCell ref="C59:H59"/>
    <mergeCell ref="C60:H60"/>
    <mergeCell ref="C62:H62"/>
    <mergeCell ref="M22:O22"/>
    <mergeCell ref="H23:I23"/>
    <mergeCell ref="C36:H36"/>
    <mergeCell ref="C49:H49"/>
    <mergeCell ref="C38:H38"/>
    <mergeCell ref="C39:H39"/>
    <mergeCell ref="C40:H40"/>
    <mergeCell ref="C41:H41"/>
    <mergeCell ref="C42:H42"/>
    <mergeCell ref="C43:H43"/>
    <mergeCell ref="C44:H44"/>
    <mergeCell ref="C45:H45"/>
    <mergeCell ref="C46:H46"/>
    <mergeCell ref="C47:H47"/>
    <mergeCell ref="C48:H48"/>
    <mergeCell ref="A35:H35"/>
    <mergeCell ref="C63:H63"/>
    <mergeCell ref="C64:H64"/>
    <mergeCell ref="C65:H65"/>
    <mergeCell ref="C66:H66"/>
    <mergeCell ref="A68:D68"/>
    <mergeCell ref="C89:D89"/>
    <mergeCell ref="C90:D90"/>
    <mergeCell ref="C78:D78"/>
    <mergeCell ref="A85:D85"/>
    <mergeCell ref="C69:D69"/>
    <mergeCell ref="C70:D70"/>
    <mergeCell ref="C71:D71"/>
    <mergeCell ref="C72:D72"/>
    <mergeCell ref="C73:D73"/>
    <mergeCell ref="C98:D98"/>
    <mergeCell ref="C96:D96"/>
    <mergeCell ref="C97:D97"/>
    <mergeCell ref="C74:D74"/>
    <mergeCell ref="C92:D92"/>
    <mergeCell ref="C93:D93"/>
    <mergeCell ref="C94:D94"/>
    <mergeCell ref="C95:D95"/>
    <mergeCell ref="C91:D91"/>
    <mergeCell ref="C75:D75"/>
    <mergeCell ref="C76:D76"/>
    <mergeCell ref="C77:D77"/>
    <mergeCell ref="C79:D79"/>
    <mergeCell ref="C86:D86"/>
    <mergeCell ref="C87:D87"/>
    <mergeCell ref="C88:D88"/>
  </mergeCells>
  <dataValidations count="2">
    <dataValidation type="list" allowBlank="1" showInputMessage="1" showErrorMessage="1" sqref="J36:J66" xr:uid="{128022FB-4262-437A-AA5A-C587A871554B}">
      <formula1>$B$85:$B$98</formula1>
    </dataValidation>
    <dataValidation type="list" allowBlank="1" showInputMessage="1" showErrorMessage="1" sqref="I36:I66" xr:uid="{F4D57D07-EA47-4306-ACCE-8661353332B0}">
      <formula1>$B$69:$B$79</formula1>
    </dataValidation>
  </dataValidation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6FF60-3246-4136-9A92-33CB3A068188}">
  <sheetPr codeName="Hoja11"/>
  <dimension ref="A1:BI236"/>
  <sheetViews>
    <sheetView zoomScale="85" zoomScaleNormal="85" workbookViewId="0">
      <pane xSplit="11" ySplit="1" topLeftCell="L5" activePane="bottomRight" state="frozen"/>
      <selection pane="topRight"/>
      <selection pane="bottomLeft" activeCell="F1" sqref="F1"/>
      <selection pane="bottomRight"/>
    </sheetView>
  </sheetViews>
  <sheetFormatPr baseColWidth="10" defaultColWidth="11.5" defaultRowHeight="15" customHeight="1" x14ac:dyDescent="0.2"/>
  <cols>
    <col min="1" max="1" width="10.5" style="8" customWidth="1"/>
    <col min="2" max="2" width="11.5" style="8" customWidth="1"/>
    <col min="3" max="3" width="23.5" style="1" customWidth="1"/>
    <col min="4" max="4" width="23.33203125" style="1" customWidth="1"/>
    <col min="5" max="5" width="23" style="1" customWidth="1"/>
    <col min="6" max="6" width="26.83203125" style="1" customWidth="1"/>
    <col min="7" max="7" width="15.5" style="1" customWidth="1"/>
    <col min="8" max="9" width="11.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31.5" style="1" bestFit="1" customWidth="1"/>
    <col min="23" max="23" width="14.83203125" style="1" bestFit="1" customWidth="1"/>
    <col min="24" max="24" width="4.6640625" style="1" customWidth="1"/>
    <col min="25" max="25" width="23.5" style="1" customWidth="1"/>
    <col min="26" max="26" width="13.5" style="1" customWidth="1"/>
    <col min="27" max="27" width="4.6640625" style="1" customWidth="1"/>
    <col min="28" max="28" width="13.5" style="1" customWidth="1"/>
    <col min="29" max="29" width="16.6640625" style="1" customWidth="1"/>
    <col min="30" max="30" width="4.6640625" style="1" customWidth="1"/>
    <col min="31" max="31" width="26.6640625" style="1" customWidth="1"/>
    <col min="32" max="32" width="13.33203125" style="1" customWidth="1"/>
    <col min="33" max="33" width="4.6640625" style="1" customWidth="1"/>
    <col min="34" max="38" width="11.5" style="1"/>
    <col min="39" max="39" width="15.5" style="1" bestFit="1" customWidth="1"/>
    <col min="40" max="60" width="11.5" style="1"/>
    <col min="61" max="61" width="11.5" style="8"/>
    <col min="62" max="16384" width="11.5" style="1"/>
  </cols>
  <sheetData>
    <row r="1" spans="1:61"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246</v>
      </c>
      <c r="AO1" s="150" t="s">
        <v>123</v>
      </c>
      <c r="AP1" s="150" t="s">
        <v>124</v>
      </c>
      <c r="AQ1" s="150" t="s">
        <v>125</v>
      </c>
      <c r="AR1" s="150" t="s">
        <v>126</v>
      </c>
      <c r="AS1" s="302" t="s">
        <v>247</v>
      </c>
      <c r="AT1" s="303" t="s">
        <v>248</v>
      </c>
      <c r="AU1" s="303" t="s">
        <v>249</v>
      </c>
      <c r="AV1" s="303" t="s">
        <v>248</v>
      </c>
      <c r="AW1" s="303" t="s">
        <v>250</v>
      </c>
      <c r="AX1" s="303" t="s">
        <v>248</v>
      </c>
      <c r="AY1" s="304" t="s">
        <v>251</v>
      </c>
      <c r="AZ1" s="304" t="s">
        <v>248</v>
      </c>
      <c r="BA1" s="304" t="s">
        <v>252</v>
      </c>
      <c r="BB1" s="304" t="s">
        <v>248</v>
      </c>
      <c r="BC1" s="304" t="s">
        <v>253</v>
      </c>
      <c r="BD1" s="304" t="s">
        <v>248</v>
      </c>
      <c r="BE1" s="304" t="s">
        <v>254</v>
      </c>
      <c r="BF1" s="304" t="s">
        <v>246</v>
      </c>
      <c r="BG1" s="304" t="s">
        <v>255</v>
      </c>
      <c r="BH1" s="304" t="s">
        <v>256</v>
      </c>
      <c r="BI1" s="304" t="s">
        <v>257</v>
      </c>
    </row>
    <row r="2" spans="1:61" s="48" customFormat="1" x14ac:dyDescent="0.15">
      <c r="A2" s="209">
        <v>1</v>
      </c>
      <c r="B2" s="8">
        <v>1312</v>
      </c>
      <c r="C2" s="209" t="s">
        <v>29</v>
      </c>
      <c r="D2" s="209" t="s">
        <v>684</v>
      </c>
      <c r="E2" s="209" t="s">
        <v>66</v>
      </c>
      <c r="F2" s="209" t="s">
        <v>685</v>
      </c>
      <c r="G2" s="209" t="s">
        <v>23</v>
      </c>
      <c r="H2" s="209" t="s">
        <v>26</v>
      </c>
      <c r="I2" s="209">
        <v>180593</v>
      </c>
      <c r="J2" s="35">
        <v>55700000</v>
      </c>
      <c r="K2" s="271">
        <v>0.91</v>
      </c>
      <c r="L2" s="198" t="s">
        <v>128</v>
      </c>
      <c r="M2" s="198" t="s">
        <v>128</v>
      </c>
      <c r="N2" s="197" t="s">
        <v>128</v>
      </c>
      <c r="O2" s="195">
        <v>1</v>
      </c>
      <c r="P2" s="240" t="s">
        <v>27</v>
      </c>
      <c r="Q2" s="281" t="s">
        <v>128</v>
      </c>
      <c r="R2" s="240" t="s">
        <v>27</v>
      </c>
      <c r="S2" s="240">
        <v>2</v>
      </c>
      <c r="T2" s="240" t="s">
        <v>27</v>
      </c>
      <c r="U2" s="240">
        <v>9.5</v>
      </c>
      <c r="V2" s="240" t="s">
        <v>555</v>
      </c>
      <c r="W2" s="240" t="s">
        <v>27</v>
      </c>
      <c r="X2" s="240">
        <v>25</v>
      </c>
      <c r="Y2" s="240" t="s">
        <v>686</v>
      </c>
      <c r="Z2" s="240" t="s">
        <v>27</v>
      </c>
      <c r="AA2" s="281" t="s">
        <v>128</v>
      </c>
      <c r="AB2" s="281" t="s">
        <v>128</v>
      </c>
      <c r="AC2" s="240" t="s">
        <v>571</v>
      </c>
      <c r="AD2" s="281" t="s">
        <v>128</v>
      </c>
      <c r="AE2" s="240" t="s">
        <v>687</v>
      </c>
      <c r="AF2" s="240" t="s">
        <v>27</v>
      </c>
      <c r="AG2" s="281" t="s">
        <v>128</v>
      </c>
      <c r="AH2" s="281" t="s">
        <v>128</v>
      </c>
      <c r="AI2" s="205"/>
      <c r="AJ2" s="140"/>
      <c r="AK2" s="305"/>
      <c r="AL2" s="306"/>
      <c r="AM2" s="228" t="s">
        <v>688</v>
      </c>
      <c r="AN2" s="140" t="s">
        <v>240</v>
      </c>
      <c r="AO2" s="140"/>
      <c r="AP2" s="140"/>
      <c r="AQ2" s="140"/>
      <c r="AR2" s="140"/>
      <c r="AS2" s="140"/>
      <c r="AT2" s="140"/>
      <c r="AU2" s="140"/>
      <c r="AV2" s="228"/>
      <c r="AW2" s="228"/>
      <c r="AX2" s="228"/>
      <c r="AY2" s="228"/>
      <c r="AZ2" s="228"/>
      <c r="BA2" s="228"/>
      <c r="BB2" s="228"/>
      <c r="BC2" s="140"/>
      <c r="BD2" s="140"/>
      <c r="BE2" s="140"/>
      <c r="BF2" s="140"/>
      <c r="BG2" s="140" t="s">
        <v>358</v>
      </c>
      <c r="BH2" s="140" t="s">
        <v>264</v>
      </c>
      <c r="BI2" s="140" t="s">
        <v>264</v>
      </c>
    </row>
    <row r="3" spans="1:61" s="48" customFormat="1" x14ac:dyDescent="0.15">
      <c r="A3" s="206" t="s">
        <v>354</v>
      </c>
      <c r="B3" s="26">
        <v>1384</v>
      </c>
      <c r="C3" s="200" t="s">
        <v>22</v>
      </c>
      <c r="D3" s="200" t="s">
        <v>48</v>
      </c>
      <c r="E3" s="200" t="s">
        <v>46</v>
      </c>
      <c r="F3" s="200" t="s">
        <v>492</v>
      </c>
      <c r="G3" s="200" t="s">
        <v>130</v>
      </c>
      <c r="H3" s="200">
        <v>33400</v>
      </c>
      <c r="I3" s="200">
        <v>907553</v>
      </c>
      <c r="J3" s="42">
        <v>78000000</v>
      </c>
      <c r="K3" s="201">
        <v>1</v>
      </c>
      <c r="L3" s="215" t="s">
        <v>128</v>
      </c>
      <c r="M3" s="215" t="s">
        <v>27</v>
      </c>
      <c r="N3" s="196">
        <v>44886</v>
      </c>
      <c r="O3" s="195">
        <v>1</v>
      </c>
      <c r="P3" s="240" t="s">
        <v>27</v>
      </c>
      <c r="Q3" s="281" t="s">
        <v>128</v>
      </c>
      <c r="R3" s="240" t="s">
        <v>27</v>
      </c>
      <c r="S3" s="240">
        <v>1</v>
      </c>
      <c r="T3" s="240" t="s">
        <v>27</v>
      </c>
      <c r="U3" s="281" t="s">
        <v>128</v>
      </c>
      <c r="V3" s="240" t="s">
        <v>689</v>
      </c>
      <c r="W3" s="240" t="s">
        <v>27</v>
      </c>
      <c r="X3" s="281" t="s">
        <v>128</v>
      </c>
      <c r="Y3" s="281" t="s">
        <v>128</v>
      </c>
      <c r="Z3" s="240" t="s">
        <v>27</v>
      </c>
      <c r="AA3" s="281" t="s">
        <v>128</v>
      </c>
      <c r="AB3" s="281" t="s">
        <v>128</v>
      </c>
      <c r="AC3" s="240" t="s">
        <v>27</v>
      </c>
      <c r="AD3" s="281" t="s">
        <v>128</v>
      </c>
      <c r="AE3" s="281" t="s">
        <v>128</v>
      </c>
      <c r="AF3" s="240" t="s">
        <v>27</v>
      </c>
      <c r="AG3" s="281" t="s">
        <v>128</v>
      </c>
      <c r="AH3" s="281" t="s">
        <v>128</v>
      </c>
      <c r="AI3" s="205"/>
      <c r="AJ3" s="140"/>
      <c r="AK3" s="305"/>
      <c r="AL3" s="306"/>
      <c r="AM3" s="228"/>
      <c r="AN3" s="140"/>
      <c r="AO3" s="140"/>
      <c r="AP3" s="140"/>
      <c r="AQ3" s="140"/>
      <c r="AR3" s="140"/>
      <c r="AS3" s="140"/>
      <c r="AT3" s="140"/>
      <c r="AU3" s="228"/>
      <c r="AV3" s="228"/>
      <c r="AW3" s="228"/>
      <c r="AX3" s="228"/>
      <c r="AY3" s="228"/>
      <c r="AZ3" s="228"/>
      <c r="BA3" s="228"/>
      <c r="BB3" s="228"/>
      <c r="BC3" s="140"/>
      <c r="BD3" s="140"/>
      <c r="BE3" s="140"/>
      <c r="BF3" s="140"/>
      <c r="BG3" s="140" t="s">
        <v>269</v>
      </c>
      <c r="BH3" s="140" t="s">
        <v>264</v>
      </c>
      <c r="BI3" s="140" t="s">
        <v>264</v>
      </c>
    </row>
    <row r="4" spans="1:61" s="48" customFormat="1" x14ac:dyDescent="0.2">
      <c r="A4" s="206" t="s">
        <v>354</v>
      </c>
      <c r="B4" s="26">
        <v>1387</v>
      </c>
      <c r="C4" s="200" t="s">
        <v>22</v>
      </c>
      <c r="D4" s="200" t="s">
        <v>48</v>
      </c>
      <c r="E4" s="200" t="s">
        <v>31</v>
      </c>
      <c r="F4" s="200" t="s">
        <v>690</v>
      </c>
      <c r="G4" s="200" t="s">
        <v>130</v>
      </c>
      <c r="H4" s="200">
        <v>18460</v>
      </c>
      <c r="I4" s="200">
        <v>193086</v>
      </c>
      <c r="J4" s="42">
        <v>28000000</v>
      </c>
      <c r="K4" s="201">
        <v>1</v>
      </c>
      <c r="L4" s="215" t="s">
        <v>128</v>
      </c>
      <c r="M4" s="215" t="s">
        <v>27</v>
      </c>
      <c r="N4" s="196">
        <v>44886</v>
      </c>
      <c r="O4" s="195">
        <v>1</v>
      </c>
      <c r="P4" s="240" t="s">
        <v>27</v>
      </c>
      <c r="Q4" s="281" t="s">
        <v>128</v>
      </c>
      <c r="R4" s="240" t="s">
        <v>27</v>
      </c>
      <c r="S4" s="281" t="s">
        <v>128</v>
      </c>
      <c r="T4" s="240" t="s">
        <v>27</v>
      </c>
      <c r="U4" s="240">
        <v>4.5</v>
      </c>
      <c r="V4" s="240" t="s">
        <v>691</v>
      </c>
      <c r="W4" s="240" t="s">
        <v>27</v>
      </c>
      <c r="X4" s="281" t="s">
        <v>128</v>
      </c>
      <c r="Y4" s="240" t="s">
        <v>569</v>
      </c>
      <c r="Z4" s="240" t="s">
        <v>27</v>
      </c>
      <c r="AA4" s="281" t="s">
        <v>128</v>
      </c>
      <c r="AB4" s="281" t="s">
        <v>128</v>
      </c>
      <c r="AC4" s="240" t="s">
        <v>27</v>
      </c>
      <c r="AD4" s="281" t="s">
        <v>128</v>
      </c>
      <c r="AE4" s="281" t="s">
        <v>128</v>
      </c>
      <c r="AF4" s="240" t="s">
        <v>27</v>
      </c>
      <c r="AG4" s="281" t="s">
        <v>128</v>
      </c>
      <c r="AH4" s="281" t="s">
        <v>128</v>
      </c>
      <c r="AI4" s="228"/>
      <c r="AJ4" s="140"/>
      <c r="AK4" s="228"/>
      <c r="AL4" s="228"/>
      <c r="AM4" s="228"/>
      <c r="AN4" s="140"/>
      <c r="AO4" s="228"/>
      <c r="AP4" s="228"/>
      <c r="AQ4" s="228"/>
      <c r="AR4" s="228"/>
      <c r="AS4" s="228"/>
      <c r="AT4" s="228"/>
      <c r="AU4" s="228"/>
      <c r="AV4" s="228"/>
      <c r="AW4" s="228"/>
      <c r="AX4" s="228"/>
      <c r="AY4" s="228"/>
      <c r="AZ4" s="228"/>
      <c r="BA4" s="228"/>
      <c r="BB4" s="228"/>
      <c r="BC4" s="228"/>
      <c r="BD4" s="228"/>
      <c r="BE4" s="228"/>
      <c r="BF4" s="228"/>
      <c r="BG4" s="140" t="s">
        <v>269</v>
      </c>
      <c r="BH4" s="140" t="s">
        <v>264</v>
      </c>
      <c r="BI4" s="140" t="s">
        <v>264</v>
      </c>
    </row>
    <row r="5" spans="1:61" s="48" customFormat="1" x14ac:dyDescent="0.15">
      <c r="A5" s="206" t="s">
        <v>354</v>
      </c>
      <c r="B5" s="26">
        <v>1390</v>
      </c>
      <c r="C5" s="26" t="s">
        <v>22</v>
      </c>
      <c r="D5" s="26" t="s">
        <v>106</v>
      </c>
      <c r="E5" s="26" t="s">
        <v>38</v>
      </c>
      <c r="F5" s="26" t="s">
        <v>692</v>
      </c>
      <c r="G5" s="26" t="s">
        <v>106</v>
      </c>
      <c r="H5" s="26" t="s">
        <v>693</v>
      </c>
      <c r="I5" s="26">
        <v>4020931</v>
      </c>
      <c r="J5" s="230">
        <v>25000000</v>
      </c>
      <c r="K5" s="201">
        <v>1</v>
      </c>
      <c r="L5" s="215" t="s">
        <v>128</v>
      </c>
      <c r="M5" s="215" t="s">
        <v>27</v>
      </c>
      <c r="N5" s="196">
        <v>44873</v>
      </c>
      <c r="O5" s="195">
        <v>1</v>
      </c>
      <c r="P5" s="240" t="s">
        <v>27</v>
      </c>
      <c r="Q5" s="281" t="s">
        <v>128</v>
      </c>
      <c r="R5" s="240" t="s">
        <v>27</v>
      </c>
      <c r="S5" s="281" t="s">
        <v>128</v>
      </c>
      <c r="T5" s="240" t="s">
        <v>27</v>
      </c>
      <c r="U5" s="240">
        <v>3</v>
      </c>
      <c r="V5" s="240" t="s">
        <v>694</v>
      </c>
      <c r="W5" s="240" t="s">
        <v>27</v>
      </c>
      <c r="X5" s="281" t="s">
        <v>128</v>
      </c>
      <c r="Y5" s="240" t="s">
        <v>695</v>
      </c>
      <c r="Z5" s="240" t="s">
        <v>27</v>
      </c>
      <c r="AA5" s="281" t="s">
        <v>128</v>
      </c>
      <c r="AB5" s="281" t="s">
        <v>128</v>
      </c>
      <c r="AC5" s="240" t="s">
        <v>27</v>
      </c>
      <c r="AD5" s="281" t="s">
        <v>128</v>
      </c>
      <c r="AE5" s="240" t="s">
        <v>687</v>
      </c>
      <c r="AF5" s="240" t="s">
        <v>27</v>
      </c>
      <c r="AG5" s="281" t="s">
        <v>128</v>
      </c>
      <c r="AH5" s="281" t="s">
        <v>128</v>
      </c>
      <c r="AI5" s="205"/>
      <c r="AJ5" s="140"/>
      <c r="AK5" s="305"/>
      <c r="AL5" s="306"/>
      <c r="AM5" s="228"/>
      <c r="AN5" s="140"/>
      <c r="AO5" s="140"/>
      <c r="AP5" s="140"/>
      <c r="AQ5" s="140"/>
      <c r="AR5" s="140"/>
      <c r="AS5" s="140"/>
      <c r="AT5" s="140"/>
      <c r="AU5" s="228"/>
      <c r="AV5" s="228"/>
      <c r="AW5" s="228"/>
      <c r="AX5" s="228"/>
      <c r="AY5" s="228"/>
      <c r="AZ5" s="228"/>
      <c r="BA5" s="228"/>
      <c r="BB5" s="228"/>
      <c r="BC5" s="140"/>
      <c r="BD5" s="140"/>
      <c r="BE5" s="140"/>
      <c r="BF5" s="140"/>
      <c r="BG5" s="140" t="s">
        <v>291</v>
      </c>
      <c r="BH5" s="140" t="s">
        <v>264</v>
      </c>
      <c r="BI5" s="140" t="s">
        <v>264</v>
      </c>
    </row>
    <row r="6" spans="1:61" s="48" customFormat="1" x14ac:dyDescent="0.15">
      <c r="A6" s="206" t="s">
        <v>354</v>
      </c>
      <c r="B6" s="26">
        <v>1405</v>
      </c>
      <c r="C6" s="200" t="s">
        <v>22</v>
      </c>
      <c r="D6" s="200" t="s">
        <v>696</v>
      </c>
      <c r="E6" s="200" t="s">
        <v>24</v>
      </c>
      <c r="F6" s="200" t="s">
        <v>94</v>
      </c>
      <c r="G6" s="200" t="s">
        <v>23</v>
      </c>
      <c r="H6" s="200" t="s">
        <v>26</v>
      </c>
      <c r="I6" s="200">
        <v>186727</v>
      </c>
      <c r="J6" s="42">
        <v>32800000</v>
      </c>
      <c r="K6" s="201">
        <v>1</v>
      </c>
      <c r="L6" s="215" t="s">
        <v>128</v>
      </c>
      <c r="M6" s="215" t="s">
        <v>27</v>
      </c>
      <c r="N6" s="196">
        <v>44880</v>
      </c>
      <c r="O6" s="195">
        <v>1</v>
      </c>
      <c r="P6" s="240" t="s">
        <v>27</v>
      </c>
      <c r="Q6" s="45" t="s">
        <v>128</v>
      </c>
      <c r="R6" s="240" t="s">
        <v>27</v>
      </c>
      <c r="S6" s="45" t="s">
        <v>128</v>
      </c>
      <c r="T6" s="240" t="s">
        <v>27</v>
      </c>
      <c r="U6" s="45" t="s">
        <v>128</v>
      </c>
      <c r="V6" s="45" t="s">
        <v>128</v>
      </c>
      <c r="W6" s="240" t="s">
        <v>27</v>
      </c>
      <c r="X6" s="45" t="s">
        <v>128</v>
      </c>
      <c r="Y6" s="45" t="s">
        <v>128</v>
      </c>
      <c r="Z6" s="240" t="s">
        <v>27</v>
      </c>
      <c r="AA6" s="45" t="s">
        <v>128</v>
      </c>
      <c r="AB6" s="45" t="s">
        <v>128</v>
      </c>
      <c r="AC6" s="240" t="s">
        <v>27</v>
      </c>
      <c r="AD6" s="281" t="s">
        <v>128</v>
      </c>
      <c r="AE6" s="240" t="s">
        <v>697</v>
      </c>
      <c r="AF6" s="240" t="s">
        <v>27</v>
      </c>
      <c r="AG6" s="281" t="s">
        <v>128</v>
      </c>
      <c r="AH6" s="281" t="s">
        <v>128</v>
      </c>
      <c r="AI6" s="205"/>
      <c r="AJ6" s="140"/>
      <c r="AK6" s="305"/>
      <c r="AL6" s="306"/>
      <c r="AM6" s="228"/>
      <c r="AN6" s="140"/>
      <c r="AO6" s="140"/>
      <c r="AP6" s="140"/>
      <c r="AQ6" s="140"/>
      <c r="AR6" s="140"/>
      <c r="AS6" s="140"/>
      <c r="AT6" s="140"/>
      <c r="AU6" s="228"/>
      <c r="AV6" s="228"/>
      <c r="AW6" s="228"/>
      <c r="AX6" s="228"/>
      <c r="AY6" s="228"/>
      <c r="AZ6" s="228"/>
      <c r="BA6" s="228"/>
      <c r="BB6" s="228"/>
      <c r="BC6" s="140"/>
      <c r="BD6" s="140"/>
      <c r="BE6" s="140"/>
      <c r="BF6" s="140"/>
      <c r="BG6" s="140" t="s">
        <v>358</v>
      </c>
      <c r="BH6" s="140" t="s">
        <v>264</v>
      </c>
      <c r="BI6" s="140" t="s">
        <v>264</v>
      </c>
    </row>
    <row r="7" spans="1:61" s="48" customFormat="1" x14ac:dyDescent="0.2">
      <c r="A7" s="206" t="s">
        <v>354</v>
      </c>
      <c r="B7" s="26">
        <v>1414</v>
      </c>
      <c r="C7" s="26" t="s">
        <v>22</v>
      </c>
      <c r="D7" s="26" t="s">
        <v>698</v>
      </c>
      <c r="E7" s="200" t="s">
        <v>24</v>
      </c>
      <c r="F7" s="26" t="s">
        <v>25</v>
      </c>
      <c r="G7" s="26" t="s">
        <v>23</v>
      </c>
      <c r="H7" s="26" t="s">
        <v>26</v>
      </c>
      <c r="I7" s="26">
        <v>18538</v>
      </c>
      <c r="J7" s="230">
        <v>22500000</v>
      </c>
      <c r="K7" s="201">
        <v>1</v>
      </c>
      <c r="L7" s="215" t="s">
        <v>128</v>
      </c>
      <c r="M7" s="215" t="s">
        <v>27</v>
      </c>
      <c r="N7" s="197" t="s">
        <v>128</v>
      </c>
      <c r="O7" s="46">
        <v>1</v>
      </c>
      <c r="P7" s="240" t="s">
        <v>27</v>
      </c>
      <c r="Q7" s="45" t="s">
        <v>128</v>
      </c>
      <c r="R7" s="240" t="s">
        <v>27</v>
      </c>
      <c r="S7" s="45" t="s">
        <v>128</v>
      </c>
      <c r="T7" s="240" t="s">
        <v>27</v>
      </c>
      <c r="U7" s="45" t="s">
        <v>128</v>
      </c>
      <c r="V7" s="45" t="s">
        <v>128</v>
      </c>
      <c r="W7" s="240" t="s">
        <v>27</v>
      </c>
      <c r="X7" s="45" t="s">
        <v>128</v>
      </c>
      <c r="Y7" s="45" t="s">
        <v>128</v>
      </c>
      <c r="Z7" s="240" t="s">
        <v>27</v>
      </c>
      <c r="AA7" s="45" t="s">
        <v>128</v>
      </c>
      <c r="AB7" s="45" t="s">
        <v>128</v>
      </c>
      <c r="AC7" s="240" t="s">
        <v>27</v>
      </c>
      <c r="AD7" s="281" t="s">
        <v>128</v>
      </c>
      <c r="AE7" s="281" t="s">
        <v>128</v>
      </c>
      <c r="AF7" s="240" t="s">
        <v>27</v>
      </c>
      <c r="AG7" s="281" t="s">
        <v>128</v>
      </c>
      <c r="AH7" s="281" t="s">
        <v>128</v>
      </c>
      <c r="AI7" s="228"/>
      <c r="AJ7" s="140"/>
      <c r="AK7" s="228"/>
      <c r="AL7" s="228"/>
      <c r="AM7" s="228"/>
      <c r="AN7" s="140"/>
      <c r="AO7" s="228"/>
      <c r="AP7" s="228"/>
      <c r="AQ7" s="228"/>
      <c r="AR7" s="228"/>
      <c r="AS7" s="228"/>
      <c r="AT7" s="228"/>
      <c r="AU7" s="228"/>
      <c r="AV7" s="228"/>
      <c r="AW7" s="228"/>
      <c r="AX7" s="228"/>
      <c r="AY7" s="228"/>
      <c r="AZ7" s="228"/>
      <c r="BA7" s="228"/>
      <c r="BB7" s="228"/>
      <c r="BC7" s="228"/>
      <c r="BD7" s="228"/>
      <c r="BE7" s="228"/>
      <c r="BF7" s="228"/>
      <c r="BG7" s="140" t="s">
        <v>358</v>
      </c>
      <c r="BH7" s="140" t="s">
        <v>264</v>
      </c>
      <c r="BI7" s="140" t="s">
        <v>264</v>
      </c>
    </row>
    <row r="8" spans="1:61" s="48" customFormat="1" x14ac:dyDescent="0.2">
      <c r="A8" s="206" t="s">
        <v>354</v>
      </c>
      <c r="B8" s="26">
        <v>1440</v>
      </c>
      <c r="C8" s="200" t="s">
        <v>29</v>
      </c>
      <c r="D8" s="200" t="s">
        <v>101</v>
      </c>
      <c r="E8" s="200" t="s">
        <v>24</v>
      </c>
      <c r="F8" s="200" t="s">
        <v>94</v>
      </c>
      <c r="G8" s="200" t="s">
        <v>44</v>
      </c>
      <c r="H8" s="200">
        <v>3131</v>
      </c>
      <c r="I8" s="200" t="s">
        <v>699</v>
      </c>
      <c r="J8" s="42">
        <v>29900000</v>
      </c>
      <c r="K8" s="201">
        <v>1</v>
      </c>
      <c r="L8" s="215" t="s">
        <v>128</v>
      </c>
      <c r="M8" s="215" t="s">
        <v>27</v>
      </c>
      <c r="N8" s="197" t="s">
        <v>128</v>
      </c>
      <c r="O8" s="195">
        <v>1</v>
      </c>
      <c r="P8" s="240" t="s">
        <v>27</v>
      </c>
      <c r="Q8" s="281" t="s">
        <v>128</v>
      </c>
      <c r="R8" s="240" t="s">
        <v>27</v>
      </c>
      <c r="S8" s="281" t="s">
        <v>128</v>
      </c>
      <c r="T8" s="240" t="s">
        <v>27</v>
      </c>
      <c r="U8" s="281" t="s">
        <v>128</v>
      </c>
      <c r="V8" s="240" t="s">
        <v>691</v>
      </c>
      <c r="W8" s="240" t="s">
        <v>27</v>
      </c>
      <c r="X8" s="281" t="s">
        <v>128</v>
      </c>
      <c r="Y8" s="281" t="s">
        <v>128</v>
      </c>
      <c r="Z8" s="240" t="s">
        <v>27</v>
      </c>
      <c r="AA8" s="281" t="s">
        <v>128</v>
      </c>
      <c r="AB8" s="281" t="s">
        <v>128</v>
      </c>
      <c r="AC8" s="240" t="s">
        <v>27</v>
      </c>
      <c r="AD8" s="281" t="s">
        <v>128</v>
      </c>
      <c r="AE8" s="281" t="s">
        <v>128</v>
      </c>
      <c r="AF8" s="240" t="s">
        <v>27</v>
      </c>
      <c r="AG8" s="281" t="s">
        <v>128</v>
      </c>
      <c r="AH8" s="281" t="s">
        <v>128</v>
      </c>
      <c r="AI8" s="228"/>
      <c r="AJ8" s="140"/>
      <c r="AK8" s="228"/>
      <c r="AL8" s="228"/>
      <c r="AM8" s="228"/>
      <c r="AN8" s="140"/>
      <c r="AO8" s="228"/>
      <c r="AP8" s="228"/>
      <c r="AQ8" s="228"/>
      <c r="AR8" s="228"/>
      <c r="AS8" s="228"/>
      <c r="AT8" s="228"/>
      <c r="AU8" s="228"/>
      <c r="AV8" s="228"/>
      <c r="AW8" s="228"/>
      <c r="AX8" s="228"/>
      <c r="AY8" s="228"/>
      <c r="AZ8" s="228"/>
      <c r="BA8" s="228"/>
      <c r="BB8" s="228"/>
      <c r="BC8" s="228"/>
      <c r="BD8" s="228"/>
      <c r="BE8" s="228"/>
      <c r="BF8" s="228"/>
      <c r="BG8" s="140" t="s">
        <v>291</v>
      </c>
      <c r="BH8" s="140" t="s">
        <v>264</v>
      </c>
      <c r="BI8" s="140" t="s">
        <v>264</v>
      </c>
    </row>
    <row r="9" spans="1:61" s="48" customFormat="1" x14ac:dyDescent="0.2">
      <c r="A9" s="206" t="s">
        <v>354</v>
      </c>
      <c r="B9" s="26">
        <v>1444</v>
      </c>
      <c r="C9" s="200" t="s">
        <v>29</v>
      </c>
      <c r="D9" s="200" t="s">
        <v>700</v>
      </c>
      <c r="E9" s="200" t="s">
        <v>66</v>
      </c>
      <c r="F9" s="200" t="s">
        <v>701</v>
      </c>
      <c r="G9" s="200" t="s">
        <v>44</v>
      </c>
      <c r="H9" s="200">
        <v>32360</v>
      </c>
      <c r="I9" s="200">
        <v>25705</v>
      </c>
      <c r="J9" s="42">
        <v>25300000</v>
      </c>
      <c r="K9" s="201">
        <v>1</v>
      </c>
      <c r="L9" s="215" t="s">
        <v>128</v>
      </c>
      <c r="M9" s="215" t="s">
        <v>27</v>
      </c>
      <c r="N9" s="197" t="s">
        <v>128</v>
      </c>
      <c r="O9" s="195">
        <v>1</v>
      </c>
      <c r="P9" s="240" t="s">
        <v>27</v>
      </c>
      <c r="Q9" s="281" t="s">
        <v>128</v>
      </c>
      <c r="R9" s="240" t="s">
        <v>27</v>
      </c>
      <c r="S9" s="281" t="s">
        <v>128</v>
      </c>
      <c r="T9" s="240" t="s">
        <v>27</v>
      </c>
      <c r="U9" s="281" t="s">
        <v>128</v>
      </c>
      <c r="V9" s="281" t="s">
        <v>128</v>
      </c>
      <c r="W9" s="240" t="s">
        <v>27</v>
      </c>
      <c r="X9" s="281" t="s">
        <v>128</v>
      </c>
      <c r="Y9" s="281" t="s">
        <v>128</v>
      </c>
      <c r="Z9" s="240" t="s">
        <v>27</v>
      </c>
      <c r="AA9" s="281" t="s">
        <v>128</v>
      </c>
      <c r="AB9" s="281" t="s">
        <v>128</v>
      </c>
      <c r="AC9" s="240" t="s">
        <v>27</v>
      </c>
      <c r="AD9" s="281" t="s">
        <v>128</v>
      </c>
      <c r="AE9" s="281" t="s">
        <v>128</v>
      </c>
      <c r="AF9" s="240" t="s">
        <v>27</v>
      </c>
      <c r="AG9" s="281" t="s">
        <v>128</v>
      </c>
      <c r="AH9" s="281" t="s">
        <v>128</v>
      </c>
      <c r="AI9" s="228"/>
      <c r="AJ9" s="140"/>
      <c r="AK9" s="228"/>
      <c r="AL9" s="228"/>
      <c r="AM9" s="228" t="s">
        <v>702</v>
      </c>
      <c r="AN9" s="140" t="s">
        <v>240</v>
      </c>
      <c r="AO9" s="228"/>
      <c r="AP9" s="228"/>
      <c r="AQ9" s="228"/>
      <c r="AR9" s="228"/>
      <c r="AS9" s="228"/>
      <c r="AT9" s="228"/>
      <c r="AU9" s="228"/>
      <c r="AV9" s="228"/>
      <c r="AW9" s="228"/>
      <c r="AX9" s="228"/>
      <c r="AY9" s="228"/>
      <c r="AZ9" s="228"/>
      <c r="BA9" s="228"/>
      <c r="BB9" s="228"/>
      <c r="BC9" s="228"/>
      <c r="BD9" s="228"/>
      <c r="BE9" s="228"/>
      <c r="BF9" s="228"/>
      <c r="BG9" s="140" t="s">
        <v>291</v>
      </c>
      <c r="BH9" s="140" t="s">
        <v>264</v>
      </c>
      <c r="BI9" s="140" t="s">
        <v>264</v>
      </c>
    </row>
    <row r="10" spans="1:61" s="48" customFormat="1" x14ac:dyDescent="0.2">
      <c r="A10" s="206" t="s">
        <v>354</v>
      </c>
      <c r="B10" s="26">
        <v>1449</v>
      </c>
      <c r="C10" s="200" t="s">
        <v>29</v>
      </c>
      <c r="D10" s="200" t="s">
        <v>703</v>
      </c>
      <c r="E10" s="200" t="s">
        <v>31</v>
      </c>
      <c r="F10" s="200" t="s">
        <v>704</v>
      </c>
      <c r="G10" s="200" t="s">
        <v>44</v>
      </c>
      <c r="H10" s="200">
        <v>9170</v>
      </c>
      <c r="I10" s="200">
        <v>15629</v>
      </c>
      <c r="J10" s="42">
        <v>20500000</v>
      </c>
      <c r="K10" s="201">
        <v>1</v>
      </c>
      <c r="L10" s="215" t="s">
        <v>128</v>
      </c>
      <c r="M10" s="215" t="s">
        <v>27</v>
      </c>
      <c r="N10" s="196">
        <v>44881</v>
      </c>
      <c r="O10" s="195">
        <v>1</v>
      </c>
      <c r="P10" s="240" t="s">
        <v>27</v>
      </c>
      <c r="Q10" s="281" t="s">
        <v>128</v>
      </c>
      <c r="R10" s="240" t="s">
        <v>27</v>
      </c>
      <c r="S10" s="281" t="s">
        <v>128</v>
      </c>
      <c r="T10" s="240" t="s">
        <v>27</v>
      </c>
      <c r="U10" s="240">
        <v>3.5</v>
      </c>
      <c r="V10" s="240" t="s">
        <v>705</v>
      </c>
      <c r="W10" s="240" t="s">
        <v>27</v>
      </c>
      <c r="X10" s="240">
        <v>4</v>
      </c>
      <c r="Y10" s="240" t="s">
        <v>565</v>
      </c>
      <c r="Z10" s="240" t="s">
        <v>27</v>
      </c>
      <c r="AA10" s="281" t="s">
        <v>128</v>
      </c>
      <c r="AB10" s="281" t="s">
        <v>128</v>
      </c>
      <c r="AC10" s="240" t="s">
        <v>27</v>
      </c>
      <c r="AD10" s="281" t="s">
        <v>128</v>
      </c>
      <c r="AE10" s="281" t="s">
        <v>128</v>
      </c>
      <c r="AF10" s="240" t="s">
        <v>27</v>
      </c>
      <c r="AG10" s="281" t="s">
        <v>128</v>
      </c>
      <c r="AH10" s="281" t="s">
        <v>128</v>
      </c>
      <c r="AI10" s="228"/>
      <c r="AJ10" s="140"/>
      <c r="AK10" s="228"/>
      <c r="AL10" s="228"/>
      <c r="AM10" s="228"/>
      <c r="AN10" s="140"/>
      <c r="AO10" s="228"/>
      <c r="AP10" s="228"/>
      <c r="AQ10" s="228"/>
      <c r="AR10" s="228"/>
      <c r="AS10" s="228"/>
      <c r="AT10" s="228"/>
      <c r="AU10" s="228"/>
      <c r="AV10" s="228"/>
      <c r="AW10" s="228"/>
      <c r="AX10" s="228"/>
      <c r="AY10" s="228"/>
      <c r="AZ10" s="228"/>
      <c r="BA10" s="228"/>
      <c r="BB10" s="228"/>
      <c r="BC10" s="228"/>
      <c r="BD10" s="228"/>
      <c r="BE10" s="228"/>
      <c r="BF10" s="228"/>
      <c r="BG10" s="279" t="s">
        <v>706</v>
      </c>
      <c r="BH10" s="140" t="s">
        <v>264</v>
      </c>
      <c r="BI10" s="140" t="s">
        <v>264</v>
      </c>
    </row>
    <row r="11" spans="1:61" s="48" customFormat="1" x14ac:dyDescent="0.2">
      <c r="A11" s="206" t="s">
        <v>354</v>
      </c>
      <c r="B11" s="26">
        <v>1452</v>
      </c>
      <c r="C11" s="200" t="s">
        <v>29</v>
      </c>
      <c r="D11" s="200" t="s">
        <v>134</v>
      </c>
      <c r="E11" s="200" t="s">
        <v>707</v>
      </c>
      <c r="F11" s="233" t="s">
        <v>708</v>
      </c>
      <c r="G11" s="200" t="s">
        <v>44</v>
      </c>
      <c r="H11" s="200">
        <v>32360</v>
      </c>
      <c r="I11" s="200">
        <v>23207</v>
      </c>
      <c r="J11" s="42">
        <v>20000000</v>
      </c>
      <c r="K11" s="201">
        <v>1</v>
      </c>
      <c r="L11" s="215" t="s">
        <v>128</v>
      </c>
      <c r="M11" s="215" t="s">
        <v>27</v>
      </c>
      <c r="N11" s="197" t="s">
        <v>128</v>
      </c>
      <c r="O11" s="46">
        <v>1</v>
      </c>
      <c r="P11" s="240" t="s">
        <v>27</v>
      </c>
      <c r="Q11" s="45" t="s">
        <v>128</v>
      </c>
      <c r="R11" s="240" t="s">
        <v>27</v>
      </c>
      <c r="S11" s="45" t="s">
        <v>128</v>
      </c>
      <c r="T11" s="240" t="s">
        <v>27</v>
      </c>
      <c r="U11" s="45" t="s">
        <v>128</v>
      </c>
      <c r="V11" s="45" t="s">
        <v>128</v>
      </c>
      <c r="W11" s="240" t="s">
        <v>27</v>
      </c>
      <c r="X11" s="45" t="s">
        <v>128</v>
      </c>
      <c r="Y11" s="45" t="s">
        <v>128</v>
      </c>
      <c r="Z11" s="240" t="s">
        <v>27</v>
      </c>
      <c r="AA11" s="45" t="s">
        <v>128</v>
      </c>
      <c r="AB11" s="45" t="s">
        <v>128</v>
      </c>
      <c r="AC11" s="240" t="s">
        <v>27</v>
      </c>
      <c r="AD11" s="281" t="s">
        <v>128</v>
      </c>
      <c r="AE11" s="281" t="s">
        <v>128</v>
      </c>
      <c r="AF11" s="240" t="s">
        <v>27</v>
      </c>
      <c r="AG11" s="281" t="s">
        <v>128</v>
      </c>
      <c r="AH11" s="281" t="s">
        <v>128</v>
      </c>
      <c r="AI11" s="228"/>
      <c r="AJ11" s="140"/>
      <c r="AK11" s="228"/>
      <c r="AL11" s="228"/>
      <c r="AM11" s="228"/>
      <c r="AN11" s="140"/>
      <c r="AO11" s="228"/>
      <c r="AP11" s="228"/>
      <c r="AQ11" s="228"/>
      <c r="AR11" s="228"/>
      <c r="AS11" s="228"/>
      <c r="AT11" s="228"/>
      <c r="AU11" s="228"/>
      <c r="AV11" s="228"/>
      <c r="AW11" s="228"/>
      <c r="AX11" s="228"/>
      <c r="AY11" s="228"/>
      <c r="AZ11" s="228"/>
      <c r="BA11" s="228"/>
      <c r="BB11" s="228"/>
      <c r="BC11" s="228"/>
      <c r="BD11" s="228"/>
      <c r="BE11" s="228"/>
      <c r="BF11" s="228"/>
      <c r="BG11" s="140" t="s">
        <v>358</v>
      </c>
      <c r="BH11" s="140" t="s">
        <v>264</v>
      </c>
      <c r="BI11" s="140" t="s">
        <v>264</v>
      </c>
    </row>
    <row r="12" spans="1:61" s="48" customFormat="1" x14ac:dyDescent="0.2">
      <c r="A12" s="206" t="s">
        <v>354</v>
      </c>
      <c r="B12" s="26">
        <v>1469</v>
      </c>
      <c r="C12" s="200" t="s">
        <v>22</v>
      </c>
      <c r="D12" s="200" t="s">
        <v>709</v>
      </c>
      <c r="E12" s="200" t="s">
        <v>31</v>
      </c>
      <c r="F12" s="200" t="s">
        <v>710</v>
      </c>
      <c r="G12" s="200" t="s">
        <v>68</v>
      </c>
      <c r="H12" s="200" t="s">
        <v>69</v>
      </c>
      <c r="I12" s="200">
        <v>7000273</v>
      </c>
      <c r="J12" s="42">
        <v>46300000</v>
      </c>
      <c r="K12" s="201">
        <v>1</v>
      </c>
      <c r="L12" s="215" t="s">
        <v>128</v>
      </c>
      <c r="M12" s="215" t="s">
        <v>27</v>
      </c>
      <c r="N12" s="282">
        <v>45258</v>
      </c>
      <c r="O12" s="195">
        <v>1</v>
      </c>
      <c r="P12" s="240" t="s">
        <v>27</v>
      </c>
      <c r="Q12" s="281" t="s">
        <v>128</v>
      </c>
      <c r="R12" s="240" t="s">
        <v>27</v>
      </c>
      <c r="S12" s="281" t="s">
        <v>128</v>
      </c>
      <c r="T12" s="240" t="s">
        <v>27</v>
      </c>
      <c r="U12" s="281" t="s">
        <v>128</v>
      </c>
      <c r="V12" s="240" t="s">
        <v>705</v>
      </c>
      <c r="W12" s="240" t="s">
        <v>27</v>
      </c>
      <c r="X12" s="281" t="s">
        <v>128</v>
      </c>
      <c r="Y12" s="281" t="s">
        <v>128</v>
      </c>
      <c r="Z12" s="240" t="s">
        <v>27</v>
      </c>
      <c r="AA12" s="281" t="s">
        <v>128</v>
      </c>
      <c r="AB12" s="281" t="s">
        <v>128</v>
      </c>
      <c r="AC12" s="240" t="s">
        <v>27</v>
      </c>
      <c r="AD12" s="281" t="s">
        <v>128</v>
      </c>
      <c r="AE12" s="281" t="s">
        <v>128</v>
      </c>
      <c r="AF12" s="240" t="s">
        <v>27</v>
      </c>
      <c r="AG12" s="281" t="s">
        <v>128</v>
      </c>
      <c r="AH12" s="281" t="s">
        <v>128</v>
      </c>
      <c r="AI12" s="228"/>
      <c r="AJ12" s="140"/>
      <c r="AK12" s="228"/>
      <c r="AL12" s="228"/>
      <c r="AM12" s="228"/>
      <c r="AN12" s="140"/>
      <c r="AO12" s="228"/>
      <c r="AP12" s="228"/>
      <c r="AQ12" s="228"/>
      <c r="AR12" s="228"/>
      <c r="AS12" s="228"/>
      <c r="AT12" s="228"/>
      <c r="AU12" s="228"/>
      <c r="AV12" s="228"/>
      <c r="AW12" s="228"/>
      <c r="AX12" s="228"/>
      <c r="AY12" s="228"/>
      <c r="AZ12" s="228"/>
      <c r="BA12" s="228"/>
      <c r="BB12" s="228"/>
      <c r="BC12" s="228"/>
      <c r="BD12" s="228"/>
      <c r="BE12" s="228"/>
      <c r="BF12" s="228"/>
      <c r="BG12" s="140" t="s">
        <v>291</v>
      </c>
      <c r="BH12" s="140" t="s">
        <v>264</v>
      </c>
      <c r="BI12" s="140" t="s">
        <v>264</v>
      </c>
    </row>
    <row r="13" spans="1:61" s="48" customFormat="1" x14ac:dyDescent="0.2">
      <c r="A13" s="206" t="s">
        <v>354</v>
      </c>
      <c r="B13" s="26">
        <v>1473</v>
      </c>
      <c r="C13" s="26" t="s">
        <v>22</v>
      </c>
      <c r="D13" s="26" t="s">
        <v>37</v>
      </c>
      <c r="E13" s="26" t="s">
        <v>66</v>
      </c>
      <c r="F13" s="26" t="s">
        <v>711</v>
      </c>
      <c r="G13" s="26" t="s">
        <v>68</v>
      </c>
      <c r="H13" s="26">
        <v>1826</v>
      </c>
      <c r="I13" s="26" t="s">
        <v>670</v>
      </c>
      <c r="J13" s="230">
        <v>27800000</v>
      </c>
      <c r="K13" s="201">
        <v>1</v>
      </c>
      <c r="L13" s="215" t="s">
        <v>128</v>
      </c>
      <c r="M13" s="215" t="s">
        <v>27</v>
      </c>
      <c r="N13" s="197" t="s">
        <v>128</v>
      </c>
      <c r="O13" s="195">
        <v>1</v>
      </c>
      <c r="P13" s="240" t="s">
        <v>27</v>
      </c>
      <c r="Q13" s="45" t="s">
        <v>128</v>
      </c>
      <c r="R13" s="240" t="s">
        <v>27</v>
      </c>
      <c r="S13" s="45" t="s">
        <v>128</v>
      </c>
      <c r="T13" s="240" t="s">
        <v>27</v>
      </c>
      <c r="U13" s="45" t="s">
        <v>128</v>
      </c>
      <c r="V13" s="45" t="s">
        <v>128</v>
      </c>
      <c r="W13" s="240" t="s">
        <v>27</v>
      </c>
      <c r="X13" s="45" t="s">
        <v>128</v>
      </c>
      <c r="Y13" s="45" t="s">
        <v>128</v>
      </c>
      <c r="Z13" s="240" t="s">
        <v>27</v>
      </c>
      <c r="AA13" s="45" t="s">
        <v>128</v>
      </c>
      <c r="AB13" s="45" t="s">
        <v>128</v>
      </c>
      <c r="AC13" s="240" t="s">
        <v>27</v>
      </c>
      <c r="AD13" s="281" t="s">
        <v>128</v>
      </c>
      <c r="AE13" s="281" t="s">
        <v>128</v>
      </c>
      <c r="AF13" s="240" t="s">
        <v>27</v>
      </c>
      <c r="AG13" s="281" t="s">
        <v>128</v>
      </c>
      <c r="AH13" s="281" t="s">
        <v>128</v>
      </c>
      <c r="AI13" s="228"/>
      <c r="AJ13" s="140"/>
      <c r="AK13" s="228"/>
      <c r="AL13" s="228"/>
      <c r="AM13" s="228"/>
      <c r="AN13" s="140"/>
      <c r="AO13" s="228"/>
      <c r="AP13" s="228"/>
      <c r="AQ13" s="228"/>
      <c r="AR13" s="228"/>
      <c r="AS13" s="228"/>
      <c r="AT13" s="228"/>
      <c r="AU13" s="228"/>
      <c r="AV13" s="228"/>
      <c r="AW13" s="228"/>
      <c r="AX13" s="228"/>
      <c r="AY13" s="228"/>
      <c r="AZ13" s="228"/>
      <c r="BA13" s="228"/>
      <c r="BB13" s="228"/>
      <c r="BC13" s="228"/>
      <c r="BD13" s="228"/>
      <c r="BE13" s="228"/>
      <c r="BF13" s="228"/>
      <c r="BG13" s="140" t="s">
        <v>358</v>
      </c>
      <c r="BH13" s="140" t="s">
        <v>264</v>
      </c>
      <c r="BI13" s="140" t="s">
        <v>264</v>
      </c>
    </row>
    <row r="14" spans="1:61" s="48" customFormat="1" x14ac:dyDescent="0.2">
      <c r="A14" s="206" t="s">
        <v>354</v>
      </c>
      <c r="B14" s="26">
        <v>1475</v>
      </c>
      <c r="C14" s="200" t="s">
        <v>22</v>
      </c>
      <c r="D14" s="200" t="s">
        <v>23</v>
      </c>
      <c r="E14" s="200" t="s">
        <v>24</v>
      </c>
      <c r="F14" s="200" t="s">
        <v>712</v>
      </c>
      <c r="G14" s="200" t="s">
        <v>23</v>
      </c>
      <c r="H14" s="200" t="s">
        <v>26</v>
      </c>
      <c r="I14" s="200">
        <v>186793</v>
      </c>
      <c r="J14" s="42">
        <v>22500000</v>
      </c>
      <c r="K14" s="201">
        <v>1</v>
      </c>
      <c r="L14" s="215" t="s">
        <v>128</v>
      </c>
      <c r="M14" s="215" t="s">
        <v>27</v>
      </c>
      <c r="N14" s="197" t="s">
        <v>128</v>
      </c>
      <c r="O14" s="195">
        <v>1</v>
      </c>
      <c r="P14" s="240" t="s">
        <v>27</v>
      </c>
      <c r="Q14" s="281" t="s">
        <v>128</v>
      </c>
      <c r="R14" s="240" t="s">
        <v>27</v>
      </c>
      <c r="S14" s="240">
        <v>1.5</v>
      </c>
      <c r="T14" s="240" t="s">
        <v>27</v>
      </c>
      <c r="U14" s="281" t="s">
        <v>128</v>
      </c>
      <c r="V14" s="240" t="s">
        <v>694</v>
      </c>
      <c r="W14" s="240" t="s">
        <v>27</v>
      </c>
      <c r="X14" s="281" t="s">
        <v>128</v>
      </c>
      <c r="Y14" s="281" t="s">
        <v>128</v>
      </c>
      <c r="Z14" s="240" t="s">
        <v>27</v>
      </c>
      <c r="AA14" s="281" t="s">
        <v>128</v>
      </c>
      <c r="AB14" s="281" t="s">
        <v>128</v>
      </c>
      <c r="AC14" s="240" t="s">
        <v>27</v>
      </c>
      <c r="AD14" s="281" t="s">
        <v>128</v>
      </c>
      <c r="AE14" s="281" t="s">
        <v>128</v>
      </c>
      <c r="AF14" s="240" t="s">
        <v>27</v>
      </c>
      <c r="AG14" s="281" t="s">
        <v>128</v>
      </c>
      <c r="AH14" s="281" t="s">
        <v>128</v>
      </c>
      <c r="AI14" s="228"/>
      <c r="AJ14" s="228"/>
      <c r="AK14" s="228"/>
      <c r="AL14" s="228"/>
      <c r="AM14" s="228"/>
      <c r="AN14" s="228"/>
      <c r="AO14" s="228"/>
      <c r="AP14" s="228"/>
      <c r="AQ14" s="228"/>
      <c r="AR14" s="228"/>
      <c r="AS14" s="228"/>
      <c r="AT14" s="228"/>
      <c r="AU14" s="228"/>
      <c r="AV14" s="228"/>
      <c r="AW14" s="228"/>
      <c r="AX14" s="228"/>
      <c r="AY14" s="228"/>
      <c r="AZ14" s="228"/>
      <c r="BA14" s="228"/>
      <c r="BB14" s="228"/>
      <c r="BC14" s="228"/>
      <c r="BD14" s="228"/>
      <c r="BE14" s="228"/>
      <c r="BF14" s="228"/>
      <c r="BG14" s="140" t="s">
        <v>269</v>
      </c>
      <c r="BH14" s="140" t="s">
        <v>264</v>
      </c>
      <c r="BI14" s="140" t="s">
        <v>264</v>
      </c>
    </row>
    <row r="15" spans="1:61" s="48" customFormat="1" x14ac:dyDescent="0.2">
      <c r="A15" s="206" t="s">
        <v>354</v>
      </c>
      <c r="B15" s="26">
        <v>1476</v>
      </c>
      <c r="C15" s="200" t="s">
        <v>29</v>
      </c>
      <c r="D15" s="200" t="s">
        <v>101</v>
      </c>
      <c r="E15" s="200" t="s">
        <v>24</v>
      </c>
      <c r="F15" s="200" t="s">
        <v>713</v>
      </c>
      <c r="G15" s="200" t="s">
        <v>44</v>
      </c>
      <c r="H15" s="200">
        <v>17280</v>
      </c>
      <c r="I15" s="200">
        <v>20735</v>
      </c>
      <c r="J15" s="42">
        <v>25000000</v>
      </c>
      <c r="K15" s="201">
        <v>1</v>
      </c>
      <c r="L15" s="215" t="s">
        <v>128</v>
      </c>
      <c r="M15" s="215" t="s">
        <v>27</v>
      </c>
      <c r="N15" s="196">
        <v>44880</v>
      </c>
      <c r="O15" s="195">
        <v>1</v>
      </c>
      <c r="P15" s="240" t="s">
        <v>27</v>
      </c>
      <c r="Q15" s="281" t="s">
        <v>128</v>
      </c>
      <c r="R15" s="240" t="s">
        <v>27</v>
      </c>
      <c r="S15" s="281" t="s">
        <v>128</v>
      </c>
      <c r="T15" s="240" t="s">
        <v>27</v>
      </c>
      <c r="U15" s="240">
        <v>4.5</v>
      </c>
      <c r="V15" s="240" t="s">
        <v>555</v>
      </c>
      <c r="W15" s="240" t="s">
        <v>27</v>
      </c>
      <c r="X15" s="281" t="s">
        <v>128</v>
      </c>
      <c r="Y15" s="281" t="s">
        <v>128</v>
      </c>
      <c r="Z15" s="240" t="s">
        <v>27</v>
      </c>
      <c r="AA15" s="281" t="s">
        <v>128</v>
      </c>
      <c r="AB15" s="281" t="s">
        <v>128</v>
      </c>
      <c r="AC15" s="240" t="s">
        <v>27</v>
      </c>
      <c r="AD15" s="281" t="s">
        <v>128</v>
      </c>
      <c r="AE15" s="281" t="s">
        <v>128</v>
      </c>
      <c r="AF15" s="240" t="s">
        <v>27</v>
      </c>
      <c r="AG15" s="281" t="s">
        <v>128</v>
      </c>
      <c r="AH15" s="281" t="s">
        <v>128</v>
      </c>
      <c r="AI15" s="228"/>
      <c r="AJ15" s="228"/>
      <c r="AK15" s="228"/>
      <c r="AL15" s="228"/>
      <c r="AM15" s="228"/>
      <c r="AN15" s="228"/>
      <c r="AO15" s="228"/>
      <c r="AP15" s="228"/>
      <c r="AQ15" s="228"/>
      <c r="AR15" s="228"/>
      <c r="AS15" s="228"/>
      <c r="AT15" s="228"/>
      <c r="AU15" s="228"/>
      <c r="AV15" s="228"/>
      <c r="AW15" s="228"/>
      <c r="AX15" s="228"/>
      <c r="AY15" s="228"/>
      <c r="AZ15" s="228"/>
      <c r="BA15" s="228"/>
      <c r="BB15" s="228"/>
      <c r="BC15" s="228"/>
      <c r="BD15" s="228"/>
      <c r="BE15" s="228"/>
      <c r="BF15" s="228"/>
      <c r="BG15" s="140" t="s">
        <v>269</v>
      </c>
      <c r="BH15" s="140" t="s">
        <v>264</v>
      </c>
      <c r="BI15" s="140" t="s">
        <v>264</v>
      </c>
    </row>
    <row r="16" spans="1:61" s="48" customFormat="1" x14ac:dyDescent="0.2">
      <c r="A16" s="206" t="s">
        <v>354</v>
      </c>
      <c r="B16" s="26">
        <v>1481</v>
      </c>
      <c r="C16" s="200" t="s">
        <v>29</v>
      </c>
      <c r="D16" s="200" t="s">
        <v>45</v>
      </c>
      <c r="E16" s="200" t="s">
        <v>31</v>
      </c>
      <c r="F16" s="200" t="s">
        <v>714</v>
      </c>
      <c r="G16" s="200" t="s">
        <v>33</v>
      </c>
      <c r="H16" s="200">
        <v>1419</v>
      </c>
      <c r="I16" s="200">
        <v>246294</v>
      </c>
      <c r="J16" s="42">
        <v>36880000</v>
      </c>
      <c r="K16" s="201">
        <v>1</v>
      </c>
      <c r="L16" s="215" t="s">
        <v>128</v>
      </c>
      <c r="M16" s="215" t="s">
        <v>27</v>
      </c>
      <c r="N16" s="196">
        <v>44886</v>
      </c>
      <c r="O16" s="195">
        <v>1</v>
      </c>
      <c r="P16" s="240" t="s">
        <v>27</v>
      </c>
      <c r="Q16" s="281" t="s">
        <v>128</v>
      </c>
      <c r="R16" s="240" t="s">
        <v>27</v>
      </c>
      <c r="S16" s="281" t="s">
        <v>128</v>
      </c>
      <c r="T16" s="240" t="s">
        <v>27</v>
      </c>
      <c r="U16" s="240">
        <v>4</v>
      </c>
      <c r="V16" s="240" t="s">
        <v>705</v>
      </c>
      <c r="W16" s="240" t="s">
        <v>27</v>
      </c>
      <c r="X16" s="281" t="s">
        <v>128</v>
      </c>
      <c r="Y16" s="281" t="s">
        <v>128</v>
      </c>
      <c r="Z16" s="240" t="s">
        <v>27</v>
      </c>
      <c r="AA16" s="281" t="s">
        <v>128</v>
      </c>
      <c r="AB16" s="281" t="s">
        <v>128</v>
      </c>
      <c r="AC16" s="240" t="s">
        <v>27</v>
      </c>
      <c r="AD16" s="281" t="s">
        <v>128</v>
      </c>
      <c r="AE16" s="240" t="s">
        <v>715</v>
      </c>
      <c r="AF16" s="240" t="s">
        <v>27</v>
      </c>
      <c r="AG16" s="281" t="s">
        <v>128</v>
      </c>
      <c r="AH16" s="281" t="s">
        <v>128</v>
      </c>
      <c r="AI16" s="228"/>
      <c r="AJ16" s="140"/>
      <c r="AK16" s="228"/>
      <c r="AL16" s="228"/>
      <c r="AM16" s="228" t="s">
        <v>716</v>
      </c>
      <c r="AN16" s="140" t="s">
        <v>240</v>
      </c>
      <c r="AO16" s="228"/>
      <c r="AP16" s="228"/>
      <c r="AQ16" s="228"/>
      <c r="AR16" s="228"/>
      <c r="AS16" s="228"/>
      <c r="AT16" s="228"/>
      <c r="AU16" s="228"/>
      <c r="AV16" s="228"/>
      <c r="AW16" s="228"/>
      <c r="AX16" s="228"/>
      <c r="AY16" s="228"/>
      <c r="AZ16" s="228"/>
      <c r="BA16" s="228"/>
      <c r="BB16" s="228"/>
      <c r="BC16" s="228"/>
      <c r="BD16" s="228"/>
      <c r="BE16" s="228"/>
      <c r="BF16" s="228"/>
      <c r="BG16" s="140" t="s">
        <v>358</v>
      </c>
      <c r="BH16" s="140" t="s">
        <v>264</v>
      </c>
      <c r="BI16" s="140" t="s">
        <v>264</v>
      </c>
    </row>
    <row r="17" spans="1:61" s="48" customFormat="1" x14ac:dyDescent="0.2">
      <c r="A17" s="206" t="s">
        <v>354</v>
      </c>
      <c r="B17" s="26">
        <v>1486</v>
      </c>
      <c r="C17" s="200" t="s">
        <v>29</v>
      </c>
      <c r="D17" s="200" t="s">
        <v>717</v>
      </c>
      <c r="E17" s="200" t="s">
        <v>38</v>
      </c>
      <c r="F17" s="200" t="s">
        <v>462</v>
      </c>
      <c r="G17" s="200" t="s">
        <v>44</v>
      </c>
      <c r="H17" s="200">
        <v>17280</v>
      </c>
      <c r="I17" s="200">
        <v>29475</v>
      </c>
      <c r="J17" s="42">
        <v>15000000</v>
      </c>
      <c r="K17" s="201">
        <v>1</v>
      </c>
      <c r="L17" s="215" t="s">
        <v>128</v>
      </c>
      <c r="M17" s="215" t="s">
        <v>27</v>
      </c>
      <c r="N17" s="196">
        <v>44875</v>
      </c>
      <c r="O17" s="195">
        <v>1</v>
      </c>
      <c r="P17" s="240" t="s">
        <v>27</v>
      </c>
      <c r="Q17" s="281" t="s">
        <v>128</v>
      </c>
      <c r="R17" s="240" t="s">
        <v>27</v>
      </c>
      <c r="S17" s="240">
        <v>1.5</v>
      </c>
      <c r="T17" s="240" t="s">
        <v>27</v>
      </c>
      <c r="U17" s="281" t="s">
        <v>128</v>
      </c>
      <c r="V17" s="240" t="s">
        <v>555</v>
      </c>
      <c r="W17" s="240" t="s">
        <v>27</v>
      </c>
      <c r="X17" s="281" t="s">
        <v>128</v>
      </c>
      <c r="Y17" s="281" t="s">
        <v>128</v>
      </c>
      <c r="Z17" s="240" t="s">
        <v>27</v>
      </c>
      <c r="AA17" s="281" t="s">
        <v>128</v>
      </c>
      <c r="AB17" s="281" t="s">
        <v>128</v>
      </c>
      <c r="AC17" s="240" t="s">
        <v>27</v>
      </c>
      <c r="AD17" s="281" t="s">
        <v>128</v>
      </c>
      <c r="AE17" s="281" t="s">
        <v>128</v>
      </c>
      <c r="AF17" s="240" t="s">
        <v>27</v>
      </c>
      <c r="AG17" s="281" t="s">
        <v>128</v>
      </c>
      <c r="AH17" s="281" t="s">
        <v>128</v>
      </c>
      <c r="AI17" s="228"/>
      <c r="AJ17" s="228"/>
      <c r="AK17" s="228"/>
      <c r="AL17" s="228"/>
      <c r="AM17" s="228" t="s">
        <v>716</v>
      </c>
      <c r="AN17" s="140" t="s">
        <v>240</v>
      </c>
      <c r="AO17" s="228"/>
      <c r="AP17" s="228"/>
      <c r="AQ17" s="228"/>
      <c r="AR17" s="228"/>
      <c r="AS17" s="228"/>
      <c r="AT17" s="228"/>
      <c r="AU17" s="228"/>
      <c r="AV17" s="228"/>
      <c r="AW17" s="228"/>
      <c r="AX17" s="228"/>
      <c r="AY17" s="228"/>
      <c r="AZ17" s="228"/>
      <c r="BA17" s="228"/>
      <c r="BB17" s="228"/>
      <c r="BC17" s="228"/>
      <c r="BD17" s="228"/>
      <c r="BE17" s="228"/>
      <c r="BF17" s="228"/>
      <c r="BG17" s="279" t="s">
        <v>358</v>
      </c>
      <c r="BH17" s="140" t="s">
        <v>264</v>
      </c>
      <c r="BI17" s="140" t="s">
        <v>264</v>
      </c>
    </row>
    <row r="18" spans="1:61" s="48" customFormat="1" x14ac:dyDescent="0.2">
      <c r="A18" s="206" t="s">
        <v>354</v>
      </c>
      <c r="B18" s="26">
        <v>1487</v>
      </c>
      <c r="C18" s="200" t="s">
        <v>29</v>
      </c>
      <c r="D18" s="200" t="s">
        <v>718</v>
      </c>
      <c r="E18" s="200" t="s">
        <v>24</v>
      </c>
      <c r="F18" s="200" t="s">
        <v>102</v>
      </c>
      <c r="G18" s="200" t="s">
        <v>44</v>
      </c>
      <c r="H18" s="200">
        <v>17280</v>
      </c>
      <c r="I18" s="200">
        <v>29324</v>
      </c>
      <c r="J18" s="42">
        <v>25000000</v>
      </c>
      <c r="K18" s="201">
        <v>1</v>
      </c>
      <c r="L18" s="215" t="s">
        <v>128</v>
      </c>
      <c r="M18" s="215" t="s">
        <v>27</v>
      </c>
      <c r="N18" s="197" t="s">
        <v>128</v>
      </c>
      <c r="O18" s="195">
        <v>1</v>
      </c>
      <c r="P18" s="240" t="s">
        <v>27</v>
      </c>
      <c r="Q18" s="281" t="s">
        <v>128</v>
      </c>
      <c r="R18" s="240" t="s">
        <v>27</v>
      </c>
      <c r="S18" s="240">
        <v>1.5</v>
      </c>
      <c r="T18" s="240" t="s">
        <v>27</v>
      </c>
      <c r="U18" s="281" t="s">
        <v>128</v>
      </c>
      <c r="V18" s="281" t="s">
        <v>128</v>
      </c>
      <c r="W18" s="240" t="s">
        <v>27</v>
      </c>
      <c r="X18" s="281" t="s">
        <v>128</v>
      </c>
      <c r="Y18" s="281" t="s">
        <v>128</v>
      </c>
      <c r="Z18" s="240" t="s">
        <v>27</v>
      </c>
      <c r="AA18" s="281" t="s">
        <v>128</v>
      </c>
      <c r="AB18" s="281" t="s">
        <v>128</v>
      </c>
      <c r="AC18" s="240" t="s">
        <v>27</v>
      </c>
      <c r="AD18" s="281" t="s">
        <v>128</v>
      </c>
      <c r="AE18" s="281" t="s">
        <v>128</v>
      </c>
      <c r="AF18" s="240" t="s">
        <v>27</v>
      </c>
      <c r="AG18" s="281" t="s">
        <v>128</v>
      </c>
      <c r="AH18" s="281" t="s">
        <v>128</v>
      </c>
      <c r="AI18" s="228"/>
      <c r="AJ18" s="228"/>
      <c r="AK18" s="228"/>
      <c r="AL18" s="228"/>
      <c r="AM18" s="228" t="s">
        <v>716</v>
      </c>
      <c r="AN18" s="140" t="s">
        <v>240</v>
      </c>
      <c r="AO18" s="228"/>
      <c r="AP18" s="228"/>
      <c r="AQ18" s="228"/>
      <c r="AR18" s="228"/>
      <c r="AS18" s="228"/>
      <c r="AT18" s="228"/>
      <c r="AU18" s="228"/>
      <c r="AV18" s="228"/>
      <c r="AW18" s="228"/>
      <c r="AX18" s="228"/>
      <c r="AY18" s="228"/>
      <c r="AZ18" s="228"/>
      <c r="BA18" s="228"/>
      <c r="BB18" s="228"/>
      <c r="BC18" s="228"/>
      <c r="BD18" s="228"/>
      <c r="BE18" s="228"/>
      <c r="BF18" s="228"/>
      <c r="BG18" s="279" t="s">
        <v>358</v>
      </c>
      <c r="BH18" s="140" t="s">
        <v>264</v>
      </c>
      <c r="BI18" s="140" t="s">
        <v>264</v>
      </c>
    </row>
    <row r="19" spans="1:61" s="48" customFormat="1" x14ac:dyDescent="0.2">
      <c r="A19" s="206" t="s">
        <v>354</v>
      </c>
      <c r="B19" s="26">
        <v>1489</v>
      </c>
      <c r="C19" s="200" t="s">
        <v>29</v>
      </c>
      <c r="D19" s="200" t="s">
        <v>719</v>
      </c>
      <c r="E19" s="200" t="s">
        <v>38</v>
      </c>
      <c r="F19" s="200" t="s">
        <v>720</v>
      </c>
      <c r="G19" s="200" t="s">
        <v>106</v>
      </c>
      <c r="H19" s="200" t="s">
        <v>721</v>
      </c>
      <c r="I19" s="200">
        <v>4019722</v>
      </c>
      <c r="J19" s="42">
        <v>26500000</v>
      </c>
      <c r="K19" s="201">
        <v>1</v>
      </c>
      <c r="L19" s="215" t="s">
        <v>128</v>
      </c>
      <c r="M19" s="215" t="s">
        <v>27</v>
      </c>
      <c r="N19" s="197" t="s">
        <v>128</v>
      </c>
      <c r="O19" s="195">
        <v>1</v>
      </c>
      <c r="P19" s="240" t="s">
        <v>27</v>
      </c>
      <c r="Q19" s="281" t="s">
        <v>128</v>
      </c>
      <c r="R19" s="240" t="s">
        <v>27</v>
      </c>
      <c r="S19" s="281" t="s">
        <v>128</v>
      </c>
      <c r="T19" s="240" t="s">
        <v>27</v>
      </c>
      <c r="U19" s="281" t="s">
        <v>128</v>
      </c>
      <c r="V19" s="281" t="s">
        <v>128</v>
      </c>
      <c r="W19" s="240" t="s">
        <v>27</v>
      </c>
      <c r="X19" s="281" t="s">
        <v>128</v>
      </c>
      <c r="Y19" s="281" t="s">
        <v>128</v>
      </c>
      <c r="Z19" s="240" t="s">
        <v>27</v>
      </c>
      <c r="AA19" s="281" t="s">
        <v>128</v>
      </c>
      <c r="AB19" s="281" t="s">
        <v>128</v>
      </c>
      <c r="AC19" s="240" t="s">
        <v>27</v>
      </c>
      <c r="AD19" s="281" t="s">
        <v>128</v>
      </c>
      <c r="AE19" s="281" t="s">
        <v>128</v>
      </c>
      <c r="AF19" s="240" t="s">
        <v>27</v>
      </c>
      <c r="AG19" s="281" t="s">
        <v>128</v>
      </c>
      <c r="AH19" s="281" t="s">
        <v>128</v>
      </c>
      <c r="AI19" s="228"/>
      <c r="AJ19" s="140"/>
      <c r="AK19" s="228"/>
      <c r="AL19" s="228"/>
      <c r="AM19" s="228" t="s">
        <v>716</v>
      </c>
      <c r="AN19" s="140" t="s">
        <v>240</v>
      </c>
      <c r="AO19" s="228"/>
      <c r="AP19" s="228"/>
      <c r="AQ19" s="228"/>
      <c r="AR19" s="228"/>
      <c r="AS19" s="228"/>
      <c r="AT19" s="228"/>
      <c r="AU19" s="228"/>
      <c r="AV19" s="228"/>
      <c r="AW19" s="228"/>
      <c r="AX19" s="228"/>
      <c r="AY19" s="228"/>
      <c r="AZ19" s="228"/>
      <c r="BA19" s="228"/>
      <c r="BB19" s="228"/>
      <c r="BC19" s="228"/>
      <c r="BD19" s="228"/>
      <c r="BE19" s="228"/>
      <c r="BF19" s="228"/>
      <c r="BG19" s="140" t="s">
        <v>358</v>
      </c>
      <c r="BH19" s="140" t="s">
        <v>264</v>
      </c>
      <c r="BI19" s="140" t="s">
        <v>264</v>
      </c>
    </row>
    <row r="20" spans="1:61" s="48" customFormat="1" ht="14.25" customHeight="1" x14ac:dyDescent="0.2">
      <c r="A20" s="206" t="s">
        <v>354</v>
      </c>
      <c r="B20" s="26">
        <v>1490</v>
      </c>
      <c r="C20" s="200" t="s">
        <v>29</v>
      </c>
      <c r="D20" s="200" t="s">
        <v>719</v>
      </c>
      <c r="E20" s="200" t="s">
        <v>38</v>
      </c>
      <c r="F20" s="200" t="s">
        <v>720</v>
      </c>
      <c r="G20" s="200" t="s">
        <v>106</v>
      </c>
      <c r="H20" s="200" t="s">
        <v>721</v>
      </c>
      <c r="I20" s="200">
        <v>4019685</v>
      </c>
      <c r="J20" s="42">
        <v>26500000</v>
      </c>
      <c r="K20" s="201">
        <v>1</v>
      </c>
      <c r="L20" s="215" t="s">
        <v>128</v>
      </c>
      <c r="M20" s="215" t="s">
        <v>27</v>
      </c>
      <c r="N20" s="197" t="s">
        <v>128</v>
      </c>
      <c r="O20" s="195">
        <v>1</v>
      </c>
      <c r="P20" s="240" t="s">
        <v>27</v>
      </c>
      <c r="Q20" s="281" t="s">
        <v>128</v>
      </c>
      <c r="R20" s="240" t="s">
        <v>27</v>
      </c>
      <c r="S20" s="281" t="s">
        <v>128</v>
      </c>
      <c r="T20" s="240" t="s">
        <v>27</v>
      </c>
      <c r="U20" s="281" t="s">
        <v>128</v>
      </c>
      <c r="V20" s="281" t="s">
        <v>128</v>
      </c>
      <c r="W20" s="240" t="s">
        <v>27</v>
      </c>
      <c r="X20" s="281" t="s">
        <v>128</v>
      </c>
      <c r="Y20" s="281" t="s">
        <v>128</v>
      </c>
      <c r="Z20" s="240" t="s">
        <v>27</v>
      </c>
      <c r="AA20" s="281" t="s">
        <v>128</v>
      </c>
      <c r="AB20" s="281" t="s">
        <v>128</v>
      </c>
      <c r="AC20" s="240" t="s">
        <v>27</v>
      </c>
      <c r="AD20" s="281" t="s">
        <v>128</v>
      </c>
      <c r="AE20" s="281" t="s">
        <v>128</v>
      </c>
      <c r="AF20" s="240" t="s">
        <v>27</v>
      </c>
      <c r="AG20" s="281" t="s">
        <v>128</v>
      </c>
      <c r="AH20" s="281" t="s">
        <v>128</v>
      </c>
      <c r="AI20" s="228"/>
      <c r="AJ20" s="140"/>
      <c r="AK20" s="228"/>
      <c r="AL20" s="228"/>
      <c r="AM20" s="228" t="s">
        <v>716</v>
      </c>
      <c r="AN20" s="140" t="s">
        <v>240</v>
      </c>
      <c r="AO20" s="228"/>
      <c r="AP20" s="228"/>
      <c r="AQ20" s="228"/>
      <c r="AR20" s="228"/>
      <c r="AS20" s="228"/>
      <c r="AT20" s="228"/>
      <c r="AU20" s="228"/>
      <c r="AV20" s="228"/>
      <c r="AW20" s="228"/>
      <c r="AX20" s="228"/>
      <c r="AY20" s="228"/>
      <c r="AZ20" s="228"/>
      <c r="BA20" s="228"/>
      <c r="BB20" s="228"/>
      <c r="BC20" s="228"/>
      <c r="BD20" s="228"/>
      <c r="BE20" s="228"/>
      <c r="BF20" s="228"/>
      <c r="BG20" s="140" t="s">
        <v>358</v>
      </c>
      <c r="BH20" s="140" t="s">
        <v>264</v>
      </c>
      <c r="BI20" s="140" t="s">
        <v>264</v>
      </c>
    </row>
    <row r="21" spans="1:61" s="48" customFormat="1" x14ac:dyDescent="0.2">
      <c r="A21" s="206" t="s">
        <v>354</v>
      </c>
      <c r="B21" s="26">
        <v>1494</v>
      </c>
      <c r="C21" s="26" t="s">
        <v>22</v>
      </c>
      <c r="D21" s="26" t="s">
        <v>106</v>
      </c>
      <c r="E21" s="26" t="s">
        <v>38</v>
      </c>
      <c r="F21" s="26" t="s">
        <v>722</v>
      </c>
      <c r="G21" s="26" t="s">
        <v>106</v>
      </c>
      <c r="H21" s="26" t="s">
        <v>723</v>
      </c>
      <c r="I21" s="26">
        <v>4025197</v>
      </c>
      <c r="J21" s="230">
        <v>25500000</v>
      </c>
      <c r="K21" s="201">
        <v>1</v>
      </c>
      <c r="L21" s="215" t="s">
        <v>128</v>
      </c>
      <c r="M21" s="215" t="s">
        <v>27</v>
      </c>
      <c r="N21" s="197" t="s">
        <v>128</v>
      </c>
      <c r="O21" s="195">
        <v>1</v>
      </c>
      <c r="P21" s="240" t="s">
        <v>27</v>
      </c>
      <c r="Q21" s="278" t="s">
        <v>128</v>
      </c>
      <c r="R21" s="240" t="s">
        <v>27</v>
      </c>
      <c r="S21" s="278" t="s">
        <v>128</v>
      </c>
      <c r="T21" s="240" t="s">
        <v>27</v>
      </c>
      <c r="U21" s="278" t="s">
        <v>128</v>
      </c>
      <c r="V21" s="278" t="s">
        <v>128</v>
      </c>
      <c r="W21" s="240" t="s">
        <v>27</v>
      </c>
      <c r="X21" s="278" t="s">
        <v>128</v>
      </c>
      <c r="Y21" s="278" t="s">
        <v>128</v>
      </c>
      <c r="Z21" s="240" t="s">
        <v>27</v>
      </c>
      <c r="AA21" s="278" t="s">
        <v>128</v>
      </c>
      <c r="AB21" s="278" t="s">
        <v>128</v>
      </c>
      <c r="AC21" s="240" t="s">
        <v>27</v>
      </c>
      <c r="AD21" s="281" t="s">
        <v>128</v>
      </c>
      <c r="AE21" s="281" t="s">
        <v>128</v>
      </c>
      <c r="AF21" s="240" t="s">
        <v>27</v>
      </c>
      <c r="AG21" s="281" t="s">
        <v>128</v>
      </c>
      <c r="AH21" s="281" t="s">
        <v>128</v>
      </c>
      <c r="AI21" s="228"/>
      <c r="AJ21" s="228"/>
      <c r="AK21" s="228"/>
      <c r="AL21" s="228"/>
      <c r="AM21" s="228"/>
      <c r="AN21" s="228"/>
      <c r="AO21" s="228"/>
      <c r="AP21" s="228"/>
      <c r="AQ21" s="228"/>
      <c r="AR21" s="228"/>
      <c r="AS21" s="228"/>
      <c r="AT21" s="228"/>
      <c r="AU21" s="228"/>
      <c r="AV21" s="228"/>
      <c r="AW21" s="228"/>
      <c r="AX21" s="228"/>
      <c r="AY21" s="228"/>
      <c r="AZ21" s="228"/>
      <c r="BA21" s="228"/>
      <c r="BB21" s="228"/>
      <c r="BC21" s="228"/>
      <c r="BD21" s="228"/>
      <c r="BE21" s="228"/>
      <c r="BF21" s="228"/>
      <c r="BG21" s="140">
        <v>4</v>
      </c>
      <c r="BH21" s="140" t="s">
        <v>264</v>
      </c>
      <c r="BI21" s="140"/>
    </row>
    <row r="22" spans="1:61" s="48" customFormat="1" x14ac:dyDescent="0.2">
      <c r="A22" s="206" t="s">
        <v>354</v>
      </c>
      <c r="B22" s="26">
        <v>1495</v>
      </c>
      <c r="C22" s="26" t="s">
        <v>22</v>
      </c>
      <c r="D22" s="26" t="s">
        <v>106</v>
      </c>
      <c r="E22" s="26" t="s">
        <v>38</v>
      </c>
      <c r="F22" s="26" t="s">
        <v>722</v>
      </c>
      <c r="G22" s="26" t="s">
        <v>106</v>
      </c>
      <c r="H22" s="26" t="s">
        <v>723</v>
      </c>
      <c r="I22" s="26">
        <v>4025241</v>
      </c>
      <c r="J22" s="230">
        <v>25500000</v>
      </c>
      <c r="K22" s="201">
        <v>1</v>
      </c>
      <c r="L22" s="215" t="s">
        <v>128</v>
      </c>
      <c r="M22" s="215" t="s">
        <v>27</v>
      </c>
      <c r="N22" s="197" t="s">
        <v>128</v>
      </c>
      <c r="O22" s="195">
        <v>1</v>
      </c>
      <c r="P22" s="240" t="s">
        <v>27</v>
      </c>
      <c r="Q22" s="45" t="s">
        <v>128</v>
      </c>
      <c r="R22" s="240" t="s">
        <v>27</v>
      </c>
      <c r="S22" s="45" t="s">
        <v>128</v>
      </c>
      <c r="T22" s="240" t="s">
        <v>27</v>
      </c>
      <c r="U22" s="45" t="s">
        <v>128</v>
      </c>
      <c r="V22" s="45" t="s">
        <v>128</v>
      </c>
      <c r="W22" s="240" t="s">
        <v>27</v>
      </c>
      <c r="X22" s="45" t="s">
        <v>128</v>
      </c>
      <c r="Y22" s="45" t="s">
        <v>128</v>
      </c>
      <c r="Z22" s="240" t="s">
        <v>27</v>
      </c>
      <c r="AA22" s="45" t="s">
        <v>128</v>
      </c>
      <c r="AB22" s="45" t="s">
        <v>128</v>
      </c>
      <c r="AC22" s="240" t="s">
        <v>27</v>
      </c>
      <c r="AD22" s="281" t="s">
        <v>128</v>
      </c>
      <c r="AE22" s="281" t="s">
        <v>128</v>
      </c>
      <c r="AF22" s="240" t="s">
        <v>27</v>
      </c>
      <c r="AG22" s="281" t="s">
        <v>128</v>
      </c>
      <c r="AH22" s="281" t="s">
        <v>128</v>
      </c>
      <c r="AI22" s="228"/>
      <c r="AJ22" s="228"/>
      <c r="AK22" s="228"/>
      <c r="AL22" s="228"/>
      <c r="AM22" s="228" t="s">
        <v>724</v>
      </c>
      <c r="AN22" s="228" t="s">
        <v>240</v>
      </c>
      <c r="AO22" s="228"/>
      <c r="AP22" s="228"/>
      <c r="AQ22" s="228"/>
      <c r="AR22" s="228"/>
      <c r="AS22" s="228"/>
      <c r="AT22" s="228"/>
      <c r="AU22" s="228"/>
      <c r="AV22" s="228"/>
      <c r="AW22" s="228"/>
      <c r="AX22" s="228"/>
      <c r="AY22" s="228"/>
      <c r="AZ22" s="228"/>
      <c r="BA22" s="228"/>
      <c r="BB22" s="228"/>
      <c r="BC22" s="228"/>
      <c r="BD22" s="228"/>
      <c r="BE22" s="228"/>
      <c r="BF22" s="228"/>
      <c r="BG22" s="140">
        <v>3</v>
      </c>
      <c r="BH22" s="140" t="s">
        <v>264</v>
      </c>
      <c r="BI22" s="140"/>
    </row>
    <row r="23" spans="1:61" s="48" customFormat="1" x14ac:dyDescent="0.2">
      <c r="A23" s="206" t="s">
        <v>354</v>
      </c>
      <c r="B23" s="26">
        <v>1502</v>
      </c>
      <c r="C23" s="26" t="s">
        <v>22</v>
      </c>
      <c r="D23" s="26" t="s">
        <v>106</v>
      </c>
      <c r="E23" s="26" t="s">
        <v>38</v>
      </c>
      <c r="F23" s="26" t="s">
        <v>59</v>
      </c>
      <c r="G23" s="26" t="s">
        <v>106</v>
      </c>
      <c r="H23" s="26" t="s">
        <v>725</v>
      </c>
      <c r="I23" s="26">
        <v>4028255</v>
      </c>
      <c r="J23" s="230">
        <v>25500000</v>
      </c>
      <c r="K23" s="201">
        <v>1</v>
      </c>
      <c r="L23" s="215" t="s">
        <v>128</v>
      </c>
      <c r="M23" s="215" t="s">
        <v>27</v>
      </c>
      <c r="N23" s="197" t="s">
        <v>128</v>
      </c>
      <c r="O23" s="46">
        <v>1</v>
      </c>
      <c r="P23" s="240" t="s">
        <v>27</v>
      </c>
      <c r="Q23" s="45" t="s">
        <v>128</v>
      </c>
      <c r="R23" s="240" t="s">
        <v>27</v>
      </c>
      <c r="S23" s="45" t="s">
        <v>128</v>
      </c>
      <c r="T23" s="240" t="s">
        <v>27</v>
      </c>
      <c r="U23" s="45" t="s">
        <v>128</v>
      </c>
      <c r="V23" s="45" t="s">
        <v>128</v>
      </c>
      <c r="W23" s="240" t="s">
        <v>27</v>
      </c>
      <c r="X23" s="45" t="s">
        <v>128</v>
      </c>
      <c r="Y23" s="45" t="s">
        <v>128</v>
      </c>
      <c r="Z23" s="240" t="s">
        <v>27</v>
      </c>
      <c r="AA23" s="45" t="s">
        <v>128</v>
      </c>
      <c r="AB23" s="45" t="s">
        <v>128</v>
      </c>
      <c r="AC23" s="240" t="s">
        <v>27</v>
      </c>
      <c r="AD23" s="281" t="s">
        <v>128</v>
      </c>
      <c r="AE23" s="281" t="s">
        <v>128</v>
      </c>
      <c r="AF23" s="240" t="s">
        <v>27</v>
      </c>
      <c r="AG23" s="281" t="s">
        <v>128</v>
      </c>
      <c r="AH23" s="281" t="s">
        <v>128</v>
      </c>
      <c r="AI23" s="228"/>
      <c r="AJ23" s="228"/>
      <c r="AK23" s="228"/>
      <c r="AL23" s="228"/>
      <c r="AM23" s="228" t="s">
        <v>726</v>
      </c>
      <c r="AN23" s="228" t="s">
        <v>240</v>
      </c>
      <c r="AO23" s="228"/>
      <c r="AP23" s="228"/>
      <c r="AQ23" s="228"/>
      <c r="AR23" s="228"/>
      <c r="AS23" s="228"/>
      <c r="AT23" s="228"/>
      <c r="AU23" s="228"/>
      <c r="AV23" s="228"/>
      <c r="AW23" s="228"/>
      <c r="AX23" s="228"/>
      <c r="AY23" s="228"/>
      <c r="AZ23" s="228"/>
      <c r="BA23" s="228"/>
      <c r="BB23" s="228"/>
      <c r="BC23" s="228"/>
      <c r="BD23" s="228"/>
      <c r="BE23" s="228"/>
      <c r="BF23" s="228"/>
      <c r="BG23" s="140" t="s">
        <v>269</v>
      </c>
      <c r="BH23" s="228" t="s">
        <v>264</v>
      </c>
      <c r="BI23" s="140" t="s">
        <v>264</v>
      </c>
    </row>
    <row r="24" spans="1:61" s="48" customFormat="1" x14ac:dyDescent="0.2">
      <c r="A24" s="206" t="s">
        <v>354</v>
      </c>
      <c r="B24" s="26">
        <v>1539</v>
      </c>
      <c r="C24" s="26" t="s">
        <v>29</v>
      </c>
      <c r="D24" s="26" t="s">
        <v>109</v>
      </c>
      <c r="E24" s="26" t="s">
        <v>38</v>
      </c>
      <c r="F24" s="26" t="s">
        <v>727</v>
      </c>
      <c r="G24" s="26" t="s">
        <v>728</v>
      </c>
      <c r="H24" s="26"/>
      <c r="I24" s="26"/>
      <c r="J24" s="230">
        <v>10000000</v>
      </c>
      <c r="K24" s="201">
        <v>1</v>
      </c>
      <c r="L24" s="215" t="s">
        <v>128</v>
      </c>
      <c r="M24" s="215" t="s">
        <v>27</v>
      </c>
      <c r="N24" s="196">
        <v>44880</v>
      </c>
      <c r="O24" s="46">
        <v>1</v>
      </c>
      <c r="P24" s="240" t="s">
        <v>27</v>
      </c>
      <c r="Q24" s="45" t="s">
        <v>128</v>
      </c>
      <c r="R24" s="240" t="s">
        <v>27</v>
      </c>
      <c r="S24" s="45" t="s">
        <v>128</v>
      </c>
      <c r="T24" s="240" t="s">
        <v>27</v>
      </c>
      <c r="U24" s="45" t="s">
        <v>128</v>
      </c>
      <c r="V24" s="45" t="s">
        <v>128</v>
      </c>
      <c r="W24" s="240" t="s">
        <v>27</v>
      </c>
      <c r="X24" s="45" t="s">
        <v>128</v>
      </c>
      <c r="Y24" s="45" t="s">
        <v>128</v>
      </c>
      <c r="Z24" s="240" t="s">
        <v>27</v>
      </c>
      <c r="AA24" s="45" t="s">
        <v>128</v>
      </c>
      <c r="AB24" s="45" t="s">
        <v>128</v>
      </c>
      <c r="AC24" s="240" t="s">
        <v>27</v>
      </c>
      <c r="AD24" s="281" t="s">
        <v>128</v>
      </c>
      <c r="AE24" s="281" t="s">
        <v>128</v>
      </c>
      <c r="AF24" s="240" t="s">
        <v>27</v>
      </c>
      <c r="AG24" s="281" t="s">
        <v>128</v>
      </c>
      <c r="AH24" s="281" t="s">
        <v>128</v>
      </c>
      <c r="AI24" s="228"/>
      <c r="AJ24" s="228"/>
      <c r="AK24" s="228"/>
      <c r="AL24" s="228"/>
      <c r="AM24" s="228"/>
      <c r="AN24" s="228"/>
      <c r="AO24" s="228"/>
      <c r="AP24" s="228"/>
      <c r="AQ24" s="228"/>
      <c r="AR24" s="228"/>
      <c r="AS24" s="228"/>
      <c r="AT24" s="228"/>
      <c r="AU24" s="228"/>
      <c r="AV24" s="228"/>
      <c r="AW24" s="228"/>
      <c r="AX24" s="228"/>
      <c r="AY24" s="228"/>
      <c r="AZ24" s="228"/>
      <c r="BA24" s="228"/>
      <c r="BB24" s="228"/>
      <c r="BC24" s="228"/>
      <c r="BD24" s="228"/>
      <c r="BE24" s="228"/>
      <c r="BF24" s="228"/>
      <c r="BG24" s="140" t="s">
        <v>358</v>
      </c>
      <c r="BH24" s="228" t="s">
        <v>264</v>
      </c>
      <c r="BI24" s="140" t="s">
        <v>264</v>
      </c>
    </row>
    <row r="25" spans="1:61" ht="14.5" customHeight="1" x14ac:dyDescent="0.2">
      <c r="C25" s="8"/>
      <c r="D25" s="23"/>
      <c r="E25" s="8"/>
      <c r="F25" s="8"/>
      <c r="G25" s="8"/>
      <c r="H25" s="8"/>
      <c r="I25" s="8"/>
      <c r="J25" s="35"/>
      <c r="K25" s="19"/>
      <c r="L25" s="33"/>
      <c r="M25" s="19"/>
      <c r="N25"/>
      <c r="O25"/>
      <c r="P25"/>
      <c r="Q25"/>
      <c r="R25"/>
      <c r="S25"/>
      <c r="T25"/>
      <c r="U25"/>
      <c r="V25"/>
      <c r="W25"/>
      <c r="X25"/>
      <c r="Y25"/>
      <c r="Z25"/>
      <c r="AA25"/>
      <c r="AB25"/>
      <c r="AC25"/>
    </row>
    <row r="26" spans="1:61" s="8" customFormat="1" ht="14.5" customHeight="1" x14ac:dyDescent="0.2">
      <c r="C26" s="366" t="s">
        <v>83</v>
      </c>
      <c r="D26" s="366"/>
      <c r="E26" s="43" t="s">
        <v>4</v>
      </c>
      <c r="F26" s="1"/>
      <c r="G26" s="1"/>
      <c r="H26" s="31" t="s">
        <v>729</v>
      </c>
      <c r="I26" s="30">
        <f>SUM(O2:O24)</f>
        <v>23</v>
      </c>
      <c r="J26" s="20">
        <f>SUM(J2:J24)</f>
        <v>675680000</v>
      </c>
      <c r="K26" s="24">
        <f>SUM(P26:AB26)</f>
        <v>1</v>
      </c>
      <c r="L26" s="1"/>
      <c r="M26" s="1"/>
      <c r="N26" s="21"/>
      <c r="P26" s="19">
        <v>0.03</v>
      </c>
      <c r="Q26" s="19"/>
      <c r="R26" s="19">
        <v>0.1</v>
      </c>
      <c r="S26" s="19"/>
      <c r="T26" s="19">
        <v>0.3</v>
      </c>
      <c r="U26" s="19"/>
      <c r="V26" s="19">
        <v>0.3</v>
      </c>
      <c r="W26" s="19"/>
      <c r="X26" s="19">
        <v>0.1</v>
      </c>
      <c r="Y26" s="19"/>
      <c r="Z26" s="19">
        <v>0.12</v>
      </c>
      <c r="AA26" s="19"/>
      <c r="AB26" s="19">
        <v>0.05</v>
      </c>
      <c r="AC26" s="19"/>
    </row>
    <row r="27" spans="1:61" ht="14.5" customHeight="1" x14ac:dyDescent="0.2">
      <c r="C27" s="23" t="s">
        <v>24</v>
      </c>
      <c r="D27" s="8">
        <f t="shared" ref="D27:D34" si="0">SUMIF($E$2:$E$24,C27,$O$2:$O$24)</f>
        <v>6</v>
      </c>
      <c r="E27" s="23" t="s">
        <v>29</v>
      </c>
      <c r="F27" s="8">
        <f>SUMIF($C$2:$C$24,E27,$O$2:$O$28)</f>
        <v>12</v>
      </c>
      <c r="M27" s="360" t="s">
        <v>406</v>
      </c>
      <c r="N27" s="360"/>
      <c r="O27" s="360"/>
    </row>
    <row r="28" spans="1:61" s="8" customFormat="1" ht="14.5" customHeight="1" x14ac:dyDescent="0.2">
      <c r="C28" s="23" t="s">
        <v>66</v>
      </c>
      <c r="D28" s="8">
        <f t="shared" si="0"/>
        <v>3</v>
      </c>
      <c r="E28" s="23" t="s">
        <v>22</v>
      </c>
      <c r="F28" s="8">
        <f>SUMIF($C$2:$C$24,E28,$O$2:$O$28)</f>
        <v>11</v>
      </c>
      <c r="G28" s="1"/>
      <c r="H28" s="348" t="s">
        <v>75</v>
      </c>
      <c r="I28" s="348"/>
      <c r="J28" s="20">
        <f>SUMIF(K2:K24,K28,J2:J24)</f>
        <v>619980000</v>
      </c>
      <c r="K28" s="24">
        <v>1</v>
      </c>
      <c r="L28" s="1"/>
      <c r="M28" s="48"/>
      <c r="N28" s="43">
        <f>SUMIF($K$2:$K$24,K28,$O$2:$O$24)</f>
        <v>22</v>
      </c>
      <c r="O28" s="43"/>
      <c r="P28" s="1"/>
      <c r="Q28" s="1"/>
      <c r="R28" s="1"/>
      <c r="S28" s="1"/>
      <c r="T28" s="1"/>
      <c r="U28" s="1"/>
      <c r="V28" s="1"/>
      <c r="W28" s="1"/>
      <c r="X28" s="1"/>
      <c r="Y28" s="1"/>
      <c r="Z28" s="1"/>
      <c r="AA28" s="1"/>
      <c r="AB28" s="1"/>
      <c r="AC28" s="1"/>
    </row>
    <row r="29" spans="1:61" s="8" customFormat="1" ht="14.5" customHeight="1" x14ac:dyDescent="0.2">
      <c r="C29" s="1" t="s">
        <v>34</v>
      </c>
      <c r="D29" s="8">
        <f t="shared" si="0"/>
        <v>0</v>
      </c>
      <c r="E29" s="1"/>
      <c r="F29" s="1"/>
      <c r="G29" s="1"/>
      <c r="H29" s="1" t="s">
        <v>76</v>
      </c>
      <c r="I29" s="2" t="s">
        <v>730</v>
      </c>
      <c r="J29" s="20">
        <f>SUMIF($L$2:$L$24,K29,$J$2:$J$24)</f>
        <v>0</v>
      </c>
      <c r="K29" s="25">
        <v>1</v>
      </c>
      <c r="L29" s="1"/>
      <c r="M29" s="1"/>
      <c r="N29" s="21"/>
      <c r="P29" s="1"/>
      <c r="Q29" s="1"/>
      <c r="R29" s="1"/>
      <c r="S29" s="1"/>
      <c r="T29" s="1"/>
      <c r="U29" s="1"/>
      <c r="V29" s="1"/>
      <c r="W29" s="1"/>
      <c r="X29" s="1"/>
      <c r="Y29" s="1"/>
      <c r="Z29" s="1"/>
      <c r="AA29" s="1"/>
      <c r="AB29" s="1"/>
      <c r="AC29" s="1"/>
    </row>
    <row r="30" spans="1:61" s="8" customFormat="1" ht="14.5" customHeight="1" x14ac:dyDescent="0.2">
      <c r="C30" s="23" t="s">
        <v>31</v>
      </c>
      <c r="D30" s="8">
        <f t="shared" si="0"/>
        <v>4</v>
      </c>
      <c r="E30" s="1"/>
      <c r="F30" s="1"/>
      <c r="G30" s="1"/>
      <c r="H30" s="1" t="s">
        <v>76</v>
      </c>
      <c r="I30" s="2" t="s">
        <v>731</v>
      </c>
      <c r="J30" s="20">
        <f>SUMIF($L$2:$L$24,K30,$J$2:$J$24)</f>
        <v>0</v>
      </c>
      <c r="K30" s="25">
        <v>2</v>
      </c>
      <c r="L30" s="1"/>
      <c r="M30" s="1"/>
      <c r="N30" s="21"/>
      <c r="P30" s="1"/>
      <c r="Q30" s="1"/>
      <c r="R30" s="1"/>
      <c r="S30" s="1"/>
      <c r="T30" s="1"/>
      <c r="U30" s="1"/>
      <c r="V30" s="1"/>
      <c r="W30" s="1"/>
      <c r="X30" s="1"/>
      <c r="Y30" s="1"/>
      <c r="Z30" s="1"/>
      <c r="AA30" s="1"/>
      <c r="AB30" s="1"/>
      <c r="AC30" s="1"/>
    </row>
    <row r="31" spans="1:61" s="8" customFormat="1" ht="14.5" customHeight="1" x14ac:dyDescent="0.2">
      <c r="C31" s="23" t="s">
        <v>85</v>
      </c>
      <c r="D31" s="8">
        <f t="shared" si="0"/>
        <v>0</v>
      </c>
      <c r="E31" s="1"/>
      <c r="F31" s="1"/>
      <c r="G31" s="1"/>
      <c r="H31" s="1" t="s">
        <v>76</v>
      </c>
      <c r="I31" s="2" t="s">
        <v>732</v>
      </c>
      <c r="J31" s="20">
        <f>SUMIF($L$2:$L$24,K31,$J$2:$J$24)</f>
        <v>0</v>
      </c>
      <c r="K31" s="25">
        <v>3</v>
      </c>
      <c r="L31" s="1"/>
      <c r="M31" s="1"/>
      <c r="N31" s="21"/>
      <c r="P31" s="1"/>
      <c r="Q31" s="1"/>
      <c r="R31" s="1"/>
      <c r="S31" s="1"/>
      <c r="T31" s="1"/>
      <c r="U31" s="1"/>
      <c r="V31" s="1"/>
      <c r="W31" s="1"/>
      <c r="X31" s="1"/>
      <c r="Y31" s="1"/>
      <c r="Z31" s="1"/>
      <c r="AA31" s="1"/>
      <c r="AB31" s="1"/>
      <c r="AC31" s="1"/>
    </row>
    <row r="32" spans="1:61" s="8" customFormat="1" ht="14.5" customHeight="1" x14ac:dyDescent="0.2">
      <c r="C32" s="23" t="s">
        <v>34</v>
      </c>
      <c r="D32" s="8">
        <f t="shared" si="0"/>
        <v>0</v>
      </c>
      <c r="E32" s="1"/>
      <c r="F32" s="1"/>
      <c r="G32" s="1"/>
      <c r="H32" s="1" t="s">
        <v>76</v>
      </c>
      <c r="I32" s="2" t="s">
        <v>733</v>
      </c>
      <c r="J32" s="20">
        <f>SUMIF($L$2:$L$24,K32,$J$2:$J$24)</f>
        <v>0</v>
      </c>
      <c r="K32" s="25">
        <v>4</v>
      </c>
      <c r="L32" s="1"/>
      <c r="M32" s="1"/>
      <c r="N32" s="21"/>
      <c r="P32" s="1"/>
      <c r="Q32" s="1"/>
      <c r="R32" s="1"/>
      <c r="S32" s="1"/>
      <c r="T32" s="1"/>
      <c r="U32" s="1"/>
      <c r="V32" s="1"/>
      <c r="W32" s="1"/>
      <c r="X32" s="1"/>
      <c r="Y32" s="1"/>
      <c r="Z32" s="1"/>
      <c r="AA32" s="1"/>
      <c r="AB32" s="1"/>
      <c r="AC32" s="1"/>
    </row>
    <row r="33" spans="1:61" ht="14.5" customHeight="1" x14ac:dyDescent="0.2">
      <c r="C33" s="23" t="s">
        <v>46</v>
      </c>
      <c r="D33" s="8">
        <f t="shared" si="0"/>
        <v>1</v>
      </c>
      <c r="H33" s="1" t="s">
        <v>76</v>
      </c>
      <c r="I33" s="2" t="s">
        <v>734</v>
      </c>
      <c r="J33" s="20">
        <f>SUMIF($L$2:$L$24,K33,$J$2:$J$24)</f>
        <v>0</v>
      </c>
      <c r="K33" s="25">
        <v>5</v>
      </c>
    </row>
    <row r="34" spans="1:61" ht="14.5" customHeight="1" x14ac:dyDescent="0.2">
      <c r="C34" s="23" t="s">
        <v>38</v>
      </c>
      <c r="D34" s="8">
        <f t="shared" si="0"/>
        <v>8</v>
      </c>
    </row>
    <row r="35" spans="1:61" ht="14.5" customHeight="1" x14ac:dyDescent="0.2">
      <c r="L35" s="33"/>
    </row>
    <row r="36" spans="1:61" ht="14.5" customHeight="1" x14ac:dyDescent="0.2">
      <c r="C36" s="3" t="s">
        <v>157</v>
      </c>
      <c r="D36" s="8">
        <f>SUM(D27:D35)</f>
        <v>22</v>
      </c>
      <c r="E36" s="3" t="s">
        <v>157</v>
      </c>
      <c r="F36" s="8">
        <f>SUM(F27:F35)</f>
        <v>23</v>
      </c>
    </row>
    <row r="37" spans="1:61" s="57" customFormat="1" ht="29.25" customHeight="1" x14ac:dyDescent="0.2">
      <c r="A37" s="361" t="s">
        <v>158</v>
      </c>
      <c r="B37" s="361"/>
      <c r="C37" s="361"/>
      <c r="I37" s="58" t="s">
        <v>159</v>
      </c>
      <c r="J37" s="58" t="s">
        <v>160</v>
      </c>
      <c r="N37" s="59"/>
      <c r="O37" s="7"/>
      <c r="BI37" s="7"/>
    </row>
    <row r="38" spans="1:61" ht="14.5" customHeight="1" x14ac:dyDescent="0.2">
      <c r="A38" s="61">
        <v>44866</v>
      </c>
      <c r="B38" s="62" t="s">
        <v>161</v>
      </c>
      <c r="C38" s="409"/>
      <c r="D38" s="410"/>
      <c r="E38" s="410"/>
      <c r="F38" s="410"/>
      <c r="G38" s="410"/>
      <c r="H38" s="411"/>
      <c r="I38" s="63"/>
      <c r="J38" s="63"/>
    </row>
    <row r="39" spans="1:61" ht="14.5" customHeight="1" x14ac:dyDescent="0.2">
      <c r="A39" s="49">
        <f>+A38+1</f>
        <v>44867</v>
      </c>
      <c r="B39" s="50" t="s">
        <v>162</v>
      </c>
      <c r="C39" s="374"/>
      <c r="D39" s="375"/>
      <c r="E39" s="375"/>
      <c r="F39" s="375"/>
      <c r="G39" s="375"/>
      <c r="H39" s="376"/>
      <c r="I39" s="51"/>
      <c r="J39" s="51"/>
    </row>
    <row r="40" spans="1:61" ht="14.5" customHeight="1" x14ac:dyDescent="0.2">
      <c r="A40" s="49">
        <f t="shared" ref="A40:A68" si="1">+A39+1</f>
        <v>44868</v>
      </c>
      <c r="B40" s="50" t="s">
        <v>163</v>
      </c>
      <c r="C40" s="374"/>
      <c r="D40" s="375"/>
      <c r="E40" s="375"/>
      <c r="F40" s="375"/>
      <c r="G40" s="375"/>
      <c r="H40" s="376"/>
      <c r="I40" s="51"/>
      <c r="J40" s="51"/>
    </row>
    <row r="41" spans="1:61" ht="14.5" customHeight="1" x14ac:dyDescent="0.2">
      <c r="A41" s="49">
        <f t="shared" si="1"/>
        <v>44869</v>
      </c>
      <c r="B41" s="50" t="s">
        <v>164</v>
      </c>
      <c r="C41" s="374"/>
      <c r="D41" s="375"/>
      <c r="E41" s="375"/>
      <c r="F41" s="375"/>
      <c r="G41" s="375"/>
      <c r="H41" s="376"/>
      <c r="I41" s="51"/>
      <c r="J41" s="51"/>
    </row>
    <row r="42" spans="1:61" ht="14.5" customHeight="1" x14ac:dyDescent="0.2">
      <c r="A42" s="49">
        <f t="shared" si="1"/>
        <v>44870</v>
      </c>
      <c r="B42" s="50" t="s">
        <v>165</v>
      </c>
      <c r="C42" s="374"/>
      <c r="D42" s="375"/>
      <c r="E42" s="375"/>
      <c r="F42" s="375"/>
      <c r="G42" s="375"/>
      <c r="H42" s="376"/>
      <c r="I42" s="51"/>
      <c r="J42" s="51"/>
    </row>
    <row r="43" spans="1:61" ht="14.5" customHeight="1" x14ac:dyDescent="0.2">
      <c r="A43" s="49">
        <f t="shared" si="1"/>
        <v>44871</v>
      </c>
      <c r="B43" s="50" t="s">
        <v>166</v>
      </c>
      <c r="C43" s="374"/>
      <c r="D43" s="375"/>
      <c r="E43" s="375"/>
      <c r="F43" s="375"/>
      <c r="G43" s="375"/>
      <c r="H43" s="376"/>
      <c r="I43" s="51"/>
      <c r="J43" s="51"/>
    </row>
    <row r="44" spans="1:61" x14ac:dyDescent="0.2">
      <c r="A44" s="49">
        <f t="shared" si="1"/>
        <v>44872</v>
      </c>
      <c r="B44" s="50" t="s">
        <v>167</v>
      </c>
      <c r="C44" s="353"/>
      <c r="D44" s="353"/>
      <c r="E44" s="353"/>
      <c r="F44" s="353"/>
      <c r="G44" s="353"/>
      <c r="H44" s="353"/>
      <c r="I44" s="51"/>
      <c r="J44" s="51"/>
    </row>
    <row r="45" spans="1:61" x14ac:dyDescent="0.2">
      <c r="A45" s="49">
        <f t="shared" si="1"/>
        <v>44873</v>
      </c>
      <c r="B45" s="50" t="s">
        <v>161</v>
      </c>
      <c r="C45" s="353"/>
      <c r="D45" s="353"/>
      <c r="E45" s="353"/>
      <c r="F45" s="353"/>
      <c r="G45" s="353"/>
      <c r="H45" s="353"/>
      <c r="I45" s="51"/>
      <c r="J45" s="51"/>
    </row>
    <row r="46" spans="1:61" x14ac:dyDescent="0.2">
      <c r="A46" s="49">
        <f t="shared" si="1"/>
        <v>44874</v>
      </c>
      <c r="B46" s="50" t="s">
        <v>162</v>
      </c>
      <c r="C46" s="353"/>
      <c r="D46" s="353"/>
      <c r="E46" s="353"/>
      <c r="F46" s="353"/>
      <c r="G46" s="353"/>
      <c r="H46" s="353"/>
      <c r="I46" s="51"/>
      <c r="J46" s="51"/>
    </row>
    <row r="47" spans="1:61" x14ac:dyDescent="0.2">
      <c r="A47" s="49">
        <f t="shared" si="1"/>
        <v>44875</v>
      </c>
      <c r="B47" s="50" t="s">
        <v>163</v>
      </c>
      <c r="C47" s="353"/>
      <c r="D47" s="353"/>
      <c r="E47" s="353"/>
      <c r="F47" s="353"/>
      <c r="G47" s="353"/>
      <c r="H47" s="353"/>
      <c r="I47" s="51"/>
      <c r="J47" s="51"/>
    </row>
    <row r="48" spans="1:61" x14ac:dyDescent="0.2">
      <c r="A48" s="49">
        <f t="shared" si="1"/>
        <v>44876</v>
      </c>
      <c r="B48" s="50" t="s">
        <v>164</v>
      </c>
      <c r="C48" s="353"/>
      <c r="D48" s="353"/>
      <c r="E48" s="353"/>
      <c r="F48" s="353"/>
      <c r="G48" s="353"/>
      <c r="H48" s="353"/>
      <c r="I48" s="51"/>
      <c r="J48" s="51"/>
    </row>
    <row r="49" spans="1:10" x14ac:dyDescent="0.2">
      <c r="A49" s="49">
        <f t="shared" si="1"/>
        <v>44877</v>
      </c>
      <c r="B49" s="50" t="s">
        <v>165</v>
      </c>
      <c r="C49" s="353"/>
      <c r="D49" s="353"/>
      <c r="E49" s="353"/>
      <c r="F49" s="353"/>
      <c r="G49" s="353"/>
      <c r="H49" s="353"/>
      <c r="I49" s="51"/>
      <c r="J49" s="51"/>
    </row>
    <row r="50" spans="1:10" x14ac:dyDescent="0.2">
      <c r="A50" s="49">
        <f t="shared" si="1"/>
        <v>44878</v>
      </c>
      <c r="B50" s="50" t="s">
        <v>166</v>
      </c>
      <c r="C50" s="353"/>
      <c r="D50" s="353"/>
      <c r="E50" s="353"/>
      <c r="F50" s="353"/>
      <c r="G50" s="353"/>
      <c r="H50" s="353"/>
      <c r="I50" s="51"/>
      <c r="J50" s="51"/>
    </row>
    <row r="51" spans="1:10" x14ac:dyDescent="0.2">
      <c r="A51" s="49">
        <f t="shared" si="1"/>
        <v>44879</v>
      </c>
      <c r="B51" s="50" t="s">
        <v>167</v>
      </c>
      <c r="C51" s="353"/>
      <c r="D51" s="353"/>
      <c r="E51" s="353"/>
      <c r="F51" s="353"/>
      <c r="G51" s="353"/>
      <c r="H51" s="353"/>
      <c r="I51" s="51"/>
      <c r="J51" s="51"/>
    </row>
    <row r="52" spans="1:10" x14ac:dyDescent="0.2">
      <c r="A52" s="49">
        <f t="shared" si="1"/>
        <v>44880</v>
      </c>
      <c r="B52" s="50" t="s">
        <v>161</v>
      </c>
      <c r="C52" s="353"/>
      <c r="D52" s="353"/>
      <c r="E52" s="353"/>
      <c r="F52" s="353"/>
      <c r="G52" s="353"/>
      <c r="H52" s="353"/>
      <c r="I52" s="51"/>
      <c r="J52" s="51"/>
    </row>
    <row r="53" spans="1:10" x14ac:dyDescent="0.2">
      <c r="A53" s="49">
        <f t="shared" si="1"/>
        <v>44881</v>
      </c>
      <c r="B53" s="50" t="s">
        <v>162</v>
      </c>
      <c r="C53" s="353"/>
      <c r="D53" s="353"/>
      <c r="E53" s="353"/>
      <c r="F53" s="353"/>
      <c r="G53" s="353"/>
      <c r="H53" s="353"/>
      <c r="I53" s="51"/>
      <c r="J53" s="51"/>
    </row>
    <row r="54" spans="1:10" x14ac:dyDescent="0.2">
      <c r="A54" s="49">
        <f t="shared" si="1"/>
        <v>44882</v>
      </c>
      <c r="B54" s="50" t="s">
        <v>163</v>
      </c>
      <c r="C54" s="353"/>
      <c r="D54" s="353"/>
      <c r="E54" s="353"/>
      <c r="F54" s="353"/>
      <c r="G54" s="353"/>
      <c r="H54" s="353"/>
      <c r="I54" s="51"/>
      <c r="J54" s="51"/>
    </row>
    <row r="55" spans="1:10" x14ac:dyDescent="0.2">
      <c r="A55" s="49">
        <f t="shared" si="1"/>
        <v>44883</v>
      </c>
      <c r="B55" s="50" t="s">
        <v>164</v>
      </c>
      <c r="C55" s="353"/>
      <c r="D55" s="353"/>
      <c r="E55" s="353"/>
      <c r="F55" s="353"/>
      <c r="G55" s="353"/>
      <c r="H55" s="353"/>
      <c r="I55" s="51"/>
      <c r="J55" s="51"/>
    </row>
    <row r="56" spans="1:10" x14ac:dyDescent="0.2">
      <c r="A56" s="49">
        <f t="shared" si="1"/>
        <v>44884</v>
      </c>
      <c r="B56" s="50" t="s">
        <v>165</v>
      </c>
      <c r="C56" s="353"/>
      <c r="D56" s="353"/>
      <c r="E56" s="353"/>
      <c r="F56" s="353"/>
      <c r="G56" s="353"/>
      <c r="H56" s="353"/>
      <c r="I56" s="51"/>
      <c r="J56" s="51"/>
    </row>
    <row r="57" spans="1:10" x14ac:dyDescent="0.2">
      <c r="A57" s="49">
        <f t="shared" si="1"/>
        <v>44885</v>
      </c>
      <c r="B57" s="50" t="s">
        <v>166</v>
      </c>
      <c r="C57" s="353"/>
      <c r="D57" s="353"/>
      <c r="E57" s="353"/>
      <c r="F57" s="353"/>
      <c r="G57" s="353"/>
      <c r="H57" s="353"/>
      <c r="I57" s="51"/>
      <c r="J57" s="51"/>
    </row>
    <row r="58" spans="1:10" x14ac:dyDescent="0.2">
      <c r="A58" s="49">
        <f t="shared" si="1"/>
        <v>44886</v>
      </c>
      <c r="B58" s="50" t="s">
        <v>167</v>
      </c>
      <c r="C58" s="353"/>
      <c r="D58" s="353"/>
      <c r="E58" s="353"/>
      <c r="F58" s="353"/>
      <c r="G58" s="353"/>
      <c r="H58" s="353"/>
      <c r="I58" s="51"/>
      <c r="J58" s="51"/>
    </row>
    <row r="59" spans="1:10" x14ac:dyDescent="0.2">
      <c r="A59" s="49">
        <f t="shared" si="1"/>
        <v>44887</v>
      </c>
      <c r="B59" s="50" t="s">
        <v>161</v>
      </c>
      <c r="C59" s="353"/>
      <c r="D59" s="353"/>
      <c r="E59" s="353"/>
      <c r="F59" s="353"/>
      <c r="G59" s="353"/>
      <c r="H59" s="353"/>
      <c r="I59" s="51"/>
      <c r="J59" s="51"/>
    </row>
    <row r="60" spans="1:10" x14ac:dyDescent="0.2">
      <c r="A60" s="49">
        <f t="shared" si="1"/>
        <v>44888</v>
      </c>
      <c r="B60" s="50" t="s">
        <v>162</v>
      </c>
      <c r="C60" s="353"/>
      <c r="D60" s="353"/>
      <c r="E60" s="353"/>
      <c r="F60" s="353"/>
      <c r="G60" s="353"/>
      <c r="H60" s="353"/>
      <c r="I60" s="51"/>
      <c r="J60" s="51"/>
    </row>
    <row r="61" spans="1:10" x14ac:dyDescent="0.2">
      <c r="A61" s="49">
        <f t="shared" si="1"/>
        <v>44889</v>
      </c>
      <c r="B61" s="50" t="s">
        <v>163</v>
      </c>
      <c r="C61" s="353"/>
      <c r="D61" s="353"/>
      <c r="E61" s="353"/>
      <c r="F61" s="353"/>
      <c r="G61" s="353"/>
      <c r="H61" s="353"/>
      <c r="I61" s="51"/>
      <c r="J61" s="51"/>
    </row>
    <row r="62" spans="1:10" x14ac:dyDescent="0.2">
      <c r="A62" s="49">
        <f t="shared" si="1"/>
        <v>44890</v>
      </c>
      <c r="B62" s="50" t="s">
        <v>164</v>
      </c>
      <c r="C62" s="353"/>
      <c r="D62" s="353"/>
      <c r="E62" s="353"/>
      <c r="F62" s="353"/>
      <c r="G62" s="353"/>
      <c r="H62" s="353"/>
      <c r="I62" s="51"/>
      <c r="J62" s="51"/>
    </row>
    <row r="63" spans="1:10" x14ac:dyDescent="0.2">
      <c r="A63" s="49">
        <f t="shared" si="1"/>
        <v>44891</v>
      </c>
      <c r="B63" s="50" t="s">
        <v>165</v>
      </c>
      <c r="C63" s="353"/>
      <c r="D63" s="353"/>
      <c r="E63" s="353"/>
      <c r="F63" s="353"/>
      <c r="G63" s="353"/>
      <c r="H63" s="353"/>
      <c r="I63" s="51"/>
      <c r="J63" s="51"/>
    </row>
    <row r="64" spans="1:10" x14ac:dyDescent="0.2">
      <c r="A64" s="49">
        <f t="shared" si="1"/>
        <v>44892</v>
      </c>
      <c r="B64" s="50" t="s">
        <v>166</v>
      </c>
      <c r="C64" s="353"/>
      <c r="D64" s="353"/>
      <c r="E64" s="353"/>
      <c r="F64" s="353"/>
      <c r="G64" s="353"/>
      <c r="H64" s="353"/>
      <c r="I64" s="51"/>
      <c r="J64" s="51"/>
    </row>
    <row r="65" spans="1:21" x14ac:dyDescent="0.2">
      <c r="A65" s="49">
        <f t="shared" si="1"/>
        <v>44893</v>
      </c>
      <c r="B65" s="50" t="s">
        <v>167</v>
      </c>
      <c r="C65" s="353"/>
      <c r="D65" s="353"/>
      <c r="E65" s="353"/>
      <c r="F65" s="353"/>
      <c r="G65" s="353"/>
      <c r="H65" s="353"/>
      <c r="I65" s="51"/>
      <c r="J65" s="51"/>
    </row>
    <row r="66" spans="1:21" x14ac:dyDescent="0.2">
      <c r="A66" s="49">
        <f t="shared" si="1"/>
        <v>44894</v>
      </c>
      <c r="B66" s="50" t="s">
        <v>161</v>
      </c>
      <c r="C66" s="353"/>
      <c r="D66" s="353"/>
      <c r="E66" s="353"/>
      <c r="F66" s="353"/>
      <c r="G66" s="353"/>
      <c r="H66" s="353"/>
      <c r="I66" s="51"/>
      <c r="J66" s="51"/>
    </row>
    <row r="67" spans="1:21" x14ac:dyDescent="0.2">
      <c r="A67" s="49">
        <f t="shared" si="1"/>
        <v>44895</v>
      </c>
      <c r="B67" s="50" t="s">
        <v>162</v>
      </c>
      <c r="C67" s="353"/>
      <c r="D67" s="353"/>
      <c r="E67" s="353"/>
      <c r="F67" s="353"/>
      <c r="G67" s="353"/>
      <c r="H67" s="353"/>
      <c r="I67" s="51"/>
      <c r="J67" s="51"/>
    </row>
    <row r="68" spans="1:21" x14ac:dyDescent="0.2">
      <c r="A68" s="49">
        <f t="shared" si="1"/>
        <v>44896</v>
      </c>
      <c r="B68" s="50" t="s">
        <v>163</v>
      </c>
      <c r="C68" s="353"/>
      <c r="D68" s="353"/>
      <c r="E68" s="353"/>
      <c r="F68" s="353"/>
      <c r="G68" s="353"/>
      <c r="H68" s="353"/>
      <c r="I68" s="51"/>
      <c r="J68" s="51"/>
    </row>
    <row r="69" spans="1:21" x14ac:dyDescent="0.2">
      <c r="A69" s="32"/>
      <c r="I69" s="8"/>
      <c r="J69" s="8"/>
      <c r="R69" s="21"/>
      <c r="S69" s="21"/>
      <c r="T69" s="8"/>
      <c r="U69" s="8"/>
    </row>
    <row r="70" spans="1:21" x14ac:dyDescent="0.2">
      <c r="A70" s="367" t="s">
        <v>207</v>
      </c>
      <c r="B70" s="368"/>
      <c r="C70" s="368"/>
      <c r="D70" s="368"/>
      <c r="I70" s="8"/>
      <c r="J70" s="8"/>
      <c r="R70" s="21"/>
      <c r="S70" s="21"/>
      <c r="T70" s="8"/>
      <c r="U70" s="8"/>
    </row>
    <row r="71" spans="1:21" x14ac:dyDescent="0.2">
      <c r="A71" s="52">
        <f>COUNTIF($I$38:$I$71,B71)</f>
        <v>0</v>
      </c>
      <c r="B71" s="53" t="s">
        <v>208</v>
      </c>
      <c r="C71" s="370" t="s">
        <v>209</v>
      </c>
      <c r="D71" s="370"/>
      <c r="I71" s="8"/>
      <c r="J71" s="8"/>
      <c r="R71" s="21"/>
      <c r="S71" s="21"/>
      <c r="T71" s="8"/>
      <c r="U71" s="8"/>
    </row>
    <row r="72" spans="1:21" x14ac:dyDescent="0.2">
      <c r="A72" s="52">
        <f t="shared" ref="A72:A81" si="2">COUNTIF($I$38:$I$71,B72)</f>
        <v>0</v>
      </c>
      <c r="B72" s="53" t="s">
        <v>172</v>
      </c>
      <c r="C72" s="370" t="s">
        <v>210</v>
      </c>
      <c r="D72" s="370"/>
      <c r="I72" s="8"/>
      <c r="J72" s="8"/>
      <c r="R72" s="21"/>
      <c r="S72" s="21"/>
      <c r="T72" s="8"/>
      <c r="U72" s="8"/>
    </row>
    <row r="73" spans="1:21" x14ac:dyDescent="0.2">
      <c r="A73" s="52">
        <f t="shared" si="2"/>
        <v>0</v>
      </c>
      <c r="B73" s="53" t="s">
        <v>169</v>
      </c>
      <c r="C73" s="370" t="s">
        <v>211</v>
      </c>
      <c r="D73" s="370"/>
      <c r="I73" s="8"/>
      <c r="J73" s="8"/>
      <c r="R73" s="21"/>
      <c r="S73" s="21"/>
      <c r="T73" s="8"/>
      <c r="U73" s="8"/>
    </row>
    <row r="74" spans="1:21" x14ac:dyDescent="0.2">
      <c r="A74" s="52">
        <f t="shared" si="2"/>
        <v>0</v>
      </c>
      <c r="B74" s="53" t="s">
        <v>181</v>
      </c>
      <c r="C74" s="370" t="s">
        <v>212</v>
      </c>
      <c r="D74" s="370"/>
      <c r="I74" s="8"/>
      <c r="J74" s="8"/>
      <c r="R74" s="21"/>
      <c r="S74" s="21"/>
      <c r="T74" s="8"/>
      <c r="U74" s="8"/>
    </row>
    <row r="75" spans="1:21" x14ac:dyDescent="0.2">
      <c r="A75" s="52">
        <f t="shared" si="2"/>
        <v>0</v>
      </c>
      <c r="B75" s="53" t="s">
        <v>183</v>
      </c>
      <c r="C75" s="370" t="s">
        <v>213</v>
      </c>
      <c r="D75" s="370"/>
      <c r="I75" s="8"/>
      <c r="J75" s="8"/>
      <c r="R75" s="21"/>
      <c r="S75" s="21"/>
      <c r="T75" s="8"/>
      <c r="U75" s="8"/>
    </row>
    <row r="76" spans="1:21" x14ac:dyDescent="0.2">
      <c r="A76" s="52">
        <f t="shared" si="2"/>
        <v>0</v>
      </c>
      <c r="B76" s="53" t="s">
        <v>214</v>
      </c>
      <c r="C76" s="370" t="s">
        <v>215</v>
      </c>
      <c r="D76" s="370"/>
      <c r="I76" s="8"/>
      <c r="J76" s="8"/>
      <c r="R76" s="21"/>
      <c r="S76" s="21"/>
      <c r="T76" s="8"/>
      <c r="U76" s="8"/>
    </row>
    <row r="77" spans="1:21" x14ac:dyDescent="0.2">
      <c r="A77" s="52">
        <f t="shared" si="2"/>
        <v>0</v>
      </c>
      <c r="B77" s="53" t="s">
        <v>216</v>
      </c>
      <c r="C77" s="370" t="s">
        <v>217</v>
      </c>
      <c r="D77" s="370"/>
      <c r="I77" s="8"/>
      <c r="J77" s="8"/>
      <c r="R77" s="21"/>
      <c r="S77" s="21"/>
      <c r="T77" s="8"/>
      <c r="U77" s="8"/>
    </row>
    <row r="78" spans="1:21" x14ac:dyDescent="0.2">
      <c r="A78" s="52">
        <f t="shared" si="2"/>
        <v>0</v>
      </c>
      <c r="B78" s="53" t="s">
        <v>218</v>
      </c>
      <c r="C78" s="371" t="s">
        <v>219</v>
      </c>
      <c r="D78" s="372"/>
      <c r="I78" s="8"/>
      <c r="J78" s="8"/>
      <c r="R78" s="21"/>
      <c r="S78" s="21"/>
      <c r="T78" s="8"/>
      <c r="U78" s="8"/>
    </row>
    <row r="79" spans="1:21" x14ac:dyDescent="0.2">
      <c r="A79" s="52">
        <f t="shared" si="2"/>
        <v>0</v>
      </c>
      <c r="B79" s="53" t="s">
        <v>220</v>
      </c>
      <c r="C79" s="370" t="s">
        <v>221</v>
      </c>
      <c r="D79" s="370"/>
      <c r="I79" s="8"/>
      <c r="J79" s="8"/>
    </row>
    <row r="80" spans="1:21" x14ac:dyDescent="0.2">
      <c r="A80" s="52">
        <f>COUNTIF($I$38:$I$71,B80)</f>
        <v>0</v>
      </c>
      <c r="B80" s="53" t="s">
        <v>178</v>
      </c>
      <c r="C80" s="370" t="s">
        <v>222</v>
      </c>
      <c r="D80" s="370"/>
      <c r="I80" s="8"/>
      <c r="J80" s="8"/>
    </row>
    <row r="81" spans="1:10" x14ac:dyDescent="0.2">
      <c r="A81" s="52">
        <f t="shared" si="2"/>
        <v>0</v>
      </c>
      <c r="B81" s="53" t="s">
        <v>223</v>
      </c>
      <c r="C81" s="370" t="s">
        <v>224</v>
      </c>
      <c r="D81" s="370"/>
      <c r="I81" s="8"/>
      <c r="J81" s="8"/>
    </row>
    <row r="82" spans="1:10" x14ac:dyDescent="0.2">
      <c r="A82" s="54"/>
      <c r="B82" s="55"/>
      <c r="C82" s="56"/>
      <c r="D82" s="56"/>
      <c r="I82" s="8"/>
      <c r="J82" s="8"/>
    </row>
    <row r="83" spans="1:10" x14ac:dyDescent="0.2">
      <c r="A83" s="54"/>
      <c r="B83" s="55"/>
      <c r="C83" s="56"/>
      <c r="D83" s="56"/>
      <c r="I83" s="8"/>
      <c r="J83" s="8"/>
    </row>
    <row r="84" spans="1:10" x14ac:dyDescent="0.2">
      <c r="A84" s="54"/>
      <c r="B84" s="55"/>
      <c r="C84" s="56"/>
      <c r="D84" s="56"/>
      <c r="I84" s="8"/>
      <c r="J84" s="8"/>
    </row>
    <row r="85" spans="1:10" x14ac:dyDescent="0.2">
      <c r="A85" s="54"/>
      <c r="B85" s="55"/>
      <c r="C85" s="56"/>
      <c r="D85" s="56"/>
      <c r="I85" s="8"/>
      <c r="J85" s="8"/>
    </row>
    <row r="86" spans="1:10" x14ac:dyDescent="0.2">
      <c r="A86" s="32"/>
      <c r="I86" s="8"/>
      <c r="J86" s="8"/>
    </row>
    <row r="87" spans="1:10" x14ac:dyDescent="0.2">
      <c r="A87" s="367" t="s">
        <v>225</v>
      </c>
      <c r="B87" s="368"/>
      <c r="C87" s="368"/>
      <c r="D87" s="368"/>
      <c r="I87" s="8"/>
      <c r="J87" s="8"/>
    </row>
    <row r="88" spans="1:10" x14ac:dyDescent="0.2">
      <c r="A88" s="52">
        <f>COUNTIF($J$38:$J$71,B88)</f>
        <v>0</v>
      </c>
      <c r="B88" s="52" t="s">
        <v>170</v>
      </c>
      <c r="C88" s="356" t="s">
        <v>226</v>
      </c>
      <c r="D88" s="356"/>
      <c r="I88" s="8"/>
      <c r="J88" s="8"/>
    </row>
    <row r="89" spans="1:10" x14ac:dyDescent="0.2">
      <c r="A89" s="52">
        <f t="shared" ref="A89:A100" si="3">COUNTIF($J$38:$J$71,B89)</f>
        <v>0</v>
      </c>
      <c r="B89" s="52" t="s">
        <v>191</v>
      </c>
      <c r="C89" s="356" t="s">
        <v>227</v>
      </c>
      <c r="D89" s="356"/>
      <c r="I89" s="8"/>
      <c r="J89" s="8"/>
    </row>
    <row r="90" spans="1:10" x14ac:dyDescent="0.2">
      <c r="A90" s="52">
        <f t="shared" si="3"/>
        <v>0</v>
      </c>
      <c r="B90" s="52" t="s">
        <v>179</v>
      </c>
      <c r="C90" s="356" t="s">
        <v>228</v>
      </c>
      <c r="D90" s="356"/>
      <c r="I90" s="8"/>
      <c r="J90" s="8"/>
    </row>
    <row r="91" spans="1:10" x14ac:dyDescent="0.2">
      <c r="A91" s="52">
        <f t="shared" si="3"/>
        <v>0</v>
      </c>
      <c r="B91" s="52" t="s">
        <v>229</v>
      </c>
      <c r="C91" s="356" t="s">
        <v>230</v>
      </c>
      <c r="D91" s="356"/>
      <c r="I91" s="8"/>
      <c r="J91" s="8"/>
    </row>
    <row r="92" spans="1:10" x14ac:dyDescent="0.2">
      <c r="A92" s="52">
        <f t="shared" si="3"/>
        <v>0</v>
      </c>
      <c r="B92" s="52" t="s">
        <v>174</v>
      </c>
      <c r="C92" s="356" t="s">
        <v>231</v>
      </c>
      <c r="D92" s="356"/>
      <c r="I92" s="8"/>
      <c r="J92" s="8"/>
    </row>
    <row r="93" spans="1:10" x14ac:dyDescent="0.2">
      <c r="A93" s="52">
        <f t="shared" si="3"/>
        <v>0</v>
      </c>
      <c r="B93" s="52" t="s">
        <v>232</v>
      </c>
      <c r="C93" s="356" t="s">
        <v>233</v>
      </c>
      <c r="D93" s="356"/>
      <c r="I93" s="8"/>
      <c r="J93" s="8"/>
    </row>
    <row r="94" spans="1:10" x14ac:dyDescent="0.2">
      <c r="A94" s="52">
        <f t="shared" si="3"/>
        <v>0</v>
      </c>
      <c r="B94" s="52" t="s">
        <v>187</v>
      </c>
      <c r="C94" s="356" t="s">
        <v>234</v>
      </c>
      <c r="D94" s="356"/>
      <c r="I94" s="8"/>
      <c r="J94" s="8"/>
    </row>
    <row r="95" spans="1:10" x14ac:dyDescent="0.2">
      <c r="A95" s="52">
        <f t="shared" si="3"/>
        <v>0</v>
      </c>
      <c r="B95" s="52" t="s">
        <v>235</v>
      </c>
      <c r="C95" s="356" t="s">
        <v>236</v>
      </c>
      <c r="D95" s="356"/>
      <c r="I95" s="8"/>
      <c r="J95" s="8"/>
    </row>
    <row r="96" spans="1:10" x14ac:dyDescent="0.2">
      <c r="A96" s="52">
        <f t="shared" si="3"/>
        <v>0</v>
      </c>
      <c r="B96" s="52" t="s">
        <v>185</v>
      </c>
      <c r="C96" s="356" t="s">
        <v>237</v>
      </c>
      <c r="D96" s="356"/>
      <c r="I96" s="8"/>
      <c r="J96" s="8"/>
    </row>
    <row r="97" spans="1:10" x14ac:dyDescent="0.2">
      <c r="A97" s="52">
        <f t="shared" si="3"/>
        <v>0</v>
      </c>
      <c r="B97" s="52" t="s">
        <v>238</v>
      </c>
      <c r="C97" s="356" t="s">
        <v>239</v>
      </c>
      <c r="D97" s="356"/>
      <c r="I97" s="8"/>
      <c r="J97" s="8"/>
    </row>
    <row r="98" spans="1:10" x14ac:dyDescent="0.2">
      <c r="A98" s="52">
        <f>COUNTIF($J$38:$J$71,B98)</f>
        <v>0</v>
      </c>
      <c r="B98" s="52" t="s">
        <v>240</v>
      </c>
      <c r="C98" s="356" t="s">
        <v>241</v>
      </c>
      <c r="D98" s="356"/>
      <c r="I98" s="8"/>
      <c r="J98" s="8"/>
    </row>
    <row r="99" spans="1:10" x14ac:dyDescent="0.2">
      <c r="A99" s="52">
        <f>COUNTIF($J$38:$J$71,B99)</f>
        <v>0</v>
      </c>
      <c r="B99" s="52" t="s">
        <v>242</v>
      </c>
      <c r="C99" s="356" t="s">
        <v>243</v>
      </c>
      <c r="D99" s="356"/>
      <c r="I99" s="8"/>
      <c r="J99" s="8"/>
    </row>
    <row r="100" spans="1:10" x14ac:dyDescent="0.2">
      <c r="A100" s="52">
        <f t="shared" si="3"/>
        <v>0</v>
      </c>
      <c r="B100" s="52" t="s">
        <v>244</v>
      </c>
      <c r="C100" s="356" t="s">
        <v>245</v>
      </c>
      <c r="D100" s="356"/>
      <c r="I100" s="8"/>
      <c r="J100" s="8"/>
    </row>
    <row r="101" spans="1:10" x14ac:dyDescent="0.2">
      <c r="A101" s="32"/>
      <c r="I101" s="8"/>
      <c r="J101" s="8"/>
    </row>
    <row r="102" spans="1:10" x14ac:dyDescent="0.2">
      <c r="A102" s="32"/>
      <c r="I102" s="8"/>
      <c r="J102" s="8"/>
    </row>
    <row r="103" spans="1:10" x14ac:dyDescent="0.2">
      <c r="A103" s="32"/>
      <c r="I103" s="8"/>
      <c r="J103" s="8"/>
    </row>
    <row r="104" spans="1:10" x14ac:dyDescent="0.2">
      <c r="A104" s="32"/>
      <c r="I104" s="8"/>
      <c r="J104" s="8"/>
    </row>
    <row r="105" spans="1:10" x14ac:dyDescent="0.2">
      <c r="A105" s="32"/>
      <c r="I105" s="8"/>
      <c r="J105" s="8"/>
    </row>
    <row r="106" spans="1:10" ht="16" thickBot="1" x14ac:dyDescent="0.25">
      <c r="A106" s="32"/>
      <c r="I106" s="8"/>
      <c r="J106" s="8"/>
    </row>
    <row r="107" spans="1:10" ht="19" x14ac:dyDescent="0.2">
      <c r="A107" s="32"/>
      <c r="C107" s="349" t="s">
        <v>86</v>
      </c>
      <c r="D107" s="350"/>
      <c r="E107" s="350"/>
      <c r="F107" s="350"/>
      <c r="G107" s="351"/>
      <c r="I107" s="8"/>
      <c r="J107" s="8"/>
    </row>
    <row r="108" spans="1:10" ht="16" x14ac:dyDescent="0.2">
      <c r="A108" s="32"/>
      <c r="C108" s="68" t="s">
        <v>87</v>
      </c>
      <c r="D108" s="64" t="s">
        <v>88</v>
      </c>
      <c r="E108" s="64" t="s">
        <v>89</v>
      </c>
      <c r="F108" s="64" t="s">
        <v>90</v>
      </c>
      <c r="G108" s="66" t="s">
        <v>91</v>
      </c>
      <c r="I108" s="8"/>
      <c r="J108" s="8"/>
    </row>
    <row r="109" spans="1:10" x14ac:dyDescent="0.2">
      <c r="A109" s="32"/>
      <c r="C109" s="65"/>
      <c r="D109" s="65"/>
      <c r="E109" s="65"/>
      <c r="F109" s="65"/>
      <c r="G109" s="67">
        <f>SUM(B109:F109)</f>
        <v>0</v>
      </c>
      <c r="I109" s="8"/>
      <c r="J109" s="8"/>
    </row>
    <row r="110" spans="1:10" x14ac:dyDescent="0.2">
      <c r="A110" s="32"/>
      <c r="G110"/>
      <c r="I110" s="8"/>
      <c r="J110" s="8"/>
    </row>
    <row r="111" spans="1:10" x14ac:dyDescent="0.2">
      <c r="A111" s="32"/>
      <c r="I111" s="8"/>
      <c r="J111" s="8"/>
    </row>
    <row r="112" spans="1:10" x14ac:dyDescent="0.2">
      <c r="A112" s="32"/>
      <c r="I112" s="8"/>
      <c r="J112" s="8"/>
    </row>
    <row r="113" spans="1:10" x14ac:dyDescent="0.2">
      <c r="A113" s="32"/>
      <c r="I113" s="8"/>
      <c r="J113" s="8"/>
    </row>
    <row r="114" spans="1:10" x14ac:dyDescent="0.2">
      <c r="A114" s="32"/>
      <c r="I114" s="8"/>
      <c r="J114" s="8"/>
    </row>
    <row r="115" spans="1:10" x14ac:dyDescent="0.2">
      <c r="A115" s="32"/>
      <c r="I115" s="8"/>
      <c r="J115" s="8"/>
    </row>
    <row r="116" spans="1:10" x14ac:dyDescent="0.2">
      <c r="A116" s="32"/>
      <c r="I116" s="8"/>
      <c r="J116" s="8"/>
    </row>
    <row r="117" spans="1:10" x14ac:dyDescent="0.2">
      <c r="A117" s="32"/>
      <c r="I117" s="8"/>
      <c r="J117" s="8"/>
    </row>
    <row r="118" spans="1:10" x14ac:dyDescent="0.2">
      <c r="A118" s="32"/>
      <c r="I118" s="8"/>
      <c r="J118" s="8"/>
    </row>
    <row r="119" spans="1:10" x14ac:dyDescent="0.2">
      <c r="A119" s="32"/>
      <c r="I119" s="8"/>
      <c r="J119" s="8"/>
    </row>
    <row r="120" spans="1:10" x14ac:dyDescent="0.2">
      <c r="A120" s="32"/>
      <c r="I120" s="8"/>
      <c r="J120" s="8"/>
    </row>
    <row r="121" spans="1:10" x14ac:dyDescent="0.2">
      <c r="A121" s="32"/>
      <c r="I121" s="8"/>
      <c r="J121" s="8"/>
    </row>
    <row r="122" spans="1:10" x14ac:dyDescent="0.2">
      <c r="A122" s="32"/>
      <c r="I122" s="8"/>
      <c r="J122" s="8"/>
    </row>
    <row r="123" spans="1:10" x14ac:dyDescent="0.2">
      <c r="A123" s="32"/>
      <c r="I123" s="8"/>
      <c r="J123" s="8"/>
    </row>
    <row r="124" spans="1:10" x14ac:dyDescent="0.2">
      <c r="A124" s="32"/>
      <c r="I124" s="8"/>
      <c r="J124" s="8"/>
    </row>
    <row r="125" spans="1:10" x14ac:dyDescent="0.2">
      <c r="A125" s="32"/>
      <c r="I125" s="8"/>
      <c r="J125" s="8"/>
    </row>
    <row r="126" spans="1:10" x14ac:dyDescent="0.2">
      <c r="A126" s="32"/>
      <c r="I126" s="8"/>
      <c r="J126" s="8"/>
    </row>
    <row r="127" spans="1:10" x14ac:dyDescent="0.2">
      <c r="A127" s="32"/>
      <c r="I127" s="8"/>
      <c r="J127" s="8"/>
    </row>
    <row r="128" spans="1:10" x14ac:dyDescent="0.2">
      <c r="A128" s="32"/>
      <c r="I128" s="8"/>
      <c r="J128" s="8"/>
    </row>
    <row r="129" spans="1:10" x14ac:dyDescent="0.2">
      <c r="A129" s="32"/>
      <c r="I129" s="8"/>
      <c r="J129" s="8"/>
    </row>
    <row r="130" spans="1:10" x14ac:dyDescent="0.2">
      <c r="A130" s="32"/>
      <c r="I130" s="8"/>
      <c r="J130" s="8"/>
    </row>
    <row r="131" spans="1:10" x14ac:dyDescent="0.2">
      <c r="A131" s="32"/>
      <c r="I131" s="8"/>
      <c r="J131" s="8"/>
    </row>
    <row r="132" spans="1:10" x14ac:dyDescent="0.2">
      <c r="A132" s="32"/>
      <c r="I132" s="8"/>
      <c r="J132" s="8"/>
    </row>
    <row r="133" spans="1:10" x14ac:dyDescent="0.2">
      <c r="A133" s="32"/>
      <c r="I133" s="8"/>
      <c r="J133" s="8"/>
    </row>
    <row r="134" spans="1:10" x14ac:dyDescent="0.2">
      <c r="A134" s="32"/>
      <c r="I134" s="8"/>
      <c r="J134" s="8"/>
    </row>
    <row r="135" spans="1:10" x14ac:dyDescent="0.2">
      <c r="A135" s="32"/>
      <c r="I135" s="8"/>
      <c r="J135" s="8"/>
    </row>
    <row r="136" spans="1:10" x14ac:dyDescent="0.2">
      <c r="A136" s="32"/>
      <c r="I136" s="8"/>
      <c r="J136" s="8"/>
    </row>
    <row r="137" spans="1:10" x14ac:dyDescent="0.2">
      <c r="A137" s="32"/>
      <c r="I137" s="8"/>
      <c r="J137" s="8"/>
    </row>
    <row r="138" spans="1:10" x14ac:dyDescent="0.2">
      <c r="A138" s="32"/>
      <c r="I138" s="8"/>
      <c r="J138" s="8"/>
    </row>
    <row r="139" spans="1:10" x14ac:dyDescent="0.2">
      <c r="A139" s="32"/>
      <c r="I139" s="8"/>
      <c r="J139" s="8"/>
    </row>
    <row r="140" spans="1:10" x14ac:dyDescent="0.2">
      <c r="A140" s="32"/>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x14ac:dyDescent="0.2">
      <c r="A145" s="32"/>
      <c r="I145" s="8"/>
      <c r="J145" s="8"/>
    </row>
    <row r="146" spans="1:10" x14ac:dyDescent="0.2">
      <c r="A146" s="32"/>
      <c r="I146" s="8"/>
      <c r="J146" s="8"/>
    </row>
    <row r="147" spans="1:10" x14ac:dyDescent="0.2">
      <c r="A147" s="32"/>
      <c r="I147" s="8"/>
      <c r="J147" s="8"/>
    </row>
    <row r="148" spans="1:10" x14ac:dyDescent="0.2">
      <c r="A148" s="32"/>
      <c r="I148" s="8"/>
      <c r="J148" s="8"/>
    </row>
    <row r="149" spans="1:10" x14ac:dyDescent="0.2">
      <c r="A149" s="32"/>
      <c r="I149" s="8"/>
      <c r="J149" s="8"/>
    </row>
    <row r="150" spans="1:10" x14ac:dyDescent="0.2">
      <c r="A150" s="32"/>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row>
    <row r="186" spans="1:10" x14ac:dyDescent="0.2">
      <c r="A186" s="32"/>
    </row>
    <row r="187" spans="1:10" x14ac:dyDescent="0.2">
      <c r="A187" s="32"/>
    </row>
    <row r="188" spans="1:10" x14ac:dyDescent="0.2">
      <c r="A188" s="32"/>
    </row>
    <row r="189" spans="1:10" x14ac:dyDescent="0.2">
      <c r="A189" s="32"/>
    </row>
    <row r="190" spans="1:10" x14ac:dyDescent="0.2">
      <c r="A190" s="32"/>
    </row>
    <row r="191" spans="1:10" x14ac:dyDescent="0.2">
      <c r="A191" s="32"/>
    </row>
    <row r="192" spans="1:10" x14ac:dyDescent="0.2">
      <c r="A192" s="32"/>
    </row>
    <row r="193" spans="1:1" x14ac:dyDescent="0.2">
      <c r="A193" s="32"/>
    </row>
    <row r="194" spans="1:1" x14ac:dyDescent="0.2">
      <c r="A194" s="32"/>
    </row>
    <row r="195" spans="1:1" x14ac:dyDescent="0.2">
      <c r="A195" s="32"/>
    </row>
    <row r="196" spans="1:1" x14ac:dyDescent="0.2">
      <c r="A196" s="32"/>
    </row>
    <row r="197" spans="1:1" x14ac:dyDescent="0.2">
      <c r="A197" s="32"/>
    </row>
    <row r="198" spans="1:1" x14ac:dyDescent="0.2">
      <c r="A198" s="32"/>
    </row>
    <row r="199" spans="1:1" x14ac:dyDescent="0.2">
      <c r="A199" s="32"/>
    </row>
    <row r="200" spans="1:1" x14ac:dyDescent="0.2">
      <c r="A200" s="32"/>
    </row>
    <row r="201" spans="1:1" x14ac:dyDescent="0.2">
      <c r="A201" s="32"/>
    </row>
    <row r="202" spans="1:1" x14ac:dyDescent="0.2">
      <c r="A202" s="32"/>
    </row>
    <row r="203" spans="1:1" x14ac:dyDescent="0.2">
      <c r="A203" s="32"/>
    </row>
    <row r="204" spans="1:1" x14ac:dyDescent="0.2">
      <c r="A204" s="32"/>
    </row>
    <row r="205" spans="1:1" x14ac:dyDescent="0.2">
      <c r="A205" s="32"/>
    </row>
    <row r="206" spans="1:1" x14ac:dyDescent="0.2">
      <c r="A206" s="32"/>
    </row>
    <row r="207" spans="1:1" x14ac:dyDescent="0.2">
      <c r="A207" s="32"/>
    </row>
    <row r="208" spans="1:1" x14ac:dyDescent="0.2">
      <c r="A208" s="32"/>
    </row>
    <row r="209" spans="1:1" x14ac:dyDescent="0.2">
      <c r="A209" s="32"/>
    </row>
    <row r="210" spans="1:1" x14ac:dyDescent="0.2">
      <c r="A210" s="32"/>
    </row>
    <row r="211" spans="1:1" x14ac:dyDescent="0.2"/>
    <row r="212" spans="1:1" x14ac:dyDescent="0.2"/>
    <row r="213" spans="1:1" x14ac:dyDescent="0.2"/>
    <row r="218" spans="1:1" x14ac:dyDescent="0.2"/>
    <row r="224" spans="1:1" x14ac:dyDescent="0.2"/>
    <row r="225" x14ac:dyDescent="0.2"/>
    <row r="227" x14ac:dyDescent="0.2"/>
    <row r="228" x14ac:dyDescent="0.2"/>
    <row r="233" x14ac:dyDescent="0.2"/>
    <row r="236" x14ac:dyDescent="0.2"/>
  </sheetData>
  <autoFilter ref="A1:AC1" xr:uid="{4696FF60-3246-4136-9A92-33CB3A068188}">
    <sortState xmlns:xlrd2="http://schemas.microsoft.com/office/spreadsheetml/2017/richdata2" ref="A2:AC24">
      <sortCondition ref="B1"/>
    </sortState>
  </autoFilter>
  <mergeCells count="62">
    <mergeCell ref="C39:H39"/>
    <mergeCell ref="C107:G107"/>
    <mergeCell ref="C26:D26"/>
    <mergeCell ref="C63:H63"/>
    <mergeCell ref="C52:H52"/>
    <mergeCell ref="C53:H53"/>
    <mergeCell ref="C54:H54"/>
    <mergeCell ref="C55:H55"/>
    <mergeCell ref="C56:H56"/>
    <mergeCell ref="C57:H57"/>
    <mergeCell ref="C58:H58"/>
    <mergeCell ref="C59:H59"/>
    <mergeCell ref="C60:H60"/>
    <mergeCell ref="C61:H61"/>
    <mergeCell ref="C62:H62"/>
    <mergeCell ref="C76:D76"/>
    <mergeCell ref="M27:O27"/>
    <mergeCell ref="H28:I28"/>
    <mergeCell ref="A37:C37"/>
    <mergeCell ref="C38:H38"/>
    <mergeCell ref="C51:H51"/>
    <mergeCell ref="C40:H40"/>
    <mergeCell ref="C41:H41"/>
    <mergeCell ref="C42:H42"/>
    <mergeCell ref="C43:H43"/>
    <mergeCell ref="C44:H44"/>
    <mergeCell ref="C45:H45"/>
    <mergeCell ref="C46:H46"/>
    <mergeCell ref="C47:H47"/>
    <mergeCell ref="C48:H48"/>
    <mergeCell ref="C49:H49"/>
    <mergeCell ref="C50:H50"/>
    <mergeCell ref="C64:H64"/>
    <mergeCell ref="C65:H65"/>
    <mergeCell ref="C66:H66"/>
    <mergeCell ref="C67:H67"/>
    <mergeCell ref="C68:H68"/>
    <mergeCell ref="A70:D70"/>
    <mergeCell ref="C71:D71"/>
    <mergeCell ref="C72:D72"/>
    <mergeCell ref="C73:D73"/>
    <mergeCell ref="C74:D74"/>
    <mergeCell ref="C75:D75"/>
    <mergeCell ref="C93:D93"/>
    <mergeCell ref="C77:D77"/>
    <mergeCell ref="C78:D78"/>
    <mergeCell ref="C79:D79"/>
    <mergeCell ref="C81:D81"/>
    <mergeCell ref="C88:D88"/>
    <mergeCell ref="C89:D89"/>
    <mergeCell ref="C90:D90"/>
    <mergeCell ref="C91:D91"/>
    <mergeCell ref="C92:D92"/>
    <mergeCell ref="C80:D80"/>
    <mergeCell ref="A87:D87"/>
    <mergeCell ref="C94:D94"/>
    <mergeCell ref="C95:D95"/>
    <mergeCell ref="C96:D96"/>
    <mergeCell ref="C97:D97"/>
    <mergeCell ref="C100:D100"/>
    <mergeCell ref="C98:D98"/>
    <mergeCell ref="C99:D99"/>
  </mergeCells>
  <dataValidations count="2">
    <dataValidation type="list" allowBlank="1" showInputMessage="1" showErrorMessage="1" sqref="J38:J68" xr:uid="{233B133D-F516-4187-B959-FCEC79A64494}">
      <formula1>$B$87:$B$100</formula1>
    </dataValidation>
    <dataValidation type="list" allowBlank="1" showInputMessage="1" showErrorMessage="1" sqref="I38:I68" xr:uid="{54E183B4-8BE0-436B-9A59-3522A90413B3}">
      <formula1>$B$71:$B$81</formula1>
    </dataValidation>
  </dataValidation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A97F5-C1BE-4ED3-B92F-DC22406059BD}">
  <sheetPr codeName="Hoja12"/>
  <dimension ref="A1:AP248"/>
  <sheetViews>
    <sheetView zoomScale="85" zoomScaleNormal="85" workbookViewId="0">
      <pane xSplit="11" ySplit="1" topLeftCell="L2"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13.5" style="1" customWidth="1"/>
    <col min="23" max="23" width="4.6640625" style="1" customWidth="1"/>
    <col min="24" max="24" width="13.5" style="1" customWidth="1"/>
    <col min="25" max="25" width="4.6640625" style="1" customWidth="1"/>
    <col min="26" max="26" width="13.5" style="1" customWidth="1"/>
    <col min="27" max="27" width="4.6640625" style="1" customWidth="1"/>
    <col min="28" max="28" width="13.5" style="1" customWidth="1"/>
    <col min="29" max="29" width="13" style="1" bestFit="1" customWidth="1"/>
    <col min="30" max="30" width="4.6640625" style="48" customWidth="1"/>
    <col min="31" max="31" width="11.5" style="48" bestFit="1" customWidth="1"/>
    <col min="32" max="32" width="16.6640625" style="48" bestFit="1" customWidth="1"/>
    <col min="33" max="33" width="4.6640625" style="1" customWidth="1"/>
    <col min="34" max="34" width="11.5" style="1" bestFit="1" customWidth="1"/>
    <col min="35" max="38" width="9.1640625" style="1"/>
    <col min="39" max="39" width="15.5" style="1" bestFit="1" customWidth="1"/>
    <col min="40" max="16384" width="11.5" style="1"/>
  </cols>
  <sheetData>
    <row r="1" spans="1:42"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125</v>
      </c>
      <c r="AO1" s="304" t="s">
        <v>255</v>
      </c>
      <c r="AP1" s="304" t="s">
        <v>257</v>
      </c>
    </row>
    <row r="2" spans="1:42" s="48" customFormat="1" x14ac:dyDescent="0.2">
      <c r="A2" s="209"/>
      <c r="B2" s="8"/>
      <c r="C2" s="8"/>
      <c r="D2" s="8"/>
      <c r="E2" s="8"/>
      <c r="F2" s="8"/>
      <c r="G2" s="8"/>
      <c r="H2" s="8"/>
      <c r="I2" s="8"/>
      <c r="J2" s="37"/>
      <c r="K2" s="19">
        <v>0</v>
      </c>
      <c r="L2" s="198" t="s">
        <v>128</v>
      </c>
      <c r="M2" s="198" t="s">
        <v>128</v>
      </c>
      <c r="N2" s="197" t="s">
        <v>128</v>
      </c>
      <c r="O2" s="195">
        <v>1</v>
      </c>
      <c r="P2" s="45" t="s">
        <v>128</v>
      </c>
      <c r="Q2" s="45" t="s">
        <v>128</v>
      </c>
      <c r="R2" s="45" t="s">
        <v>128</v>
      </c>
      <c r="S2" s="45" t="s">
        <v>128</v>
      </c>
      <c r="T2" s="45" t="s">
        <v>128</v>
      </c>
      <c r="U2" s="45" t="s">
        <v>128</v>
      </c>
      <c r="V2" s="45" t="s">
        <v>128</v>
      </c>
      <c r="W2" s="45" t="s">
        <v>128</v>
      </c>
      <c r="X2" s="45" t="s">
        <v>128</v>
      </c>
      <c r="Y2" s="45" t="s">
        <v>128</v>
      </c>
      <c r="Z2" s="45" t="s">
        <v>128</v>
      </c>
      <c r="AA2" s="45" t="s">
        <v>128</v>
      </c>
      <c r="AB2" s="45" t="s">
        <v>128</v>
      </c>
      <c r="AC2" s="107" t="s">
        <v>128</v>
      </c>
      <c r="AD2" s="107" t="s">
        <v>128</v>
      </c>
      <c r="AE2" s="107" t="s">
        <v>128</v>
      </c>
      <c r="AF2" s="107" t="s">
        <v>128</v>
      </c>
      <c r="AG2" s="107" t="s">
        <v>128</v>
      </c>
      <c r="AH2" s="107" t="s">
        <v>128</v>
      </c>
      <c r="AI2" s="228"/>
      <c r="AJ2" s="228"/>
      <c r="AK2" s="228"/>
      <c r="AL2" s="228"/>
      <c r="AM2" s="228"/>
      <c r="AN2" s="228"/>
      <c r="AO2" s="140"/>
      <c r="AP2" s="140"/>
    </row>
    <row r="3" spans="1:42" s="48" customFormat="1" x14ac:dyDescent="0.2">
      <c r="A3" s="22"/>
      <c r="B3" s="22"/>
      <c r="C3" s="22"/>
      <c r="D3" s="22"/>
      <c r="E3" s="22"/>
      <c r="F3" s="22"/>
      <c r="G3" s="22"/>
      <c r="H3" s="22"/>
      <c r="I3" s="22"/>
      <c r="J3" s="36"/>
      <c r="K3" s="19">
        <v>0</v>
      </c>
      <c r="L3" s="198" t="s">
        <v>128</v>
      </c>
      <c r="M3" s="198" t="s">
        <v>128</v>
      </c>
      <c r="N3" s="197" t="s">
        <v>128</v>
      </c>
      <c r="O3" s="195">
        <v>1</v>
      </c>
      <c r="P3" s="45" t="s">
        <v>128</v>
      </c>
      <c r="Q3" s="45" t="s">
        <v>128</v>
      </c>
      <c r="R3" s="45" t="s">
        <v>128</v>
      </c>
      <c r="S3" s="45" t="s">
        <v>128</v>
      </c>
      <c r="T3" s="45" t="s">
        <v>128</v>
      </c>
      <c r="U3" s="45" t="s">
        <v>128</v>
      </c>
      <c r="V3" s="45" t="s">
        <v>128</v>
      </c>
      <c r="W3" s="45" t="s">
        <v>128</v>
      </c>
      <c r="X3" s="45" t="s">
        <v>128</v>
      </c>
      <c r="Y3" s="45" t="s">
        <v>128</v>
      </c>
      <c r="Z3" s="45" t="s">
        <v>128</v>
      </c>
      <c r="AA3" s="45" t="s">
        <v>128</v>
      </c>
      <c r="AB3" s="45" t="s">
        <v>128</v>
      </c>
      <c r="AC3" s="107" t="s">
        <v>128</v>
      </c>
      <c r="AD3" s="107" t="s">
        <v>128</v>
      </c>
      <c r="AE3" s="107" t="s">
        <v>128</v>
      </c>
      <c r="AF3" s="107" t="s">
        <v>128</v>
      </c>
      <c r="AG3" s="107" t="s">
        <v>128</v>
      </c>
      <c r="AH3" s="107" t="s">
        <v>128</v>
      </c>
      <c r="AI3" s="228"/>
      <c r="AJ3" s="228"/>
      <c r="AK3" s="228"/>
      <c r="AL3" s="228"/>
      <c r="AM3" s="228"/>
      <c r="AN3" s="228"/>
      <c r="AO3" s="140"/>
      <c r="AP3" s="140"/>
    </row>
    <row r="4" spans="1:42" s="48" customFormat="1" x14ac:dyDescent="0.2">
      <c r="A4" s="209"/>
      <c r="B4" s="8"/>
      <c r="C4" s="8"/>
      <c r="D4" s="8"/>
      <c r="E4" s="8"/>
      <c r="F4" s="8"/>
      <c r="G4" s="8"/>
      <c r="H4" s="8"/>
      <c r="I4" s="8"/>
      <c r="J4" s="37"/>
      <c r="K4" s="19">
        <v>0</v>
      </c>
      <c r="L4" s="198" t="s">
        <v>128</v>
      </c>
      <c r="M4" s="198" t="s">
        <v>128</v>
      </c>
      <c r="N4" s="197" t="s">
        <v>128</v>
      </c>
      <c r="O4" s="195">
        <v>1</v>
      </c>
      <c r="P4" s="45" t="s">
        <v>128</v>
      </c>
      <c r="Q4" s="45" t="s">
        <v>128</v>
      </c>
      <c r="R4" s="45" t="s">
        <v>128</v>
      </c>
      <c r="S4" s="45" t="s">
        <v>128</v>
      </c>
      <c r="T4" s="45" t="s">
        <v>128</v>
      </c>
      <c r="U4" s="45" t="s">
        <v>128</v>
      </c>
      <c r="V4" s="45" t="s">
        <v>128</v>
      </c>
      <c r="W4" s="45" t="s">
        <v>128</v>
      </c>
      <c r="X4" s="45" t="s">
        <v>128</v>
      </c>
      <c r="Y4" s="45" t="s">
        <v>128</v>
      </c>
      <c r="Z4" s="45" t="s">
        <v>128</v>
      </c>
      <c r="AA4" s="45" t="s">
        <v>128</v>
      </c>
      <c r="AB4" s="45" t="s">
        <v>128</v>
      </c>
      <c r="AC4" s="107" t="s">
        <v>128</v>
      </c>
      <c r="AD4" s="107" t="s">
        <v>128</v>
      </c>
      <c r="AE4" s="107" t="s">
        <v>128</v>
      </c>
      <c r="AF4" s="107" t="s">
        <v>128</v>
      </c>
      <c r="AG4" s="107" t="s">
        <v>128</v>
      </c>
      <c r="AH4" s="107" t="s">
        <v>128</v>
      </c>
      <c r="AI4" s="228"/>
      <c r="AJ4" s="228"/>
      <c r="AK4" s="228"/>
      <c r="AL4" s="228"/>
      <c r="AM4" s="228"/>
      <c r="AN4" s="228"/>
      <c r="AO4" s="140"/>
      <c r="AP4" s="140"/>
    </row>
    <row r="5" spans="1:42" s="48" customFormat="1" x14ac:dyDescent="0.2">
      <c r="A5" s="22"/>
      <c r="B5" s="22"/>
      <c r="C5" s="22"/>
      <c r="D5" s="22"/>
      <c r="E5" s="22"/>
      <c r="F5" s="22"/>
      <c r="G5" s="22"/>
      <c r="H5" s="22"/>
      <c r="I5" s="22"/>
      <c r="J5" s="36"/>
      <c r="K5" s="19">
        <v>0</v>
      </c>
      <c r="L5" s="198" t="s">
        <v>128</v>
      </c>
      <c r="M5" s="198" t="s">
        <v>128</v>
      </c>
      <c r="N5" s="197" t="s">
        <v>128</v>
      </c>
      <c r="O5" s="195">
        <v>1</v>
      </c>
      <c r="P5" s="45" t="s">
        <v>128</v>
      </c>
      <c r="Q5" s="45" t="s">
        <v>128</v>
      </c>
      <c r="R5" s="45" t="s">
        <v>128</v>
      </c>
      <c r="S5" s="45" t="s">
        <v>128</v>
      </c>
      <c r="T5" s="45" t="s">
        <v>128</v>
      </c>
      <c r="U5" s="45" t="s">
        <v>128</v>
      </c>
      <c r="V5" s="45" t="s">
        <v>128</v>
      </c>
      <c r="W5" s="45" t="s">
        <v>128</v>
      </c>
      <c r="X5" s="45" t="s">
        <v>128</v>
      </c>
      <c r="Y5" s="45" t="s">
        <v>128</v>
      </c>
      <c r="Z5" s="45" t="s">
        <v>128</v>
      </c>
      <c r="AA5" s="45" t="s">
        <v>128</v>
      </c>
      <c r="AB5" s="45" t="s">
        <v>128</v>
      </c>
      <c r="AC5" s="107" t="s">
        <v>128</v>
      </c>
      <c r="AD5" s="107" t="s">
        <v>128</v>
      </c>
      <c r="AE5" s="107" t="s">
        <v>128</v>
      </c>
      <c r="AF5" s="107" t="s">
        <v>128</v>
      </c>
      <c r="AG5" s="107" t="s">
        <v>128</v>
      </c>
      <c r="AH5" s="107" t="s">
        <v>128</v>
      </c>
      <c r="AI5" s="228"/>
      <c r="AJ5" s="228"/>
      <c r="AK5" s="228"/>
      <c r="AL5" s="228"/>
      <c r="AM5" s="228"/>
      <c r="AN5" s="228"/>
      <c r="AO5" s="140"/>
      <c r="AP5" s="140"/>
    </row>
    <row r="6" spans="1:42" s="48" customFormat="1" x14ac:dyDescent="0.2">
      <c r="A6" s="209"/>
      <c r="B6" s="8"/>
      <c r="C6" s="8"/>
      <c r="D6" s="8"/>
      <c r="E6" s="8"/>
      <c r="F6" s="8"/>
      <c r="G6" s="8"/>
      <c r="H6" s="8"/>
      <c r="I6" s="8"/>
      <c r="J6" s="37"/>
      <c r="K6" s="19">
        <v>0</v>
      </c>
      <c r="L6" s="198" t="s">
        <v>128</v>
      </c>
      <c r="M6" s="198" t="s">
        <v>128</v>
      </c>
      <c r="N6" s="197" t="s">
        <v>128</v>
      </c>
      <c r="O6" s="195">
        <v>1</v>
      </c>
      <c r="P6" s="45" t="s">
        <v>128</v>
      </c>
      <c r="Q6" s="45" t="s">
        <v>128</v>
      </c>
      <c r="R6" s="45" t="s">
        <v>128</v>
      </c>
      <c r="S6" s="45" t="s">
        <v>128</v>
      </c>
      <c r="T6" s="45" t="s">
        <v>128</v>
      </c>
      <c r="U6" s="45" t="s">
        <v>128</v>
      </c>
      <c r="V6" s="45" t="s">
        <v>128</v>
      </c>
      <c r="W6" s="45" t="s">
        <v>128</v>
      </c>
      <c r="X6" s="45" t="s">
        <v>128</v>
      </c>
      <c r="Y6" s="45" t="s">
        <v>128</v>
      </c>
      <c r="Z6" s="45" t="s">
        <v>128</v>
      </c>
      <c r="AA6" s="45" t="s">
        <v>128</v>
      </c>
      <c r="AB6" s="45" t="s">
        <v>128</v>
      </c>
      <c r="AC6" s="107" t="s">
        <v>128</v>
      </c>
      <c r="AD6" s="107" t="s">
        <v>128</v>
      </c>
      <c r="AE6" s="107" t="s">
        <v>128</v>
      </c>
      <c r="AF6" s="107" t="s">
        <v>128</v>
      </c>
      <c r="AG6" s="107" t="s">
        <v>128</v>
      </c>
      <c r="AH6" s="107" t="s">
        <v>128</v>
      </c>
      <c r="AI6" s="228"/>
      <c r="AJ6" s="228"/>
      <c r="AK6" s="228"/>
      <c r="AL6" s="228"/>
      <c r="AM6" s="228"/>
      <c r="AN6" s="228"/>
      <c r="AO6" s="140"/>
      <c r="AP6" s="140"/>
    </row>
    <row r="7" spans="1:42" s="48" customFormat="1" x14ac:dyDescent="0.2">
      <c r="A7" s="22"/>
      <c r="B7" s="22"/>
      <c r="C7" s="22"/>
      <c r="D7" s="22"/>
      <c r="E7" s="22"/>
      <c r="F7" s="22"/>
      <c r="G7" s="22"/>
      <c r="H7" s="22"/>
      <c r="I7" s="22"/>
      <c r="J7" s="36"/>
      <c r="K7" s="19">
        <v>0</v>
      </c>
      <c r="L7" s="198" t="s">
        <v>128</v>
      </c>
      <c r="M7" s="198" t="s">
        <v>128</v>
      </c>
      <c r="N7" s="197" t="s">
        <v>128</v>
      </c>
      <c r="O7" s="195">
        <v>1</v>
      </c>
      <c r="P7" s="45" t="s">
        <v>128</v>
      </c>
      <c r="Q7" s="45" t="s">
        <v>128</v>
      </c>
      <c r="R7" s="45" t="s">
        <v>128</v>
      </c>
      <c r="S7" s="45" t="s">
        <v>128</v>
      </c>
      <c r="T7" s="45" t="s">
        <v>128</v>
      </c>
      <c r="U7" s="45" t="s">
        <v>128</v>
      </c>
      <c r="V7" s="45" t="s">
        <v>128</v>
      </c>
      <c r="W7" s="45" t="s">
        <v>128</v>
      </c>
      <c r="X7" s="45" t="s">
        <v>128</v>
      </c>
      <c r="Y7" s="45" t="s">
        <v>128</v>
      </c>
      <c r="Z7" s="45" t="s">
        <v>128</v>
      </c>
      <c r="AA7" s="45" t="s">
        <v>128</v>
      </c>
      <c r="AB7" s="45" t="s">
        <v>128</v>
      </c>
      <c r="AC7" s="107" t="s">
        <v>128</v>
      </c>
      <c r="AD7" s="107" t="s">
        <v>128</v>
      </c>
      <c r="AE7" s="107" t="s">
        <v>128</v>
      </c>
      <c r="AF7" s="107" t="s">
        <v>128</v>
      </c>
      <c r="AG7" s="107" t="s">
        <v>128</v>
      </c>
      <c r="AH7" s="107" t="s">
        <v>128</v>
      </c>
      <c r="AI7" s="228"/>
      <c r="AJ7" s="228"/>
      <c r="AK7" s="228"/>
      <c r="AL7" s="228"/>
      <c r="AM7" s="228"/>
      <c r="AN7" s="228"/>
      <c r="AO7" s="140"/>
      <c r="AP7" s="140"/>
    </row>
    <row r="8" spans="1:42" s="48" customFormat="1" x14ac:dyDescent="0.2">
      <c r="A8" s="209"/>
      <c r="B8" s="8"/>
      <c r="C8" s="8"/>
      <c r="D8" s="8"/>
      <c r="E8" s="8"/>
      <c r="F8" s="8"/>
      <c r="G8" s="8"/>
      <c r="H8" s="8"/>
      <c r="I8" s="8"/>
      <c r="J8" s="37"/>
      <c r="K8" s="19">
        <v>0</v>
      </c>
      <c r="L8" s="198" t="s">
        <v>128</v>
      </c>
      <c r="M8" s="198" t="s">
        <v>128</v>
      </c>
      <c r="N8" s="197" t="s">
        <v>128</v>
      </c>
      <c r="O8" s="195">
        <v>1</v>
      </c>
      <c r="P8" s="45" t="s">
        <v>128</v>
      </c>
      <c r="Q8" s="45" t="s">
        <v>128</v>
      </c>
      <c r="R8" s="45" t="s">
        <v>128</v>
      </c>
      <c r="S8" s="45" t="s">
        <v>128</v>
      </c>
      <c r="T8" s="45" t="s">
        <v>128</v>
      </c>
      <c r="U8" s="45" t="s">
        <v>128</v>
      </c>
      <c r="V8" s="45" t="s">
        <v>128</v>
      </c>
      <c r="W8" s="45" t="s">
        <v>128</v>
      </c>
      <c r="X8" s="45" t="s">
        <v>128</v>
      </c>
      <c r="Y8" s="45" t="s">
        <v>128</v>
      </c>
      <c r="Z8" s="45" t="s">
        <v>128</v>
      </c>
      <c r="AA8" s="45" t="s">
        <v>128</v>
      </c>
      <c r="AB8" s="45" t="s">
        <v>128</v>
      </c>
      <c r="AC8" s="107" t="s">
        <v>128</v>
      </c>
      <c r="AD8" s="107" t="s">
        <v>128</v>
      </c>
      <c r="AE8" s="107" t="s">
        <v>128</v>
      </c>
      <c r="AF8" s="107" t="s">
        <v>128</v>
      </c>
      <c r="AG8" s="107" t="s">
        <v>128</v>
      </c>
      <c r="AH8" s="107" t="s">
        <v>128</v>
      </c>
      <c r="AI8" s="228"/>
      <c r="AJ8" s="228"/>
      <c r="AK8" s="228"/>
      <c r="AL8" s="228"/>
      <c r="AM8" s="228"/>
      <c r="AN8" s="228"/>
      <c r="AO8" s="140"/>
      <c r="AP8" s="140"/>
    </row>
    <row r="9" spans="1:42" s="48" customFormat="1" x14ac:dyDescent="0.2">
      <c r="A9" s="22"/>
      <c r="B9" s="22"/>
      <c r="C9" s="22"/>
      <c r="D9" s="22"/>
      <c r="E9" s="22"/>
      <c r="F9" s="22"/>
      <c r="G9" s="22"/>
      <c r="H9" s="22"/>
      <c r="I9" s="22"/>
      <c r="J9" s="36"/>
      <c r="K9" s="19">
        <v>0</v>
      </c>
      <c r="L9" s="198" t="s">
        <v>128</v>
      </c>
      <c r="M9" s="198" t="s">
        <v>128</v>
      </c>
      <c r="N9" s="197" t="s">
        <v>128</v>
      </c>
      <c r="O9" s="195">
        <v>1</v>
      </c>
      <c r="P9" s="45" t="s">
        <v>128</v>
      </c>
      <c r="Q9" s="45" t="s">
        <v>128</v>
      </c>
      <c r="R9" s="45" t="s">
        <v>128</v>
      </c>
      <c r="S9" s="45" t="s">
        <v>128</v>
      </c>
      <c r="T9" s="45" t="s">
        <v>128</v>
      </c>
      <c r="U9" s="45" t="s">
        <v>128</v>
      </c>
      <c r="V9" s="45" t="s">
        <v>128</v>
      </c>
      <c r="W9" s="45" t="s">
        <v>128</v>
      </c>
      <c r="X9" s="45" t="s">
        <v>128</v>
      </c>
      <c r="Y9" s="45" t="s">
        <v>128</v>
      </c>
      <c r="Z9" s="45" t="s">
        <v>128</v>
      </c>
      <c r="AA9" s="45" t="s">
        <v>128</v>
      </c>
      <c r="AB9" s="45" t="s">
        <v>128</v>
      </c>
      <c r="AC9" s="107" t="s">
        <v>128</v>
      </c>
      <c r="AD9" s="107" t="s">
        <v>128</v>
      </c>
      <c r="AE9" s="107" t="s">
        <v>128</v>
      </c>
      <c r="AF9" s="107" t="s">
        <v>128</v>
      </c>
      <c r="AG9" s="107" t="s">
        <v>128</v>
      </c>
      <c r="AH9" s="107" t="s">
        <v>128</v>
      </c>
      <c r="AI9" s="228"/>
      <c r="AJ9" s="228"/>
      <c r="AK9" s="228"/>
      <c r="AL9" s="228"/>
      <c r="AM9" s="228"/>
      <c r="AN9" s="228"/>
      <c r="AO9" s="140"/>
      <c r="AP9" s="140"/>
    </row>
    <row r="10" spans="1:42" s="48" customFormat="1" x14ac:dyDescent="0.2">
      <c r="A10" s="209"/>
      <c r="B10" s="8"/>
      <c r="C10" s="8"/>
      <c r="D10" s="8"/>
      <c r="E10" s="8"/>
      <c r="F10" s="8"/>
      <c r="G10" s="8"/>
      <c r="H10" s="8"/>
      <c r="I10" s="8"/>
      <c r="J10" s="37"/>
      <c r="K10" s="19">
        <v>0</v>
      </c>
      <c r="L10" s="198" t="s">
        <v>128</v>
      </c>
      <c r="M10" s="198" t="s">
        <v>128</v>
      </c>
      <c r="N10" s="197" t="s">
        <v>128</v>
      </c>
      <c r="O10" s="195">
        <v>1</v>
      </c>
      <c r="P10" s="45" t="s">
        <v>128</v>
      </c>
      <c r="Q10" s="45" t="s">
        <v>128</v>
      </c>
      <c r="R10" s="45" t="s">
        <v>128</v>
      </c>
      <c r="S10" s="45" t="s">
        <v>128</v>
      </c>
      <c r="T10" s="45" t="s">
        <v>128</v>
      </c>
      <c r="U10" s="45" t="s">
        <v>128</v>
      </c>
      <c r="V10" s="45" t="s">
        <v>128</v>
      </c>
      <c r="W10" s="45" t="s">
        <v>128</v>
      </c>
      <c r="X10" s="45" t="s">
        <v>128</v>
      </c>
      <c r="Y10" s="45" t="s">
        <v>128</v>
      </c>
      <c r="Z10" s="45" t="s">
        <v>128</v>
      </c>
      <c r="AA10" s="45" t="s">
        <v>128</v>
      </c>
      <c r="AB10" s="45" t="s">
        <v>128</v>
      </c>
      <c r="AC10" s="107" t="s">
        <v>128</v>
      </c>
      <c r="AD10" s="107" t="s">
        <v>128</v>
      </c>
      <c r="AE10" s="107" t="s">
        <v>128</v>
      </c>
      <c r="AF10" s="107" t="s">
        <v>128</v>
      </c>
      <c r="AG10" s="107" t="s">
        <v>128</v>
      </c>
      <c r="AH10" s="107" t="s">
        <v>128</v>
      </c>
      <c r="AI10" s="228"/>
      <c r="AJ10" s="228"/>
      <c r="AK10" s="228"/>
      <c r="AL10" s="228"/>
      <c r="AM10" s="228"/>
      <c r="AN10" s="228"/>
      <c r="AO10" s="140"/>
      <c r="AP10" s="140"/>
    </row>
    <row r="11" spans="1:42" s="48" customFormat="1" x14ac:dyDescent="0.2">
      <c r="A11" s="22"/>
      <c r="B11" s="22"/>
      <c r="C11" s="22"/>
      <c r="D11" s="22"/>
      <c r="E11" s="22"/>
      <c r="F11" s="22"/>
      <c r="G11" s="22"/>
      <c r="H11" s="22"/>
      <c r="I11" s="22"/>
      <c r="J11" s="36"/>
      <c r="K11" s="19">
        <v>0</v>
      </c>
      <c r="L11" s="198" t="s">
        <v>128</v>
      </c>
      <c r="M11" s="198" t="s">
        <v>128</v>
      </c>
      <c r="N11" s="197" t="s">
        <v>128</v>
      </c>
      <c r="O11" s="195">
        <v>1</v>
      </c>
      <c r="P11" s="45" t="s">
        <v>128</v>
      </c>
      <c r="Q11" s="45" t="s">
        <v>128</v>
      </c>
      <c r="R11" s="45" t="s">
        <v>128</v>
      </c>
      <c r="S11" s="45" t="s">
        <v>128</v>
      </c>
      <c r="T11" s="45" t="s">
        <v>128</v>
      </c>
      <c r="U11" s="45" t="s">
        <v>128</v>
      </c>
      <c r="V11" s="45" t="s">
        <v>128</v>
      </c>
      <c r="W11" s="45" t="s">
        <v>128</v>
      </c>
      <c r="X11" s="45" t="s">
        <v>128</v>
      </c>
      <c r="Y11" s="45" t="s">
        <v>128</v>
      </c>
      <c r="Z11" s="45" t="s">
        <v>128</v>
      </c>
      <c r="AA11" s="45" t="s">
        <v>128</v>
      </c>
      <c r="AB11" s="45" t="s">
        <v>128</v>
      </c>
      <c r="AC11" s="107" t="s">
        <v>128</v>
      </c>
      <c r="AD11" s="107" t="s">
        <v>128</v>
      </c>
      <c r="AE11" s="107" t="s">
        <v>128</v>
      </c>
      <c r="AF11" s="107" t="s">
        <v>128</v>
      </c>
      <c r="AG11" s="107" t="s">
        <v>128</v>
      </c>
      <c r="AH11" s="107" t="s">
        <v>128</v>
      </c>
      <c r="AI11" s="228"/>
      <c r="AJ11" s="228"/>
      <c r="AK11" s="228"/>
      <c r="AL11" s="228"/>
      <c r="AM11" s="228"/>
      <c r="AN11" s="228"/>
      <c r="AO11" s="140"/>
      <c r="AP11" s="140"/>
    </row>
    <row r="12" spans="1:42" s="48" customFormat="1" x14ac:dyDescent="0.2">
      <c r="A12" s="209"/>
      <c r="B12" s="8"/>
      <c r="C12" s="8"/>
      <c r="D12" s="8"/>
      <c r="E12" s="8"/>
      <c r="F12" s="8"/>
      <c r="G12" s="8"/>
      <c r="H12" s="8"/>
      <c r="I12" s="8"/>
      <c r="J12" s="37"/>
      <c r="K12" s="19">
        <v>0</v>
      </c>
      <c r="L12" s="198" t="s">
        <v>128</v>
      </c>
      <c r="M12" s="198" t="s">
        <v>128</v>
      </c>
      <c r="N12" s="197" t="s">
        <v>128</v>
      </c>
      <c r="O12" s="195">
        <v>1</v>
      </c>
      <c r="P12" s="45" t="s">
        <v>128</v>
      </c>
      <c r="Q12" s="45" t="s">
        <v>128</v>
      </c>
      <c r="R12" s="45" t="s">
        <v>128</v>
      </c>
      <c r="S12" s="45" t="s">
        <v>128</v>
      </c>
      <c r="T12" s="45" t="s">
        <v>128</v>
      </c>
      <c r="U12" s="45" t="s">
        <v>128</v>
      </c>
      <c r="V12" s="45" t="s">
        <v>128</v>
      </c>
      <c r="W12" s="45" t="s">
        <v>128</v>
      </c>
      <c r="X12" s="45" t="s">
        <v>128</v>
      </c>
      <c r="Y12" s="45" t="s">
        <v>128</v>
      </c>
      <c r="Z12" s="45" t="s">
        <v>128</v>
      </c>
      <c r="AA12" s="45" t="s">
        <v>128</v>
      </c>
      <c r="AB12" s="45" t="s">
        <v>128</v>
      </c>
      <c r="AC12" s="107" t="s">
        <v>128</v>
      </c>
      <c r="AD12" s="107" t="s">
        <v>128</v>
      </c>
      <c r="AE12" s="107" t="s">
        <v>128</v>
      </c>
      <c r="AF12" s="107" t="s">
        <v>128</v>
      </c>
      <c r="AG12" s="107" t="s">
        <v>128</v>
      </c>
      <c r="AH12" s="107" t="s">
        <v>128</v>
      </c>
      <c r="AI12" s="228"/>
      <c r="AJ12" s="228"/>
      <c r="AK12" s="228"/>
      <c r="AL12" s="228"/>
      <c r="AM12" s="228"/>
      <c r="AN12" s="228"/>
      <c r="AO12" s="140"/>
      <c r="AP12" s="140"/>
    </row>
    <row r="13" spans="1:42" s="48" customFormat="1" x14ac:dyDescent="0.2">
      <c r="A13" s="22"/>
      <c r="B13" s="22"/>
      <c r="C13" s="22"/>
      <c r="D13" s="22"/>
      <c r="E13" s="22"/>
      <c r="F13" s="22"/>
      <c r="G13" s="22"/>
      <c r="H13" s="22"/>
      <c r="I13" s="22"/>
      <c r="J13" s="36"/>
      <c r="K13" s="19">
        <v>0</v>
      </c>
      <c r="L13" s="198" t="s">
        <v>128</v>
      </c>
      <c r="M13" s="198" t="s">
        <v>128</v>
      </c>
      <c r="N13" s="197" t="s">
        <v>128</v>
      </c>
      <c r="O13" s="195">
        <v>1</v>
      </c>
      <c r="P13" s="45" t="s">
        <v>128</v>
      </c>
      <c r="Q13" s="45" t="s">
        <v>128</v>
      </c>
      <c r="R13" s="45" t="s">
        <v>128</v>
      </c>
      <c r="S13" s="45" t="s">
        <v>128</v>
      </c>
      <c r="T13" s="45" t="s">
        <v>128</v>
      </c>
      <c r="U13" s="45" t="s">
        <v>128</v>
      </c>
      <c r="V13" s="45" t="s">
        <v>128</v>
      </c>
      <c r="W13" s="45" t="s">
        <v>128</v>
      </c>
      <c r="X13" s="45" t="s">
        <v>128</v>
      </c>
      <c r="Y13" s="45" t="s">
        <v>128</v>
      </c>
      <c r="Z13" s="45" t="s">
        <v>128</v>
      </c>
      <c r="AA13" s="45" t="s">
        <v>128</v>
      </c>
      <c r="AB13" s="45" t="s">
        <v>128</v>
      </c>
      <c r="AC13" s="107" t="s">
        <v>128</v>
      </c>
      <c r="AD13" s="107" t="s">
        <v>128</v>
      </c>
      <c r="AE13" s="107" t="s">
        <v>128</v>
      </c>
      <c r="AF13" s="107" t="s">
        <v>128</v>
      </c>
      <c r="AG13" s="107" t="s">
        <v>128</v>
      </c>
      <c r="AH13" s="107" t="s">
        <v>128</v>
      </c>
      <c r="AI13" s="228"/>
      <c r="AJ13" s="228"/>
      <c r="AK13" s="228"/>
      <c r="AL13" s="228"/>
      <c r="AM13" s="228"/>
      <c r="AN13" s="228"/>
      <c r="AO13" s="140"/>
      <c r="AP13" s="140"/>
    </row>
    <row r="14" spans="1:42" s="48" customFormat="1" x14ac:dyDescent="0.2">
      <c r="A14" s="209"/>
      <c r="B14" s="8"/>
      <c r="C14" s="8"/>
      <c r="D14" s="8"/>
      <c r="E14" s="8"/>
      <c r="F14" s="8"/>
      <c r="G14" s="8"/>
      <c r="H14" s="8"/>
      <c r="I14" s="8"/>
      <c r="J14" s="37"/>
      <c r="K14" s="19">
        <v>0</v>
      </c>
      <c r="L14" s="198" t="s">
        <v>128</v>
      </c>
      <c r="M14" s="198" t="s">
        <v>128</v>
      </c>
      <c r="N14" s="197" t="s">
        <v>128</v>
      </c>
      <c r="O14" s="195">
        <v>1</v>
      </c>
      <c r="P14" s="45" t="s">
        <v>128</v>
      </c>
      <c r="Q14" s="45" t="s">
        <v>128</v>
      </c>
      <c r="R14" s="45" t="s">
        <v>128</v>
      </c>
      <c r="S14" s="45" t="s">
        <v>128</v>
      </c>
      <c r="T14" s="45" t="s">
        <v>128</v>
      </c>
      <c r="U14" s="45" t="s">
        <v>128</v>
      </c>
      <c r="V14" s="45" t="s">
        <v>128</v>
      </c>
      <c r="W14" s="45" t="s">
        <v>128</v>
      </c>
      <c r="X14" s="45" t="s">
        <v>128</v>
      </c>
      <c r="Y14" s="45" t="s">
        <v>128</v>
      </c>
      <c r="Z14" s="45" t="s">
        <v>128</v>
      </c>
      <c r="AA14" s="45" t="s">
        <v>128</v>
      </c>
      <c r="AB14" s="45" t="s">
        <v>128</v>
      </c>
      <c r="AC14" s="107" t="s">
        <v>128</v>
      </c>
      <c r="AD14" s="107" t="s">
        <v>128</v>
      </c>
      <c r="AE14" s="107" t="s">
        <v>128</v>
      </c>
      <c r="AF14" s="107" t="s">
        <v>128</v>
      </c>
      <c r="AG14" s="107" t="s">
        <v>128</v>
      </c>
      <c r="AH14" s="107" t="s">
        <v>128</v>
      </c>
      <c r="AI14" s="228"/>
      <c r="AJ14" s="228"/>
      <c r="AK14" s="228"/>
      <c r="AL14" s="228"/>
      <c r="AM14" s="228"/>
      <c r="AN14" s="228"/>
      <c r="AO14" s="140"/>
      <c r="AP14" s="140"/>
    </row>
    <row r="15" spans="1:42" s="48" customFormat="1" x14ac:dyDescent="0.2">
      <c r="A15" s="22"/>
      <c r="B15" s="22"/>
      <c r="C15" s="22"/>
      <c r="D15" s="22"/>
      <c r="E15" s="22"/>
      <c r="F15" s="22"/>
      <c r="G15" s="22"/>
      <c r="H15" s="22"/>
      <c r="I15" s="22"/>
      <c r="J15" s="36"/>
      <c r="K15" s="19">
        <v>0</v>
      </c>
      <c r="L15" s="198" t="s">
        <v>128</v>
      </c>
      <c r="M15" s="198" t="s">
        <v>128</v>
      </c>
      <c r="N15" s="197" t="s">
        <v>128</v>
      </c>
      <c r="O15" s="195">
        <v>1</v>
      </c>
      <c r="P15" s="45" t="s">
        <v>128</v>
      </c>
      <c r="Q15" s="45" t="s">
        <v>128</v>
      </c>
      <c r="R15" s="45" t="s">
        <v>128</v>
      </c>
      <c r="S15" s="45" t="s">
        <v>128</v>
      </c>
      <c r="T15" s="45" t="s">
        <v>128</v>
      </c>
      <c r="U15" s="45" t="s">
        <v>128</v>
      </c>
      <c r="V15" s="45" t="s">
        <v>128</v>
      </c>
      <c r="W15" s="45" t="s">
        <v>128</v>
      </c>
      <c r="X15" s="45" t="s">
        <v>128</v>
      </c>
      <c r="Y15" s="45" t="s">
        <v>128</v>
      </c>
      <c r="Z15" s="45" t="s">
        <v>128</v>
      </c>
      <c r="AA15" s="45" t="s">
        <v>128</v>
      </c>
      <c r="AB15" s="45" t="s">
        <v>128</v>
      </c>
      <c r="AC15" s="107" t="s">
        <v>128</v>
      </c>
      <c r="AD15" s="107" t="s">
        <v>128</v>
      </c>
      <c r="AE15" s="107" t="s">
        <v>128</v>
      </c>
      <c r="AF15" s="107" t="s">
        <v>128</v>
      </c>
      <c r="AG15" s="107" t="s">
        <v>128</v>
      </c>
      <c r="AH15" s="107" t="s">
        <v>128</v>
      </c>
      <c r="AI15" s="228"/>
      <c r="AJ15" s="228"/>
      <c r="AK15" s="228"/>
      <c r="AL15" s="228"/>
      <c r="AM15" s="228"/>
      <c r="AN15" s="228"/>
      <c r="AO15" s="140"/>
      <c r="AP15" s="140"/>
    </row>
    <row r="16" spans="1:42" s="48" customFormat="1" x14ac:dyDescent="0.2">
      <c r="A16" s="209"/>
      <c r="B16" s="8"/>
      <c r="C16" s="8"/>
      <c r="D16" s="8"/>
      <c r="E16" s="8"/>
      <c r="F16" s="8"/>
      <c r="G16" s="8"/>
      <c r="H16" s="8"/>
      <c r="I16" s="8"/>
      <c r="J16" s="37"/>
      <c r="K16" s="19">
        <v>0</v>
      </c>
      <c r="L16" s="198" t="s">
        <v>128</v>
      </c>
      <c r="M16" s="198" t="s">
        <v>128</v>
      </c>
      <c r="N16" s="197" t="s">
        <v>128</v>
      </c>
      <c r="O16" s="195">
        <v>1</v>
      </c>
      <c r="P16" s="45" t="s">
        <v>128</v>
      </c>
      <c r="Q16" s="45" t="s">
        <v>128</v>
      </c>
      <c r="R16" s="45" t="s">
        <v>128</v>
      </c>
      <c r="S16" s="45" t="s">
        <v>128</v>
      </c>
      <c r="T16" s="45" t="s">
        <v>128</v>
      </c>
      <c r="U16" s="45" t="s">
        <v>128</v>
      </c>
      <c r="V16" s="45" t="s">
        <v>128</v>
      </c>
      <c r="W16" s="45" t="s">
        <v>128</v>
      </c>
      <c r="X16" s="45" t="s">
        <v>128</v>
      </c>
      <c r="Y16" s="45" t="s">
        <v>128</v>
      </c>
      <c r="Z16" s="45" t="s">
        <v>128</v>
      </c>
      <c r="AA16" s="45" t="s">
        <v>128</v>
      </c>
      <c r="AB16" s="45" t="s">
        <v>128</v>
      </c>
      <c r="AC16" s="107" t="s">
        <v>128</v>
      </c>
      <c r="AD16" s="107" t="s">
        <v>128</v>
      </c>
      <c r="AE16" s="107" t="s">
        <v>128</v>
      </c>
      <c r="AF16" s="107" t="s">
        <v>128</v>
      </c>
      <c r="AG16" s="107" t="s">
        <v>128</v>
      </c>
      <c r="AH16" s="107" t="s">
        <v>128</v>
      </c>
      <c r="AI16" s="228"/>
      <c r="AJ16" s="228"/>
      <c r="AK16" s="228"/>
      <c r="AL16" s="228"/>
      <c r="AM16" s="228"/>
      <c r="AN16" s="228"/>
      <c r="AO16" s="140"/>
      <c r="AP16" s="140"/>
    </row>
    <row r="17" spans="1:42" s="48" customFormat="1" x14ac:dyDescent="0.2">
      <c r="A17" s="22"/>
      <c r="B17" s="22"/>
      <c r="C17" s="22"/>
      <c r="D17" s="22"/>
      <c r="E17" s="22"/>
      <c r="F17" s="22"/>
      <c r="G17" s="22"/>
      <c r="H17" s="22"/>
      <c r="I17" s="22"/>
      <c r="J17" s="36"/>
      <c r="K17" s="19">
        <v>0</v>
      </c>
      <c r="L17" s="198" t="s">
        <v>128</v>
      </c>
      <c r="M17" s="198" t="s">
        <v>128</v>
      </c>
      <c r="N17" s="197" t="s">
        <v>128</v>
      </c>
      <c r="O17" s="195">
        <v>1</v>
      </c>
      <c r="P17" s="45" t="s">
        <v>128</v>
      </c>
      <c r="Q17" s="45" t="s">
        <v>128</v>
      </c>
      <c r="R17" s="45" t="s">
        <v>128</v>
      </c>
      <c r="S17" s="45" t="s">
        <v>128</v>
      </c>
      <c r="T17" s="45" t="s">
        <v>128</v>
      </c>
      <c r="U17" s="45" t="s">
        <v>128</v>
      </c>
      <c r="V17" s="45" t="s">
        <v>128</v>
      </c>
      <c r="W17" s="45" t="s">
        <v>128</v>
      </c>
      <c r="X17" s="45" t="s">
        <v>128</v>
      </c>
      <c r="Y17" s="45" t="s">
        <v>128</v>
      </c>
      <c r="Z17" s="45" t="s">
        <v>128</v>
      </c>
      <c r="AA17" s="45" t="s">
        <v>128</v>
      </c>
      <c r="AB17" s="45" t="s">
        <v>128</v>
      </c>
      <c r="AC17" s="107" t="s">
        <v>128</v>
      </c>
      <c r="AD17" s="107" t="s">
        <v>128</v>
      </c>
      <c r="AE17" s="107" t="s">
        <v>128</v>
      </c>
      <c r="AF17" s="107" t="s">
        <v>128</v>
      </c>
      <c r="AG17" s="107" t="s">
        <v>128</v>
      </c>
      <c r="AH17" s="107" t="s">
        <v>128</v>
      </c>
      <c r="AI17" s="228"/>
      <c r="AJ17" s="228"/>
      <c r="AK17" s="228"/>
      <c r="AL17" s="228"/>
      <c r="AM17" s="228"/>
      <c r="AN17" s="228"/>
      <c r="AO17" s="140"/>
      <c r="AP17" s="140"/>
    </row>
    <row r="18" spans="1:42" s="48" customFormat="1" x14ac:dyDescent="0.2">
      <c r="A18" s="209"/>
      <c r="B18" s="8"/>
      <c r="C18" s="8"/>
      <c r="D18" s="8"/>
      <c r="E18" s="8"/>
      <c r="F18" s="8"/>
      <c r="G18" s="8"/>
      <c r="H18" s="8"/>
      <c r="I18" s="8"/>
      <c r="J18" s="37"/>
      <c r="K18" s="19">
        <v>0</v>
      </c>
      <c r="L18" s="198" t="s">
        <v>128</v>
      </c>
      <c r="M18" s="198" t="s">
        <v>128</v>
      </c>
      <c r="N18" s="197" t="s">
        <v>128</v>
      </c>
      <c r="O18" s="195">
        <v>1</v>
      </c>
      <c r="P18" s="45" t="s">
        <v>128</v>
      </c>
      <c r="Q18" s="45" t="s">
        <v>128</v>
      </c>
      <c r="R18" s="45" t="s">
        <v>128</v>
      </c>
      <c r="S18" s="45" t="s">
        <v>128</v>
      </c>
      <c r="T18" s="45" t="s">
        <v>128</v>
      </c>
      <c r="U18" s="45" t="s">
        <v>128</v>
      </c>
      <c r="V18" s="45" t="s">
        <v>128</v>
      </c>
      <c r="W18" s="45" t="s">
        <v>128</v>
      </c>
      <c r="X18" s="45" t="s">
        <v>128</v>
      </c>
      <c r="Y18" s="45" t="s">
        <v>128</v>
      </c>
      <c r="Z18" s="45" t="s">
        <v>128</v>
      </c>
      <c r="AA18" s="45" t="s">
        <v>128</v>
      </c>
      <c r="AB18" s="45" t="s">
        <v>128</v>
      </c>
      <c r="AC18" s="107" t="s">
        <v>128</v>
      </c>
      <c r="AD18" s="107" t="s">
        <v>128</v>
      </c>
      <c r="AE18" s="107" t="s">
        <v>128</v>
      </c>
      <c r="AF18" s="107" t="s">
        <v>128</v>
      </c>
      <c r="AG18" s="107" t="s">
        <v>128</v>
      </c>
      <c r="AH18" s="107" t="s">
        <v>128</v>
      </c>
      <c r="AI18" s="228"/>
      <c r="AJ18" s="228"/>
      <c r="AK18" s="228"/>
      <c r="AL18" s="228"/>
      <c r="AM18" s="228"/>
      <c r="AN18" s="228"/>
      <c r="AO18" s="279"/>
      <c r="AP18" s="140"/>
    </row>
    <row r="19" spans="1:42" s="48" customFormat="1" x14ac:dyDescent="0.2">
      <c r="A19" s="22"/>
      <c r="B19" s="22"/>
      <c r="C19" s="22"/>
      <c r="D19" s="22"/>
      <c r="E19" s="22"/>
      <c r="F19" s="22"/>
      <c r="G19" s="22"/>
      <c r="H19" s="22"/>
      <c r="I19" s="22"/>
      <c r="J19" s="36"/>
      <c r="K19" s="19">
        <v>0</v>
      </c>
      <c r="L19" s="198" t="s">
        <v>128</v>
      </c>
      <c r="M19" s="198" t="s">
        <v>128</v>
      </c>
      <c r="N19" s="197" t="s">
        <v>128</v>
      </c>
      <c r="O19" s="195">
        <v>1</v>
      </c>
      <c r="P19" s="45" t="s">
        <v>128</v>
      </c>
      <c r="Q19" s="45" t="s">
        <v>128</v>
      </c>
      <c r="R19" s="45" t="s">
        <v>128</v>
      </c>
      <c r="S19" s="45" t="s">
        <v>128</v>
      </c>
      <c r="T19" s="45" t="s">
        <v>128</v>
      </c>
      <c r="U19" s="45" t="s">
        <v>128</v>
      </c>
      <c r="V19" s="45" t="s">
        <v>128</v>
      </c>
      <c r="W19" s="45" t="s">
        <v>128</v>
      </c>
      <c r="X19" s="45" t="s">
        <v>128</v>
      </c>
      <c r="Y19" s="45" t="s">
        <v>128</v>
      </c>
      <c r="Z19" s="45" t="s">
        <v>128</v>
      </c>
      <c r="AA19" s="45" t="s">
        <v>128</v>
      </c>
      <c r="AB19" s="45" t="s">
        <v>128</v>
      </c>
      <c r="AC19" s="107" t="s">
        <v>128</v>
      </c>
      <c r="AD19" s="107" t="s">
        <v>128</v>
      </c>
      <c r="AE19" s="107" t="s">
        <v>128</v>
      </c>
      <c r="AF19" s="107" t="s">
        <v>128</v>
      </c>
      <c r="AG19" s="107" t="s">
        <v>128</v>
      </c>
      <c r="AH19" s="107" t="s">
        <v>128</v>
      </c>
      <c r="AI19" s="228"/>
      <c r="AJ19" s="228"/>
      <c r="AK19" s="228"/>
      <c r="AL19" s="228"/>
      <c r="AM19" s="228"/>
      <c r="AN19" s="228"/>
      <c r="AO19" s="279"/>
      <c r="AP19" s="140"/>
    </row>
    <row r="20" spans="1:42" s="48" customFormat="1" x14ac:dyDescent="0.2">
      <c r="A20" s="209"/>
      <c r="B20" s="8"/>
      <c r="C20" s="8"/>
      <c r="D20" s="8"/>
      <c r="E20" s="8"/>
      <c r="F20" s="8"/>
      <c r="G20" s="8"/>
      <c r="H20" s="8"/>
      <c r="I20" s="8"/>
      <c r="J20" s="37"/>
      <c r="K20" s="19">
        <v>0</v>
      </c>
      <c r="L20" s="198" t="s">
        <v>128</v>
      </c>
      <c r="M20" s="198" t="s">
        <v>128</v>
      </c>
      <c r="N20" s="197" t="s">
        <v>128</v>
      </c>
      <c r="O20" s="195">
        <v>1</v>
      </c>
      <c r="P20" s="45" t="s">
        <v>128</v>
      </c>
      <c r="Q20" s="45" t="s">
        <v>128</v>
      </c>
      <c r="R20" s="45" t="s">
        <v>128</v>
      </c>
      <c r="S20" s="45" t="s">
        <v>128</v>
      </c>
      <c r="T20" s="45" t="s">
        <v>128</v>
      </c>
      <c r="U20" s="45" t="s">
        <v>128</v>
      </c>
      <c r="V20" s="45" t="s">
        <v>128</v>
      </c>
      <c r="W20" s="45" t="s">
        <v>128</v>
      </c>
      <c r="X20" s="45" t="s">
        <v>128</v>
      </c>
      <c r="Y20" s="45" t="s">
        <v>128</v>
      </c>
      <c r="Z20" s="45" t="s">
        <v>128</v>
      </c>
      <c r="AA20" s="45" t="s">
        <v>128</v>
      </c>
      <c r="AB20" s="45" t="s">
        <v>128</v>
      </c>
      <c r="AC20" s="107" t="s">
        <v>128</v>
      </c>
      <c r="AD20" s="107" t="s">
        <v>128</v>
      </c>
      <c r="AE20" s="107" t="s">
        <v>128</v>
      </c>
      <c r="AF20" s="107" t="s">
        <v>128</v>
      </c>
      <c r="AG20" s="107" t="s">
        <v>128</v>
      </c>
      <c r="AH20" s="107" t="s">
        <v>128</v>
      </c>
      <c r="AI20" s="228"/>
      <c r="AJ20" s="228"/>
      <c r="AK20" s="228"/>
      <c r="AL20" s="228"/>
      <c r="AM20" s="228"/>
      <c r="AN20" s="228"/>
      <c r="AO20" s="279"/>
      <c r="AP20" s="140"/>
    </row>
    <row r="21" spans="1:42" s="48" customFormat="1" x14ac:dyDescent="0.2">
      <c r="A21" s="22"/>
      <c r="B21" s="22"/>
      <c r="C21" s="22"/>
      <c r="D21" s="22"/>
      <c r="E21" s="22"/>
      <c r="F21" s="22"/>
      <c r="G21" s="22"/>
      <c r="H21" s="22"/>
      <c r="I21" s="22"/>
      <c r="J21" s="36"/>
      <c r="K21" s="19">
        <v>0</v>
      </c>
      <c r="L21" s="198" t="s">
        <v>128</v>
      </c>
      <c r="M21" s="198" t="s">
        <v>128</v>
      </c>
      <c r="N21" s="197" t="s">
        <v>128</v>
      </c>
      <c r="O21" s="195">
        <v>1</v>
      </c>
      <c r="P21" s="45" t="s">
        <v>128</v>
      </c>
      <c r="Q21" s="45" t="s">
        <v>128</v>
      </c>
      <c r="R21" s="45" t="s">
        <v>128</v>
      </c>
      <c r="S21" s="45" t="s">
        <v>128</v>
      </c>
      <c r="T21" s="45" t="s">
        <v>128</v>
      </c>
      <c r="U21" s="45" t="s">
        <v>128</v>
      </c>
      <c r="V21" s="45" t="s">
        <v>128</v>
      </c>
      <c r="W21" s="45" t="s">
        <v>128</v>
      </c>
      <c r="X21" s="45" t="s">
        <v>128</v>
      </c>
      <c r="Y21" s="45" t="s">
        <v>128</v>
      </c>
      <c r="Z21" s="45" t="s">
        <v>128</v>
      </c>
      <c r="AA21" s="45" t="s">
        <v>128</v>
      </c>
      <c r="AB21" s="45" t="s">
        <v>128</v>
      </c>
      <c r="AC21" s="107" t="s">
        <v>128</v>
      </c>
      <c r="AD21" s="107" t="s">
        <v>128</v>
      </c>
      <c r="AE21" s="107" t="s">
        <v>128</v>
      </c>
      <c r="AF21" s="107" t="s">
        <v>128</v>
      </c>
      <c r="AG21" s="107" t="s">
        <v>128</v>
      </c>
      <c r="AH21" s="107" t="s">
        <v>128</v>
      </c>
      <c r="AI21" s="228"/>
      <c r="AJ21" s="228"/>
      <c r="AK21" s="228"/>
      <c r="AL21" s="228"/>
      <c r="AM21" s="228"/>
      <c r="AN21" s="228"/>
      <c r="AO21" s="140"/>
      <c r="AP21" s="140"/>
    </row>
    <row r="22" spans="1:42" s="48" customFormat="1" x14ac:dyDescent="0.2">
      <c r="A22" s="209"/>
      <c r="B22" s="8"/>
      <c r="C22" s="8"/>
      <c r="D22" s="8"/>
      <c r="E22" s="8"/>
      <c r="F22" s="8"/>
      <c r="G22" s="8"/>
      <c r="H22" s="8"/>
      <c r="I22" s="8"/>
      <c r="J22" s="37"/>
      <c r="K22" s="19">
        <v>0</v>
      </c>
      <c r="L22" s="198" t="s">
        <v>128</v>
      </c>
      <c r="M22" s="198" t="s">
        <v>128</v>
      </c>
      <c r="N22" s="197" t="s">
        <v>128</v>
      </c>
      <c r="O22" s="195">
        <v>1</v>
      </c>
      <c r="P22" s="45" t="s">
        <v>128</v>
      </c>
      <c r="Q22" s="45" t="s">
        <v>128</v>
      </c>
      <c r="R22" s="45" t="s">
        <v>128</v>
      </c>
      <c r="S22" s="45" t="s">
        <v>128</v>
      </c>
      <c r="T22" s="45" t="s">
        <v>128</v>
      </c>
      <c r="U22" s="45" t="s">
        <v>128</v>
      </c>
      <c r="V22" s="45" t="s">
        <v>128</v>
      </c>
      <c r="W22" s="45" t="s">
        <v>128</v>
      </c>
      <c r="X22" s="45" t="s">
        <v>128</v>
      </c>
      <c r="Y22" s="45" t="s">
        <v>128</v>
      </c>
      <c r="Z22" s="45" t="s">
        <v>128</v>
      </c>
      <c r="AA22" s="45" t="s">
        <v>128</v>
      </c>
      <c r="AB22" s="45" t="s">
        <v>128</v>
      </c>
      <c r="AC22" s="107" t="s">
        <v>128</v>
      </c>
      <c r="AD22" s="107" t="s">
        <v>128</v>
      </c>
      <c r="AE22" s="107" t="s">
        <v>128</v>
      </c>
      <c r="AF22" s="107" t="s">
        <v>128</v>
      </c>
      <c r="AG22" s="107" t="s">
        <v>128</v>
      </c>
      <c r="AH22" s="107" t="s">
        <v>128</v>
      </c>
      <c r="AI22" s="228"/>
      <c r="AJ22" s="228"/>
      <c r="AK22" s="228"/>
      <c r="AL22" s="228"/>
      <c r="AM22" s="228"/>
      <c r="AN22" s="228"/>
      <c r="AO22" s="140"/>
      <c r="AP22" s="140"/>
    </row>
    <row r="23" spans="1:42" s="48" customFormat="1" x14ac:dyDescent="0.2">
      <c r="A23" s="22"/>
      <c r="B23" s="22"/>
      <c r="C23" s="22"/>
      <c r="D23" s="22"/>
      <c r="E23" s="22"/>
      <c r="F23" s="22"/>
      <c r="G23" s="22"/>
      <c r="H23" s="22"/>
      <c r="I23" s="22"/>
      <c r="J23" s="36"/>
      <c r="K23" s="19">
        <v>0</v>
      </c>
      <c r="L23" s="198" t="s">
        <v>128</v>
      </c>
      <c r="M23" s="198" t="s">
        <v>128</v>
      </c>
      <c r="N23" s="197" t="s">
        <v>128</v>
      </c>
      <c r="O23" s="195">
        <v>1</v>
      </c>
      <c r="P23" s="45" t="s">
        <v>128</v>
      </c>
      <c r="Q23" s="45" t="s">
        <v>128</v>
      </c>
      <c r="R23" s="45" t="s">
        <v>128</v>
      </c>
      <c r="S23" s="45" t="s">
        <v>128</v>
      </c>
      <c r="T23" s="45" t="s">
        <v>128</v>
      </c>
      <c r="U23" s="45" t="s">
        <v>128</v>
      </c>
      <c r="V23" s="45" t="s">
        <v>128</v>
      </c>
      <c r="W23" s="45" t="s">
        <v>128</v>
      </c>
      <c r="X23" s="45" t="s">
        <v>128</v>
      </c>
      <c r="Y23" s="45" t="s">
        <v>128</v>
      </c>
      <c r="Z23" s="45" t="s">
        <v>128</v>
      </c>
      <c r="AA23" s="45" t="s">
        <v>128</v>
      </c>
      <c r="AB23" s="45" t="s">
        <v>128</v>
      </c>
      <c r="AC23" s="107" t="s">
        <v>128</v>
      </c>
      <c r="AD23" s="107" t="s">
        <v>128</v>
      </c>
      <c r="AE23" s="107" t="s">
        <v>128</v>
      </c>
      <c r="AF23" s="107" t="s">
        <v>128</v>
      </c>
      <c r="AG23" s="107" t="s">
        <v>128</v>
      </c>
      <c r="AH23" s="107" t="s">
        <v>128</v>
      </c>
      <c r="AI23" s="228"/>
      <c r="AJ23" s="228"/>
      <c r="AK23" s="228"/>
      <c r="AL23" s="228"/>
      <c r="AM23" s="228"/>
      <c r="AN23" s="228"/>
      <c r="AO23" s="140"/>
      <c r="AP23" s="140"/>
    </row>
    <row r="24" spans="1:42" s="48" customFormat="1" x14ac:dyDescent="0.2">
      <c r="A24" s="209"/>
      <c r="B24" s="8"/>
      <c r="C24" s="8"/>
      <c r="D24" s="8"/>
      <c r="E24" s="8"/>
      <c r="F24" s="8"/>
      <c r="G24" s="8"/>
      <c r="H24" s="8"/>
      <c r="I24" s="8"/>
      <c r="J24" s="37"/>
      <c r="K24" s="19">
        <v>0</v>
      </c>
      <c r="L24" s="198" t="s">
        <v>128</v>
      </c>
      <c r="M24" s="198" t="s">
        <v>128</v>
      </c>
      <c r="N24" s="197" t="s">
        <v>128</v>
      </c>
      <c r="O24" s="195">
        <v>1</v>
      </c>
      <c r="P24" s="45" t="s">
        <v>128</v>
      </c>
      <c r="Q24" s="45" t="s">
        <v>128</v>
      </c>
      <c r="R24" s="45" t="s">
        <v>128</v>
      </c>
      <c r="S24" s="45" t="s">
        <v>128</v>
      </c>
      <c r="T24" s="45" t="s">
        <v>128</v>
      </c>
      <c r="U24" s="45" t="s">
        <v>128</v>
      </c>
      <c r="V24" s="45" t="s">
        <v>128</v>
      </c>
      <c r="W24" s="45" t="s">
        <v>128</v>
      </c>
      <c r="X24" s="45" t="s">
        <v>128</v>
      </c>
      <c r="Y24" s="45" t="s">
        <v>128</v>
      </c>
      <c r="Z24" s="45" t="s">
        <v>128</v>
      </c>
      <c r="AA24" s="45" t="s">
        <v>128</v>
      </c>
      <c r="AB24" s="45" t="s">
        <v>128</v>
      </c>
      <c r="AC24" s="107" t="s">
        <v>128</v>
      </c>
      <c r="AD24" s="107" t="s">
        <v>128</v>
      </c>
      <c r="AE24" s="107" t="s">
        <v>128</v>
      </c>
      <c r="AF24" s="107" t="s">
        <v>128</v>
      </c>
      <c r="AG24" s="107" t="s">
        <v>128</v>
      </c>
      <c r="AH24" s="107" t="s">
        <v>128</v>
      </c>
      <c r="AI24" s="228"/>
      <c r="AJ24" s="228"/>
      <c r="AK24" s="228"/>
      <c r="AL24" s="228"/>
      <c r="AM24" s="228"/>
      <c r="AN24" s="228"/>
      <c r="AO24" s="140"/>
      <c r="AP24" s="140"/>
    </row>
    <row r="25" spans="1:42" s="48" customFormat="1" x14ac:dyDescent="0.2">
      <c r="A25" s="22"/>
      <c r="B25" s="22"/>
      <c r="C25" s="22"/>
      <c r="D25" s="22"/>
      <c r="E25" s="22"/>
      <c r="F25" s="22"/>
      <c r="G25" s="22"/>
      <c r="H25" s="22"/>
      <c r="I25" s="22"/>
      <c r="J25" s="36"/>
      <c r="K25" s="19">
        <v>0</v>
      </c>
      <c r="L25" s="198" t="s">
        <v>128</v>
      </c>
      <c r="M25" s="198" t="s">
        <v>128</v>
      </c>
      <c r="N25" s="197" t="s">
        <v>128</v>
      </c>
      <c r="O25" s="195">
        <v>1</v>
      </c>
      <c r="P25" s="45" t="s">
        <v>128</v>
      </c>
      <c r="Q25" s="45" t="s">
        <v>128</v>
      </c>
      <c r="R25" s="45" t="s">
        <v>128</v>
      </c>
      <c r="S25" s="45" t="s">
        <v>128</v>
      </c>
      <c r="T25" s="45" t="s">
        <v>128</v>
      </c>
      <c r="U25" s="45" t="s">
        <v>128</v>
      </c>
      <c r="V25" s="45" t="s">
        <v>128</v>
      </c>
      <c r="W25" s="45" t="s">
        <v>128</v>
      </c>
      <c r="X25" s="45" t="s">
        <v>128</v>
      </c>
      <c r="Y25" s="45" t="s">
        <v>128</v>
      </c>
      <c r="Z25" s="45" t="s">
        <v>128</v>
      </c>
      <c r="AA25" s="45" t="s">
        <v>128</v>
      </c>
      <c r="AB25" s="45" t="s">
        <v>128</v>
      </c>
      <c r="AC25" s="107" t="s">
        <v>128</v>
      </c>
      <c r="AD25" s="107" t="s">
        <v>128</v>
      </c>
      <c r="AE25" s="107" t="s">
        <v>128</v>
      </c>
      <c r="AF25" s="107" t="s">
        <v>128</v>
      </c>
      <c r="AG25" s="107" t="s">
        <v>128</v>
      </c>
      <c r="AH25" s="107" t="s">
        <v>128</v>
      </c>
      <c r="AI25" s="228"/>
      <c r="AJ25" s="228"/>
      <c r="AK25" s="228"/>
      <c r="AL25" s="228"/>
      <c r="AM25" s="228"/>
      <c r="AN25" s="228"/>
      <c r="AO25" s="140"/>
      <c r="AP25" s="140"/>
    </row>
    <row r="26" spans="1:42" s="48" customFormat="1" x14ac:dyDescent="0.2">
      <c r="A26" s="209"/>
      <c r="B26" s="8"/>
      <c r="C26" s="8"/>
      <c r="D26" s="8"/>
      <c r="E26" s="8"/>
      <c r="F26" s="8"/>
      <c r="G26" s="8"/>
      <c r="H26" s="8"/>
      <c r="I26" s="8"/>
      <c r="J26" s="37"/>
      <c r="K26" s="19">
        <v>0</v>
      </c>
      <c r="L26" s="198" t="s">
        <v>128</v>
      </c>
      <c r="M26" s="198" t="s">
        <v>128</v>
      </c>
      <c r="N26" s="197" t="s">
        <v>128</v>
      </c>
      <c r="O26" s="195">
        <v>1</v>
      </c>
      <c r="P26" s="45" t="s">
        <v>128</v>
      </c>
      <c r="Q26" s="45" t="s">
        <v>128</v>
      </c>
      <c r="R26" s="45" t="s">
        <v>128</v>
      </c>
      <c r="S26" s="45" t="s">
        <v>128</v>
      </c>
      <c r="T26" s="45" t="s">
        <v>128</v>
      </c>
      <c r="U26" s="45" t="s">
        <v>128</v>
      </c>
      <c r="V26" s="45" t="s">
        <v>128</v>
      </c>
      <c r="W26" s="45" t="s">
        <v>128</v>
      </c>
      <c r="X26" s="45" t="s">
        <v>128</v>
      </c>
      <c r="Y26" s="45" t="s">
        <v>128</v>
      </c>
      <c r="Z26" s="45" t="s">
        <v>128</v>
      </c>
      <c r="AA26" s="45" t="s">
        <v>128</v>
      </c>
      <c r="AB26" s="45" t="s">
        <v>128</v>
      </c>
      <c r="AC26" s="107" t="s">
        <v>128</v>
      </c>
      <c r="AD26" s="107" t="s">
        <v>128</v>
      </c>
      <c r="AE26" s="107" t="s">
        <v>128</v>
      </c>
      <c r="AF26" s="107" t="s">
        <v>128</v>
      </c>
      <c r="AG26" s="107" t="s">
        <v>128</v>
      </c>
      <c r="AH26" s="107" t="s">
        <v>128</v>
      </c>
      <c r="AI26" s="228"/>
      <c r="AJ26" s="228"/>
      <c r="AK26" s="228"/>
      <c r="AL26" s="228"/>
      <c r="AM26" s="228"/>
      <c r="AN26" s="228"/>
      <c r="AO26" s="140"/>
      <c r="AP26" s="140"/>
    </row>
    <row r="27" spans="1:42" s="48" customFormat="1" x14ac:dyDescent="0.2">
      <c r="A27" s="22"/>
      <c r="B27" s="22"/>
      <c r="C27" s="22"/>
      <c r="D27" s="22"/>
      <c r="E27" s="22"/>
      <c r="F27" s="22"/>
      <c r="G27" s="22"/>
      <c r="H27" s="22"/>
      <c r="I27" s="22"/>
      <c r="J27" s="36"/>
      <c r="K27" s="19">
        <v>0</v>
      </c>
      <c r="L27" s="198" t="s">
        <v>128</v>
      </c>
      <c r="M27" s="198" t="s">
        <v>128</v>
      </c>
      <c r="N27" s="197" t="s">
        <v>128</v>
      </c>
      <c r="O27" s="195">
        <v>1</v>
      </c>
      <c r="P27" s="45" t="s">
        <v>128</v>
      </c>
      <c r="Q27" s="45" t="s">
        <v>128</v>
      </c>
      <c r="R27" s="45" t="s">
        <v>128</v>
      </c>
      <c r="S27" s="45" t="s">
        <v>128</v>
      </c>
      <c r="T27" s="45" t="s">
        <v>128</v>
      </c>
      <c r="U27" s="45" t="s">
        <v>128</v>
      </c>
      <c r="V27" s="45" t="s">
        <v>128</v>
      </c>
      <c r="W27" s="45" t="s">
        <v>128</v>
      </c>
      <c r="X27" s="45" t="s">
        <v>128</v>
      </c>
      <c r="Y27" s="45" t="s">
        <v>128</v>
      </c>
      <c r="Z27" s="45" t="s">
        <v>128</v>
      </c>
      <c r="AA27" s="45" t="s">
        <v>128</v>
      </c>
      <c r="AB27" s="45" t="s">
        <v>128</v>
      </c>
      <c r="AC27" s="107" t="s">
        <v>128</v>
      </c>
      <c r="AD27" s="107" t="s">
        <v>128</v>
      </c>
      <c r="AE27" s="107" t="s">
        <v>128</v>
      </c>
      <c r="AF27" s="107" t="s">
        <v>128</v>
      </c>
      <c r="AG27" s="107" t="s">
        <v>128</v>
      </c>
      <c r="AH27" s="107" t="s">
        <v>128</v>
      </c>
      <c r="AI27" s="228"/>
      <c r="AJ27" s="228"/>
      <c r="AK27" s="228"/>
      <c r="AL27" s="228"/>
      <c r="AM27" s="228"/>
      <c r="AN27" s="228"/>
      <c r="AO27" s="140"/>
      <c r="AP27" s="140"/>
    </row>
    <row r="28" spans="1:42" s="48" customFormat="1" x14ac:dyDescent="0.2">
      <c r="A28" s="209"/>
      <c r="B28" s="8"/>
      <c r="C28" s="8"/>
      <c r="D28" s="8"/>
      <c r="E28" s="8"/>
      <c r="F28" s="8"/>
      <c r="G28" s="8"/>
      <c r="H28" s="8"/>
      <c r="I28" s="8"/>
      <c r="J28" s="37"/>
      <c r="K28" s="19">
        <v>0</v>
      </c>
      <c r="L28" s="198" t="s">
        <v>128</v>
      </c>
      <c r="M28" s="198" t="s">
        <v>128</v>
      </c>
      <c r="N28" s="197" t="s">
        <v>128</v>
      </c>
      <c r="O28" s="195">
        <v>1</v>
      </c>
      <c r="P28" s="45" t="s">
        <v>128</v>
      </c>
      <c r="Q28" s="45" t="s">
        <v>128</v>
      </c>
      <c r="R28" s="45" t="s">
        <v>128</v>
      </c>
      <c r="S28" s="45" t="s">
        <v>128</v>
      </c>
      <c r="T28" s="45" t="s">
        <v>128</v>
      </c>
      <c r="U28" s="45" t="s">
        <v>128</v>
      </c>
      <c r="V28" s="45" t="s">
        <v>128</v>
      </c>
      <c r="W28" s="45" t="s">
        <v>128</v>
      </c>
      <c r="X28" s="45" t="s">
        <v>128</v>
      </c>
      <c r="Y28" s="45" t="s">
        <v>128</v>
      </c>
      <c r="Z28" s="45" t="s">
        <v>128</v>
      </c>
      <c r="AA28" s="45" t="s">
        <v>128</v>
      </c>
      <c r="AB28" s="45" t="s">
        <v>128</v>
      </c>
      <c r="AC28" s="107" t="s">
        <v>128</v>
      </c>
      <c r="AD28" s="107" t="s">
        <v>128</v>
      </c>
      <c r="AE28" s="107" t="s">
        <v>128</v>
      </c>
      <c r="AF28" s="107" t="s">
        <v>128</v>
      </c>
      <c r="AG28" s="107" t="s">
        <v>128</v>
      </c>
      <c r="AH28" s="107" t="s">
        <v>128</v>
      </c>
      <c r="AI28" s="228"/>
      <c r="AJ28" s="228"/>
      <c r="AK28" s="228"/>
      <c r="AL28" s="228"/>
      <c r="AM28" s="228"/>
      <c r="AN28" s="228"/>
      <c r="AO28" s="140"/>
      <c r="AP28" s="140"/>
    </row>
    <row r="29" spans="1:42" s="48" customFormat="1" x14ac:dyDescent="0.2">
      <c r="A29" s="22"/>
      <c r="B29" s="22"/>
      <c r="C29" s="22"/>
      <c r="D29" s="22"/>
      <c r="E29" s="22"/>
      <c r="F29" s="22"/>
      <c r="G29" s="22"/>
      <c r="H29" s="22"/>
      <c r="I29" s="22"/>
      <c r="J29" s="36"/>
      <c r="K29" s="19">
        <v>0</v>
      </c>
      <c r="L29" s="198" t="s">
        <v>128</v>
      </c>
      <c r="M29" s="198" t="s">
        <v>128</v>
      </c>
      <c r="N29" s="197" t="s">
        <v>128</v>
      </c>
      <c r="O29" s="195">
        <v>1</v>
      </c>
      <c r="P29" s="45" t="s">
        <v>128</v>
      </c>
      <c r="Q29" s="45" t="s">
        <v>128</v>
      </c>
      <c r="R29" s="45" t="s">
        <v>128</v>
      </c>
      <c r="S29" s="45" t="s">
        <v>128</v>
      </c>
      <c r="T29" s="45" t="s">
        <v>128</v>
      </c>
      <c r="U29" s="45" t="s">
        <v>128</v>
      </c>
      <c r="V29" s="45" t="s">
        <v>128</v>
      </c>
      <c r="W29" s="45" t="s">
        <v>128</v>
      </c>
      <c r="X29" s="45" t="s">
        <v>128</v>
      </c>
      <c r="Y29" s="45" t="s">
        <v>128</v>
      </c>
      <c r="Z29" s="45" t="s">
        <v>128</v>
      </c>
      <c r="AA29" s="45" t="s">
        <v>128</v>
      </c>
      <c r="AB29" s="45" t="s">
        <v>128</v>
      </c>
      <c r="AC29" s="107" t="s">
        <v>128</v>
      </c>
      <c r="AD29" s="107" t="s">
        <v>128</v>
      </c>
      <c r="AE29" s="107" t="s">
        <v>128</v>
      </c>
      <c r="AF29" s="107" t="s">
        <v>128</v>
      </c>
      <c r="AG29" s="107" t="s">
        <v>128</v>
      </c>
      <c r="AH29" s="107" t="s">
        <v>128</v>
      </c>
      <c r="AI29" s="228"/>
      <c r="AJ29" s="228"/>
      <c r="AK29" s="228"/>
      <c r="AL29" s="228"/>
      <c r="AM29" s="228"/>
      <c r="AN29" s="228"/>
      <c r="AO29" s="140"/>
      <c r="AP29" s="140"/>
    </row>
    <row r="30" spans="1:42" s="48" customFormat="1" x14ac:dyDescent="0.2">
      <c r="A30" s="209"/>
      <c r="B30" s="8"/>
      <c r="C30" s="8"/>
      <c r="D30" s="8"/>
      <c r="E30" s="8"/>
      <c r="F30" s="8"/>
      <c r="G30" s="8"/>
      <c r="H30" s="8"/>
      <c r="I30" s="8"/>
      <c r="J30" s="37"/>
      <c r="K30" s="19">
        <v>0</v>
      </c>
      <c r="L30" s="198" t="s">
        <v>128</v>
      </c>
      <c r="M30" s="198" t="s">
        <v>128</v>
      </c>
      <c r="N30" s="197" t="s">
        <v>128</v>
      </c>
      <c r="O30" s="195">
        <v>1</v>
      </c>
      <c r="P30" s="45" t="s">
        <v>128</v>
      </c>
      <c r="Q30" s="45" t="s">
        <v>128</v>
      </c>
      <c r="R30" s="45" t="s">
        <v>128</v>
      </c>
      <c r="S30" s="45" t="s">
        <v>128</v>
      </c>
      <c r="T30" s="45" t="s">
        <v>128</v>
      </c>
      <c r="U30" s="45" t="s">
        <v>128</v>
      </c>
      <c r="V30" s="45" t="s">
        <v>128</v>
      </c>
      <c r="W30" s="45" t="s">
        <v>128</v>
      </c>
      <c r="X30" s="45" t="s">
        <v>128</v>
      </c>
      <c r="Y30" s="45" t="s">
        <v>128</v>
      </c>
      <c r="Z30" s="45" t="s">
        <v>128</v>
      </c>
      <c r="AA30" s="45" t="s">
        <v>128</v>
      </c>
      <c r="AB30" s="45" t="s">
        <v>128</v>
      </c>
      <c r="AC30" s="107" t="s">
        <v>128</v>
      </c>
      <c r="AD30" s="107" t="s">
        <v>128</v>
      </c>
      <c r="AE30" s="107" t="s">
        <v>128</v>
      </c>
      <c r="AF30" s="107" t="s">
        <v>128</v>
      </c>
      <c r="AG30" s="107" t="s">
        <v>128</v>
      </c>
      <c r="AH30" s="107" t="s">
        <v>128</v>
      </c>
      <c r="AI30" s="228"/>
      <c r="AJ30" s="228"/>
      <c r="AK30" s="228"/>
      <c r="AL30" s="228"/>
      <c r="AM30" s="228"/>
      <c r="AN30" s="228"/>
      <c r="AO30" s="140"/>
      <c r="AP30" s="140"/>
    </row>
    <row r="31" spans="1:42" s="48" customFormat="1" x14ac:dyDescent="0.2">
      <c r="A31" s="22"/>
      <c r="B31" s="22"/>
      <c r="C31" s="22"/>
      <c r="D31" s="22"/>
      <c r="E31" s="22"/>
      <c r="F31" s="22"/>
      <c r="G31" s="22"/>
      <c r="H31" s="22"/>
      <c r="I31" s="22"/>
      <c r="J31" s="36"/>
      <c r="K31" s="19">
        <v>0</v>
      </c>
      <c r="L31" s="198" t="s">
        <v>128</v>
      </c>
      <c r="M31" s="198" t="s">
        <v>128</v>
      </c>
      <c r="N31" s="197" t="s">
        <v>128</v>
      </c>
      <c r="O31" s="195">
        <v>1</v>
      </c>
      <c r="P31" s="45" t="s">
        <v>128</v>
      </c>
      <c r="Q31" s="45" t="s">
        <v>128</v>
      </c>
      <c r="R31" s="45" t="s">
        <v>128</v>
      </c>
      <c r="S31" s="45" t="s">
        <v>128</v>
      </c>
      <c r="T31" s="45" t="s">
        <v>128</v>
      </c>
      <c r="U31" s="45" t="s">
        <v>128</v>
      </c>
      <c r="V31" s="45" t="s">
        <v>128</v>
      </c>
      <c r="W31" s="45" t="s">
        <v>128</v>
      </c>
      <c r="X31" s="45" t="s">
        <v>128</v>
      </c>
      <c r="Y31" s="45" t="s">
        <v>128</v>
      </c>
      <c r="Z31" s="45" t="s">
        <v>128</v>
      </c>
      <c r="AA31" s="45" t="s">
        <v>128</v>
      </c>
      <c r="AB31" s="45" t="s">
        <v>128</v>
      </c>
      <c r="AC31" s="107" t="s">
        <v>128</v>
      </c>
      <c r="AD31" s="107" t="s">
        <v>128</v>
      </c>
      <c r="AE31" s="107" t="s">
        <v>128</v>
      </c>
      <c r="AF31" s="107" t="s">
        <v>128</v>
      </c>
      <c r="AG31" s="107" t="s">
        <v>128</v>
      </c>
      <c r="AH31" s="107" t="s">
        <v>128</v>
      </c>
      <c r="AI31" s="228"/>
      <c r="AJ31" s="228"/>
      <c r="AK31" s="228"/>
      <c r="AL31" s="228"/>
      <c r="AM31" s="228"/>
      <c r="AN31" s="228"/>
      <c r="AO31" s="140"/>
      <c r="AP31" s="140"/>
    </row>
    <row r="32" spans="1:42" s="48" customFormat="1" x14ac:dyDescent="0.2">
      <c r="A32" s="209"/>
      <c r="B32" s="8"/>
      <c r="C32" s="8"/>
      <c r="D32" s="8"/>
      <c r="E32" s="8"/>
      <c r="F32" s="8"/>
      <c r="G32" s="8"/>
      <c r="H32" s="8"/>
      <c r="I32" s="8"/>
      <c r="J32" s="37"/>
      <c r="K32" s="19">
        <v>0</v>
      </c>
      <c r="L32" s="198" t="s">
        <v>128</v>
      </c>
      <c r="M32" s="198" t="s">
        <v>128</v>
      </c>
      <c r="N32" s="197" t="s">
        <v>128</v>
      </c>
      <c r="O32" s="195">
        <v>1</v>
      </c>
      <c r="P32" s="45" t="s">
        <v>128</v>
      </c>
      <c r="Q32" s="45" t="s">
        <v>128</v>
      </c>
      <c r="R32" s="45" t="s">
        <v>128</v>
      </c>
      <c r="S32" s="45" t="s">
        <v>128</v>
      </c>
      <c r="T32" s="45" t="s">
        <v>128</v>
      </c>
      <c r="U32" s="45" t="s">
        <v>128</v>
      </c>
      <c r="V32" s="45" t="s">
        <v>128</v>
      </c>
      <c r="W32" s="45" t="s">
        <v>128</v>
      </c>
      <c r="X32" s="45" t="s">
        <v>128</v>
      </c>
      <c r="Y32" s="45" t="s">
        <v>128</v>
      </c>
      <c r="Z32" s="45" t="s">
        <v>128</v>
      </c>
      <c r="AA32" s="45" t="s">
        <v>128</v>
      </c>
      <c r="AB32" s="45" t="s">
        <v>128</v>
      </c>
      <c r="AC32" s="107" t="s">
        <v>128</v>
      </c>
      <c r="AD32" s="107" t="s">
        <v>128</v>
      </c>
      <c r="AE32" s="107" t="s">
        <v>128</v>
      </c>
      <c r="AF32" s="107" t="s">
        <v>128</v>
      </c>
      <c r="AG32" s="107" t="s">
        <v>128</v>
      </c>
      <c r="AH32" s="107" t="s">
        <v>128</v>
      </c>
      <c r="AI32" s="228"/>
      <c r="AJ32" s="228"/>
      <c r="AK32" s="228"/>
      <c r="AL32" s="228"/>
      <c r="AM32" s="228"/>
      <c r="AN32" s="228"/>
      <c r="AO32" s="140"/>
      <c r="AP32" s="140"/>
    </row>
    <row r="33" spans="1:42" s="48" customFormat="1" x14ac:dyDescent="0.2">
      <c r="A33" s="22"/>
      <c r="B33" s="22"/>
      <c r="C33" s="22"/>
      <c r="D33" s="22"/>
      <c r="E33" s="22"/>
      <c r="F33" s="22"/>
      <c r="G33" s="22"/>
      <c r="H33" s="22"/>
      <c r="I33" s="22"/>
      <c r="J33" s="36"/>
      <c r="K33" s="19">
        <v>0</v>
      </c>
      <c r="L33" s="198" t="s">
        <v>128</v>
      </c>
      <c r="M33" s="198" t="s">
        <v>128</v>
      </c>
      <c r="N33" s="197" t="s">
        <v>128</v>
      </c>
      <c r="O33" s="195">
        <v>1</v>
      </c>
      <c r="P33" s="45" t="s">
        <v>128</v>
      </c>
      <c r="Q33" s="45" t="s">
        <v>128</v>
      </c>
      <c r="R33" s="45" t="s">
        <v>128</v>
      </c>
      <c r="S33" s="45" t="s">
        <v>128</v>
      </c>
      <c r="T33" s="45" t="s">
        <v>128</v>
      </c>
      <c r="U33" s="45" t="s">
        <v>128</v>
      </c>
      <c r="V33" s="45" t="s">
        <v>128</v>
      </c>
      <c r="W33" s="45" t="s">
        <v>128</v>
      </c>
      <c r="X33" s="45" t="s">
        <v>128</v>
      </c>
      <c r="Y33" s="45" t="s">
        <v>128</v>
      </c>
      <c r="Z33" s="45" t="s">
        <v>128</v>
      </c>
      <c r="AA33" s="45" t="s">
        <v>128</v>
      </c>
      <c r="AB33" s="45" t="s">
        <v>128</v>
      </c>
      <c r="AC33" s="107" t="s">
        <v>128</v>
      </c>
      <c r="AD33" s="107" t="s">
        <v>128</v>
      </c>
      <c r="AE33" s="107" t="s">
        <v>128</v>
      </c>
      <c r="AF33" s="107" t="s">
        <v>128</v>
      </c>
      <c r="AG33" s="107" t="s">
        <v>128</v>
      </c>
      <c r="AH33" s="107" t="s">
        <v>128</v>
      </c>
      <c r="AI33" s="228"/>
      <c r="AJ33" s="228"/>
      <c r="AK33" s="228"/>
      <c r="AL33" s="228"/>
      <c r="AM33" s="228"/>
      <c r="AN33" s="228"/>
      <c r="AO33" s="140"/>
      <c r="AP33" s="140"/>
    </row>
    <row r="34" spans="1:42" s="48" customFormat="1" x14ac:dyDescent="0.2">
      <c r="A34" s="209"/>
      <c r="B34" s="8"/>
      <c r="C34" s="8"/>
      <c r="D34" s="8"/>
      <c r="E34" s="8"/>
      <c r="F34" s="8"/>
      <c r="G34" s="8"/>
      <c r="H34" s="8"/>
      <c r="I34" s="8"/>
      <c r="J34" s="37"/>
      <c r="K34" s="19">
        <v>0</v>
      </c>
      <c r="L34" s="198" t="s">
        <v>128</v>
      </c>
      <c r="M34" s="198" t="s">
        <v>128</v>
      </c>
      <c r="N34" s="197" t="s">
        <v>128</v>
      </c>
      <c r="O34" s="195">
        <v>1</v>
      </c>
      <c r="P34" s="45" t="s">
        <v>128</v>
      </c>
      <c r="Q34" s="45" t="s">
        <v>128</v>
      </c>
      <c r="R34" s="45" t="s">
        <v>128</v>
      </c>
      <c r="S34" s="45" t="s">
        <v>128</v>
      </c>
      <c r="T34" s="45" t="s">
        <v>128</v>
      </c>
      <c r="U34" s="45" t="s">
        <v>128</v>
      </c>
      <c r="V34" s="45" t="s">
        <v>128</v>
      </c>
      <c r="W34" s="45" t="s">
        <v>128</v>
      </c>
      <c r="X34" s="45" t="s">
        <v>128</v>
      </c>
      <c r="Y34" s="45" t="s">
        <v>128</v>
      </c>
      <c r="Z34" s="45" t="s">
        <v>128</v>
      </c>
      <c r="AA34" s="45" t="s">
        <v>128</v>
      </c>
      <c r="AB34" s="45" t="s">
        <v>128</v>
      </c>
      <c r="AC34" s="107" t="s">
        <v>128</v>
      </c>
      <c r="AD34" s="107" t="s">
        <v>128</v>
      </c>
      <c r="AE34" s="107" t="s">
        <v>128</v>
      </c>
      <c r="AF34" s="107" t="s">
        <v>128</v>
      </c>
      <c r="AG34" s="107" t="s">
        <v>128</v>
      </c>
      <c r="AH34" s="107" t="s">
        <v>128</v>
      </c>
      <c r="AI34" s="228"/>
      <c r="AJ34" s="228"/>
      <c r="AK34" s="228"/>
      <c r="AL34" s="228"/>
      <c r="AM34" s="228"/>
      <c r="AN34" s="228"/>
      <c r="AO34" s="228"/>
      <c r="AP34" s="228"/>
    </row>
    <row r="35" spans="1:42" s="48" customFormat="1" x14ac:dyDescent="0.2">
      <c r="A35" s="22"/>
      <c r="B35" s="22"/>
      <c r="C35" s="22"/>
      <c r="D35" s="22"/>
      <c r="E35" s="22"/>
      <c r="F35" s="22"/>
      <c r="G35" s="22"/>
      <c r="H35" s="22"/>
      <c r="I35" s="22"/>
      <c r="J35" s="36"/>
      <c r="K35" s="19">
        <v>0</v>
      </c>
      <c r="L35" s="198" t="s">
        <v>128</v>
      </c>
      <c r="M35" s="198" t="s">
        <v>128</v>
      </c>
      <c r="N35" s="197" t="s">
        <v>128</v>
      </c>
      <c r="O35" s="195">
        <v>1</v>
      </c>
      <c r="P35" s="45" t="s">
        <v>128</v>
      </c>
      <c r="Q35" s="45" t="s">
        <v>128</v>
      </c>
      <c r="R35" s="45" t="s">
        <v>128</v>
      </c>
      <c r="S35" s="45" t="s">
        <v>128</v>
      </c>
      <c r="T35" s="45" t="s">
        <v>128</v>
      </c>
      <c r="U35" s="45" t="s">
        <v>128</v>
      </c>
      <c r="V35" s="45" t="s">
        <v>128</v>
      </c>
      <c r="W35" s="45" t="s">
        <v>128</v>
      </c>
      <c r="X35" s="45" t="s">
        <v>128</v>
      </c>
      <c r="Y35" s="45" t="s">
        <v>128</v>
      </c>
      <c r="Z35" s="45" t="s">
        <v>128</v>
      </c>
      <c r="AA35" s="45" t="s">
        <v>128</v>
      </c>
      <c r="AB35" s="45" t="s">
        <v>128</v>
      </c>
      <c r="AC35" s="107" t="s">
        <v>128</v>
      </c>
      <c r="AD35" s="107" t="s">
        <v>128</v>
      </c>
      <c r="AE35" s="107" t="s">
        <v>128</v>
      </c>
      <c r="AF35" s="107" t="s">
        <v>128</v>
      </c>
      <c r="AG35" s="107" t="s">
        <v>128</v>
      </c>
      <c r="AH35" s="107" t="s">
        <v>128</v>
      </c>
      <c r="AI35" s="228"/>
      <c r="AJ35" s="228"/>
      <c r="AK35" s="228"/>
      <c r="AL35" s="228"/>
      <c r="AM35" s="228"/>
      <c r="AN35" s="228"/>
      <c r="AO35" s="228"/>
      <c r="AP35" s="228"/>
    </row>
    <row r="36" spans="1:42" s="48" customFormat="1" x14ac:dyDescent="0.2">
      <c r="A36" s="209"/>
      <c r="B36" s="8"/>
      <c r="C36" s="8"/>
      <c r="D36" s="8"/>
      <c r="E36" s="8"/>
      <c r="F36" s="8"/>
      <c r="G36" s="8"/>
      <c r="H36" s="8"/>
      <c r="I36" s="8"/>
      <c r="J36" s="37"/>
      <c r="K36" s="19">
        <v>0</v>
      </c>
      <c r="L36" s="198" t="s">
        <v>128</v>
      </c>
      <c r="M36" s="198" t="s">
        <v>128</v>
      </c>
      <c r="N36" s="197" t="s">
        <v>128</v>
      </c>
      <c r="O36" s="195">
        <v>1</v>
      </c>
      <c r="P36" s="45" t="s">
        <v>128</v>
      </c>
      <c r="Q36" s="45" t="s">
        <v>128</v>
      </c>
      <c r="R36" s="45" t="s">
        <v>128</v>
      </c>
      <c r="S36" s="45" t="s">
        <v>128</v>
      </c>
      <c r="T36" s="45" t="s">
        <v>128</v>
      </c>
      <c r="U36" s="45" t="s">
        <v>128</v>
      </c>
      <c r="V36" s="45" t="s">
        <v>128</v>
      </c>
      <c r="W36" s="45" t="s">
        <v>128</v>
      </c>
      <c r="X36" s="45" t="s">
        <v>128</v>
      </c>
      <c r="Y36" s="45" t="s">
        <v>128</v>
      </c>
      <c r="Z36" s="45" t="s">
        <v>128</v>
      </c>
      <c r="AA36" s="45" t="s">
        <v>128</v>
      </c>
      <c r="AB36" s="45" t="s">
        <v>128</v>
      </c>
      <c r="AC36" s="107" t="s">
        <v>128</v>
      </c>
      <c r="AD36" s="107" t="s">
        <v>128</v>
      </c>
      <c r="AE36" s="107" t="s">
        <v>128</v>
      </c>
      <c r="AF36" s="107" t="s">
        <v>128</v>
      </c>
      <c r="AG36" s="107" t="s">
        <v>128</v>
      </c>
      <c r="AH36" s="107" t="s">
        <v>128</v>
      </c>
      <c r="AI36" s="228"/>
      <c r="AJ36" s="228"/>
      <c r="AK36" s="228"/>
      <c r="AL36" s="228"/>
      <c r="AM36" s="228"/>
      <c r="AN36" s="228"/>
      <c r="AO36" s="228"/>
      <c r="AP36" s="228"/>
    </row>
    <row r="37" spans="1:42" s="48" customFormat="1" x14ac:dyDescent="0.2">
      <c r="A37" s="22"/>
      <c r="B37" s="22"/>
      <c r="C37" s="22"/>
      <c r="D37" s="22"/>
      <c r="E37" s="22"/>
      <c r="F37" s="22"/>
      <c r="G37" s="22"/>
      <c r="H37" s="22"/>
      <c r="I37" s="22"/>
      <c r="J37" s="36"/>
      <c r="K37" s="19">
        <v>0</v>
      </c>
      <c r="L37" s="198" t="s">
        <v>128</v>
      </c>
      <c r="M37" s="198" t="s">
        <v>128</v>
      </c>
      <c r="N37" s="197" t="s">
        <v>128</v>
      </c>
      <c r="O37" s="195">
        <v>1</v>
      </c>
      <c r="P37" s="45" t="s">
        <v>128</v>
      </c>
      <c r="Q37" s="45" t="s">
        <v>128</v>
      </c>
      <c r="R37" s="45" t="s">
        <v>128</v>
      </c>
      <c r="S37" s="45" t="s">
        <v>128</v>
      </c>
      <c r="T37" s="45" t="s">
        <v>128</v>
      </c>
      <c r="U37" s="45" t="s">
        <v>128</v>
      </c>
      <c r="V37" s="45" t="s">
        <v>128</v>
      </c>
      <c r="W37" s="45" t="s">
        <v>128</v>
      </c>
      <c r="X37" s="45" t="s">
        <v>128</v>
      </c>
      <c r="Y37" s="45" t="s">
        <v>128</v>
      </c>
      <c r="Z37" s="45" t="s">
        <v>128</v>
      </c>
      <c r="AA37" s="45" t="s">
        <v>128</v>
      </c>
      <c r="AB37" s="45" t="s">
        <v>128</v>
      </c>
      <c r="AC37" s="107" t="s">
        <v>128</v>
      </c>
      <c r="AD37" s="107" t="s">
        <v>128</v>
      </c>
      <c r="AE37" s="107" t="s">
        <v>128</v>
      </c>
      <c r="AF37" s="107" t="s">
        <v>128</v>
      </c>
      <c r="AG37" s="107" t="s">
        <v>128</v>
      </c>
      <c r="AH37" s="107" t="s">
        <v>128</v>
      </c>
      <c r="AI37" s="228"/>
      <c r="AJ37" s="228"/>
      <c r="AK37" s="228"/>
      <c r="AL37" s="228"/>
      <c r="AM37" s="228"/>
      <c r="AN37" s="228"/>
      <c r="AO37" s="228"/>
      <c r="AP37" s="228"/>
    </row>
    <row r="38" spans="1:42" s="48" customFormat="1" x14ac:dyDescent="0.15">
      <c r="A38" s="209"/>
      <c r="B38" s="8"/>
      <c r="C38" s="8"/>
      <c r="D38" s="8"/>
      <c r="E38" s="8"/>
      <c r="F38" s="8"/>
      <c r="G38" s="8"/>
      <c r="H38" s="8"/>
      <c r="I38" s="8"/>
      <c r="J38" s="37"/>
      <c r="K38" s="19">
        <v>0</v>
      </c>
      <c r="L38" s="198" t="s">
        <v>128</v>
      </c>
      <c r="M38" s="198" t="s">
        <v>128</v>
      </c>
      <c r="N38" s="197" t="s">
        <v>128</v>
      </c>
      <c r="O38" s="195">
        <v>1</v>
      </c>
      <c r="P38" s="45" t="s">
        <v>128</v>
      </c>
      <c r="Q38" s="45" t="s">
        <v>128</v>
      </c>
      <c r="R38" s="45" t="s">
        <v>128</v>
      </c>
      <c r="S38" s="45" t="s">
        <v>128</v>
      </c>
      <c r="T38" s="45" t="s">
        <v>128</v>
      </c>
      <c r="U38" s="45" t="s">
        <v>128</v>
      </c>
      <c r="V38" s="45" t="s">
        <v>128</v>
      </c>
      <c r="W38" s="45" t="s">
        <v>128</v>
      </c>
      <c r="X38" s="45" t="s">
        <v>128</v>
      </c>
      <c r="Y38" s="45" t="s">
        <v>128</v>
      </c>
      <c r="Z38" s="45" t="s">
        <v>128</v>
      </c>
      <c r="AA38" s="45" t="s">
        <v>128</v>
      </c>
      <c r="AB38" s="45" t="s">
        <v>128</v>
      </c>
      <c r="AC38" s="107" t="s">
        <v>128</v>
      </c>
      <c r="AD38" s="107" t="s">
        <v>128</v>
      </c>
      <c r="AE38" s="107" t="s">
        <v>128</v>
      </c>
      <c r="AF38" s="107" t="s">
        <v>128</v>
      </c>
      <c r="AG38" s="107" t="s">
        <v>128</v>
      </c>
      <c r="AH38" s="107" t="s">
        <v>128</v>
      </c>
      <c r="AI38" s="205"/>
      <c r="AJ38" s="140"/>
      <c r="AK38" s="305"/>
      <c r="AL38" s="306"/>
      <c r="AM38" s="228"/>
      <c r="AN38" s="140"/>
      <c r="AO38" s="140"/>
      <c r="AP38" s="140"/>
    </row>
    <row r="39" spans="1:42" s="48" customFormat="1" x14ac:dyDescent="0.2">
      <c r="A39" s="22"/>
      <c r="B39" s="22"/>
      <c r="C39" s="22"/>
      <c r="D39" s="22"/>
      <c r="E39" s="22"/>
      <c r="F39" s="22"/>
      <c r="G39" s="22"/>
      <c r="H39" s="22"/>
      <c r="I39" s="22"/>
      <c r="J39" s="36"/>
      <c r="K39" s="19">
        <v>0</v>
      </c>
      <c r="L39" s="198" t="s">
        <v>128</v>
      </c>
      <c r="M39" s="198" t="s">
        <v>128</v>
      </c>
      <c r="N39" s="197" t="s">
        <v>128</v>
      </c>
      <c r="O39" s="195">
        <v>1</v>
      </c>
      <c r="P39" s="45" t="s">
        <v>128</v>
      </c>
      <c r="Q39" s="45" t="s">
        <v>128</v>
      </c>
      <c r="R39" s="45" t="s">
        <v>128</v>
      </c>
      <c r="S39" s="45" t="s">
        <v>128</v>
      </c>
      <c r="T39" s="45" t="s">
        <v>128</v>
      </c>
      <c r="U39" s="45" t="s">
        <v>128</v>
      </c>
      <c r="V39" s="45" t="s">
        <v>128</v>
      </c>
      <c r="W39" s="45" t="s">
        <v>128</v>
      </c>
      <c r="X39" s="45" t="s">
        <v>128</v>
      </c>
      <c r="Y39" s="45" t="s">
        <v>128</v>
      </c>
      <c r="Z39" s="45" t="s">
        <v>128</v>
      </c>
      <c r="AA39" s="45" t="s">
        <v>128</v>
      </c>
      <c r="AB39" s="45" t="s">
        <v>128</v>
      </c>
      <c r="AC39" s="107" t="s">
        <v>128</v>
      </c>
      <c r="AD39" s="107" t="s">
        <v>128</v>
      </c>
      <c r="AE39" s="107" t="s">
        <v>128</v>
      </c>
      <c r="AF39" s="107" t="s">
        <v>128</v>
      </c>
      <c r="AG39" s="107" t="s">
        <v>128</v>
      </c>
      <c r="AH39" s="107" t="s">
        <v>128</v>
      </c>
      <c r="AI39" s="228"/>
      <c r="AJ39" s="228"/>
      <c r="AK39" s="228"/>
      <c r="AL39" s="228"/>
      <c r="AM39" s="228"/>
      <c r="AN39" s="140"/>
      <c r="AO39" s="228"/>
      <c r="AP39" s="228"/>
    </row>
    <row r="40" spans="1:42" s="48" customFormat="1" x14ac:dyDescent="0.2">
      <c r="A40" s="209"/>
      <c r="B40" s="8"/>
      <c r="C40" s="8"/>
      <c r="D40" s="8"/>
      <c r="E40" s="8"/>
      <c r="F40" s="8"/>
      <c r="G40" s="8"/>
      <c r="H40" s="8"/>
      <c r="I40" s="8"/>
      <c r="J40" s="37"/>
      <c r="K40" s="19">
        <v>0</v>
      </c>
      <c r="L40" s="198" t="s">
        <v>128</v>
      </c>
      <c r="M40" s="198" t="s">
        <v>128</v>
      </c>
      <c r="N40" s="197" t="s">
        <v>128</v>
      </c>
      <c r="O40" s="195">
        <v>1</v>
      </c>
      <c r="P40" s="45" t="s">
        <v>128</v>
      </c>
      <c r="Q40" s="45" t="s">
        <v>128</v>
      </c>
      <c r="R40" s="45" t="s">
        <v>128</v>
      </c>
      <c r="S40" s="45" t="s">
        <v>128</v>
      </c>
      <c r="T40" s="45" t="s">
        <v>128</v>
      </c>
      <c r="U40" s="45" t="s">
        <v>128</v>
      </c>
      <c r="V40" s="45" t="s">
        <v>128</v>
      </c>
      <c r="W40" s="45" t="s">
        <v>128</v>
      </c>
      <c r="X40" s="45" t="s">
        <v>128</v>
      </c>
      <c r="Y40" s="45" t="s">
        <v>128</v>
      </c>
      <c r="Z40" s="45" t="s">
        <v>128</v>
      </c>
      <c r="AA40" s="45" t="s">
        <v>128</v>
      </c>
      <c r="AB40" s="45" t="s">
        <v>128</v>
      </c>
      <c r="AC40" s="107" t="s">
        <v>128</v>
      </c>
      <c r="AD40" s="107" t="s">
        <v>128</v>
      </c>
      <c r="AE40" s="107" t="s">
        <v>128</v>
      </c>
      <c r="AF40" s="107" t="s">
        <v>128</v>
      </c>
      <c r="AG40" s="107" t="s">
        <v>128</v>
      </c>
      <c r="AH40" s="107" t="s">
        <v>128</v>
      </c>
      <c r="AI40" s="228"/>
      <c r="AJ40" s="228"/>
      <c r="AK40" s="228"/>
      <c r="AL40" s="228"/>
      <c r="AM40" s="228"/>
      <c r="AN40" s="140"/>
      <c r="AO40" s="228"/>
      <c r="AP40" s="228"/>
    </row>
    <row r="41" spans="1:42" s="48" customFormat="1" x14ac:dyDescent="0.15">
      <c r="A41" s="22"/>
      <c r="B41" s="22"/>
      <c r="C41" s="22"/>
      <c r="D41" s="22"/>
      <c r="E41" s="22"/>
      <c r="F41" s="22"/>
      <c r="G41" s="22"/>
      <c r="H41" s="22"/>
      <c r="I41" s="22"/>
      <c r="J41" s="36"/>
      <c r="K41" s="19">
        <v>0</v>
      </c>
      <c r="L41" s="198" t="s">
        <v>128</v>
      </c>
      <c r="M41" s="198" t="s">
        <v>128</v>
      </c>
      <c r="N41" s="197" t="s">
        <v>128</v>
      </c>
      <c r="O41" s="195">
        <v>1</v>
      </c>
      <c r="P41" s="45" t="s">
        <v>128</v>
      </c>
      <c r="Q41" s="45" t="s">
        <v>128</v>
      </c>
      <c r="R41" s="45" t="s">
        <v>128</v>
      </c>
      <c r="S41" s="45" t="s">
        <v>128</v>
      </c>
      <c r="T41" s="45" t="s">
        <v>128</v>
      </c>
      <c r="U41" s="45" t="s">
        <v>128</v>
      </c>
      <c r="V41" s="45" t="s">
        <v>128</v>
      </c>
      <c r="W41" s="45" t="s">
        <v>128</v>
      </c>
      <c r="X41" s="45" t="s">
        <v>128</v>
      </c>
      <c r="Y41" s="45" t="s">
        <v>128</v>
      </c>
      <c r="Z41" s="45" t="s">
        <v>128</v>
      </c>
      <c r="AA41" s="45" t="s">
        <v>128</v>
      </c>
      <c r="AB41" s="45" t="s">
        <v>128</v>
      </c>
      <c r="AC41" s="107" t="s">
        <v>128</v>
      </c>
      <c r="AD41" s="107" t="s">
        <v>128</v>
      </c>
      <c r="AE41" s="107" t="s">
        <v>128</v>
      </c>
      <c r="AF41" s="107" t="s">
        <v>128</v>
      </c>
      <c r="AG41" s="107" t="s">
        <v>128</v>
      </c>
      <c r="AH41" s="107" t="s">
        <v>128</v>
      </c>
      <c r="AI41" s="205"/>
      <c r="AJ41" s="140"/>
      <c r="AK41" s="305"/>
      <c r="AL41" s="306"/>
      <c r="AM41" s="228"/>
      <c r="AN41" s="140"/>
      <c r="AO41" s="140"/>
      <c r="AP41" s="140"/>
    </row>
    <row r="42" spans="1:42" s="48" customFormat="1" x14ac:dyDescent="0.2">
      <c r="A42" s="209"/>
      <c r="B42" s="8"/>
      <c r="C42" s="8"/>
      <c r="D42" s="8"/>
      <c r="E42" s="8"/>
      <c r="F42" s="8"/>
      <c r="G42" s="8"/>
      <c r="H42" s="8"/>
      <c r="I42" s="8"/>
      <c r="J42" s="37"/>
      <c r="K42" s="19">
        <v>0</v>
      </c>
      <c r="L42" s="198" t="s">
        <v>128</v>
      </c>
      <c r="M42" s="198" t="s">
        <v>128</v>
      </c>
      <c r="N42" s="197" t="s">
        <v>128</v>
      </c>
      <c r="O42" s="195">
        <v>1</v>
      </c>
      <c r="P42" s="45" t="s">
        <v>128</v>
      </c>
      <c r="Q42" s="45" t="s">
        <v>128</v>
      </c>
      <c r="R42" s="45" t="s">
        <v>128</v>
      </c>
      <c r="S42" s="45" t="s">
        <v>128</v>
      </c>
      <c r="T42" s="45" t="s">
        <v>128</v>
      </c>
      <c r="U42" s="45" t="s">
        <v>128</v>
      </c>
      <c r="V42" s="45" t="s">
        <v>128</v>
      </c>
      <c r="W42" s="45" t="s">
        <v>128</v>
      </c>
      <c r="X42" s="45" t="s">
        <v>128</v>
      </c>
      <c r="Y42" s="45" t="s">
        <v>128</v>
      </c>
      <c r="Z42" s="45" t="s">
        <v>128</v>
      </c>
      <c r="AA42" s="45" t="s">
        <v>128</v>
      </c>
      <c r="AB42" s="45" t="s">
        <v>128</v>
      </c>
      <c r="AC42" s="107" t="s">
        <v>128</v>
      </c>
      <c r="AD42" s="107" t="s">
        <v>128</v>
      </c>
      <c r="AE42" s="107" t="s">
        <v>128</v>
      </c>
      <c r="AF42" s="107" t="s">
        <v>128</v>
      </c>
      <c r="AG42" s="107" t="s">
        <v>128</v>
      </c>
      <c r="AH42" s="107" t="s">
        <v>128</v>
      </c>
      <c r="AI42" s="228"/>
      <c r="AJ42" s="140"/>
      <c r="AK42" s="228"/>
      <c r="AL42" s="228"/>
      <c r="AM42" s="228"/>
      <c r="AN42" s="140"/>
      <c r="AO42" s="228"/>
      <c r="AP42" s="228"/>
    </row>
    <row r="43" spans="1:42" s="48" customFormat="1" x14ac:dyDescent="0.15">
      <c r="A43" s="22"/>
      <c r="B43" s="22"/>
      <c r="C43" s="22"/>
      <c r="D43" s="22"/>
      <c r="E43" s="22"/>
      <c r="F43" s="22"/>
      <c r="G43" s="22"/>
      <c r="H43" s="22"/>
      <c r="I43" s="22"/>
      <c r="J43" s="36"/>
      <c r="K43" s="19">
        <v>0</v>
      </c>
      <c r="L43" s="198" t="s">
        <v>128</v>
      </c>
      <c r="M43" s="198" t="s">
        <v>128</v>
      </c>
      <c r="N43" s="197" t="s">
        <v>128</v>
      </c>
      <c r="O43" s="195">
        <v>1</v>
      </c>
      <c r="P43" s="45" t="s">
        <v>128</v>
      </c>
      <c r="Q43" s="45" t="s">
        <v>128</v>
      </c>
      <c r="R43" s="45" t="s">
        <v>128</v>
      </c>
      <c r="S43" s="45" t="s">
        <v>128</v>
      </c>
      <c r="T43" s="45" t="s">
        <v>128</v>
      </c>
      <c r="U43" s="45" t="s">
        <v>128</v>
      </c>
      <c r="V43" s="45" t="s">
        <v>128</v>
      </c>
      <c r="W43" s="45" t="s">
        <v>128</v>
      </c>
      <c r="X43" s="45" t="s">
        <v>128</v>
      </c>
      <c r="Y43" s="45" t="s">
        <v>128</v>
      </c>
      <c r="Z43" s="45" t="s">
        <v>128</v>
      </c>
      <c r="AA43" s="45" t="s">
        <v>128</v>
      </c>
      <c r="AB43" s="45" t="s">
        <v>128</v>
      </c>
      <c r="AC43" s="107" t="s">
        <v>128</v>
      </c>
      <c r="AD43" s="107" t="s">
        <v>128</v>
      </c>
      <c r="AE43" s="107" t="s">
        <v>128</v>
      </c>
      <c r="AF43" s="107" t="s">
        <v>128</v>
      </c>
      <c r="AG43" s="107" t="s">
        <v>128</v>
      </c>
      <c r="AH43" s="107" t="s">
        <v>128</v>
      </c>
      <c r="AI43" s="280"/>
      <c r="AJ43" s="274"/>
      <c r="AK43" s="307"/>
      <c r="AL43" s="308"/>
      <c r="AM43" s="273"/>
      <c r="AN43" s="274"/>
      <c r="AO43" s="274"/>
      <c r="AP43" s="274"/>
    </row>
    <row r="44" spans="1:42" s="48" customFormat="1" x14ac:dyDescent="0.2">
      <c r="A44" s="209"/>
      <c r="B44" s="8"/>
      <c r="C44" s="8"/>
      <c r="D44" s="8"/>
      <c r="E44" s="8"/>
      <c r="F44" s="8"/>
      <c r="G44" s="8"/>
      <c r="H44" s="8"/>
      <c r="I44" s="8"/>
      <c r="J44" s="37"/>
      <c r="K44" s="19">
        <v>0</v>
      </c>
      <c r="L44" s="198" t="s">
        <v>128</v>
      </c>
      <c r="M44" s="198" t="s">
        <v>128</v>
      </c>
      <c r="N44" s="197" t="s">
        <v>128</v>
      </c>
      <c r="O44" s="195">
        <v>1</v>
      </c>
      <c r="P44" s="45" t="s">
        <v>128</v>
      </c>
      <c r="Q44" s="45" t="s">
        <v>128</v>
      </c>
      <c r="R44" s="45" t="s">
        <v>128</v>
      </c>
      <c r="S44" s="45" t="s">
        <v>128</v>
      </c>
      <c r="T44" s="45" t="s">
        <v>128</v>
      </c>
      <c r="U44" s="45" t="s">
        <v>128</v>
      </c>
      <c r="V44" s="45" t="s">
        <v>128</v>
      </c>
      <c r="W44" s="45" t="s">
        <v>128</v>
      </c>
      <c r="X44" s="45" t="s">
        <v>128</v>
      </c>
      <c r="Y44" s="45" t="s">
        <v>128</v>
      </c>
      <c r="Z44" s="45" t="s">
        <v>128</v>
      </c>
      <c r="AA44" s="45" t="s">
        <v>128</v>
      </c>
      <c r="AB44" s="45" t="s">
        <v>128</v>
      </c>
      <c r="AC44" s="107" t="s">
        <v>128</v>
      </c>
      <c r="AD44" s="107" t="s">
        <v>128</v>
      </c>
      <c r="AE44" s="107" t="s">
        <v>128</v>
      </c>
      <c r="AF44" s="107" t="s">
        <v>128</v>
      </c>
      <c r="AG44" s="107" t="s">
        <v>128</v>
      </c>
      <c r="AH44" s="107" t="s">
        <v>128</v>
      </c>
      <c r="AI44" s="228"/>
      <c r="AJ44" s="228"/>
      <c r="AK44" s="228"/>
      <c r="AL44" s="228"/>
      <c r="AM44" s="228"/>
      <c r="AN44" s="228"/>
      <c r="AO44" s="228"/>
      <c r="AP44" s="228"/>
    </row>
    <row r="45" spans="1:42" s="48" customFormat="1" x14ac:dyDescent="0.2">
      <c r="A45" s="22"/>
      <c r="B45" s="22"/>
      <c r="C45" s="22"/>
      <c r="D45" s="22"/>
      <c r="E45" s="22"/>
      <c r="F45" s="22"/>
      <c r="G45" s="22"/>
      <c r="H45" s="22"/>
      <c r="I45" s="22"/>
      <c r="J45" s="36"/>
      <c r="K45" s="19">
        <v>0</v>
      </c>
      <c r="L45" s="198" t="s">
        <v>128</v>
      </c>
      <c r="M45" s="198" t="s">
        <v>128</v>
      </c>
      <c r="N45" s="197" t="s">
        <v>128</v>
      </c>
      <c r="O45" s="195">
        <v>1</v>
      </c>
      <c r="P45" s="45" t="s">
        <v>128</v>
      </c>
      <c r="Q45" s="45" t="s">
        <v>128</v>
      </c>
      <c r="R45" s="45" t="s">
        <v>128</v>
      </c>
      <c r="S45" s="45" t="s">
        <v>128</v>
      </c>
      <c r="T45" s="45" t="s">
        <v>128</v>
      </c>
      <c r="U45" s="45" t="s">
        <v>128</v>
      </c>
      <c r="V45" s="45" t="s">
        <v>128</v>
      </c>
      <c r="W45" s="45" t="s">
        <v>128</v>
      </c>
      <c r="X45" s="45" t="s">
        <v>128</v>
      </c>
      <c r="Y45" s="45" t="s">
        <v>128</v>
      </c>
      <c r="Z45" s="45" t="s">
        <v>128</v>
      </c>
      <c r="AA45" s="45" t="s">
        <v>128</v>
      </c>
      <c r="AB45" s="45" t="s">
        <v>128</v>
      </c>
      <c r="AC45" s="107" t="s">
        <v>128</v>
      </c>
      <c r="AD45" s="107" t="s">
        <v>128</v>
      </c>
      <c r="AE45" s="107" t="s">
        <v>128</v>
      </c>
      <c r="AF45" s="107" t="s">
        <v>128</v>
      </c>
      <c r="AG45" s="107" t="s">
        <v>128</v>
      </c>
      <c r="AH45" s="107" t="s">
        <v>128</v>
      </c>
      <c r="AI45" s="228"/>
      <c r="AJ45" s="228"/>
      <c r="AK45" s="228"/>
      <c r="AL45" s="228"/>
      <c r="AM45" s="228"/>
      <c r="AN45" s="228"/>
      <c r="AO45" s="228"/>
      <c r="AP45" s="228"/>
    </row>
    <row r="46" spans="1:42" s="48" customFormat="1" x14ac:dyDescent="0.2">
      <c r="A46" s="209"/>
      <c r="B46" s="8"/>
      <c r="C46" s="8"/>
      <c r="D46" s="8"/>
      <c r="E46" s="8"/>
      <c r="F46" s="8"/>
      <c r="G46" s="8"/>
      <c r="H46" s="8"/>
      <c r="I46" s="8"/>
      <c r="J46" s="37"/>
      <c r="K46" s="19">
        <v>0</v>
      </c>
      <c r="L46" s="198" t="s">
        <v>128</v>
      </c>
      <c r="M46" s="198" t="s">
        <v>128</v>
      </c>
      <c r="N46" s="197" t="s">
        <v>128</v>
      </c>
      <c r="O46" s="195">
        <v>1</v>
      </c>
      <c r="P46" s="45" t="s">
        <v>128</v>
      </c>
      <c r="Q46" s="45" t="s">
        <v>128</v>
      </c>
      <c r="R46" s="45" t="s">
        <v>128</v>
      </c>
      <c r="S46" s="45" t="s">
        <v>128</v>
      </c>
      <c r="T46" s="45" t="s">
        <v>128</v>
      </c>
      <c r="U46" s="45" t="s">
        <v>128</v>
      </c>
      <c r="V46" s="45" t="s">
        <v>128</v>
      </c>
      <c r="W46" s="45" t="s">
        <v>128</v>
      </c>
      <c r="X46" s="45" t="s">
        <v>128</v>
      </c>
      <c r="Y46" s="45" t="s">
        <v>128</v>
      </c>
      <c r="Z46" s="45" t="s">
        <v>128</v>
      </c>
      <c r="AA46" s="45" t="s">
        <v>128</v>
      </c>
      <c r="AB46" s="45" t="s">
        <v>128</v>
      </c>
      <c r="AC46" s="107" t="s">
        <v>128</v>
      </c>
      <c r="AD46" s="107" t="s">
        <v>128</v>
      </c>
      <c r="AE46" s="107" t="s">
        <v>128</v>
      </c>
      <c r="AF46" s="107" t="s">
        <v>128</v>
      </c>
      <c r="AG46" s="107" t="s">
        <v>128</v>
      </c>
      <c r="AH46" s="107" t="s">
        <v>128</v>
      </c>
      <c r="AI46" s="228"/>
      <c r="AJ46" s="228"/>
      <c r="AK46" s="228"/>
      <c r="AL46" s="228"/>
      <c r="AM46" s="228"/>
      <c r="AN46" s="228"/>
      <c r="AO46" s="228"/>
      <c r="AP46" s="228"/>
    </row>
    <row r="47" spans="1:42" s="48" customFormat="1" x14ac:dyDescent="0.2">
      <c r="A47" s="22"/>
      <c r="B47" s="22"/>
      <c r="C47" s="22"/>
      <c r="D47" s="22"/>
      <c r="E47" s="22"/>
      <c r="F47" s="22"/>
      <c r="G47" s="22"/>
      <c r="H47" s="22"/>
      <c r="I47" s="22"/>
      <c r="J47" s="36"/>
      <c r="K47" s="19">
        <v>0</v>
      </c>
      <c r="L47" s="198" t="s">
        <v>128</v>
      </c>
      <c r="M47" s="198" t="s">
        <v>128</v>
      </c>
      <c r="N47" s="197" t="s">
        <v>128</v>
      </c>
      <c r="O47" s="195">
        <v>1</v>
      </c>
      <c r="P47" s="45" t="s">
        <v>128</v>
      </c>
      <c r="Q47" s="45" t="s">
        <v>128</v>
      </c>
      <c r="R47" s="45" t="s">
        <v>128</v>
      </c>
      <c r="S47" s="45" t="s">
        <v>128</v>
      </c>
      <c r="T47" s="45" t="s">
        <v>128</v>
      </c>
      <c r="U47" s="45" t="s">
        <v>128</v>
      </c>
      <c r="V47" s="45" t="s">
        <v>128</v>
      </c>
      <c r="W47" s="45" t="s">
        <v>128</v>
      </c>
      <c r="X47" s="45" t="s">
        <v>128</v>
      </c>
      <c r="Y47" s="45" t="s">
        <v>128</v>
      </c>
      <c r="Z47" s="45" t="s">
        <v>128</v>
      </c>
      <c r="AA47" s="45" t="s">
        <v>128</v>
      </c>
      <c r="AB47" s="45" t="s">
        <v>128</v>
      </c>
      <c r="AC47" s="107" t="s">
        <v>128</v>
      </c>
      <c r="AD47" s="107" t="s">
        <v>128</v>
      </c>
      <c r="AE47" s="107" t="s">
        <v>128</v>
      </c>
      <c r="AF47" s="107" t="s">
        <v>128</v>
      </c>
      <c r="AG47" s="107" t="s">
        <v>128</v>
      </c>
      <c r="AH47" s="107" t="s">
        <v>128</v>
      </c>
      <c r="AI47" s="228"/>
      <c r="AJ47" s="228"/>
      <c r="AK47" s="228"/>
      <c r="AL47" s="228"/>
      <c r="AM47" s="228"/>
      <c r="AN47" s="228"/>
      <c r="AO47" s="228"/>
      <c r="AP47" s="228"/>
    </row>
    <row r="48" spans="1:42" s="48" customFormat="1" x14ac:dyDescent="0.2">
      <c r="A48" s="209"/>
      <c r="B48" s="8"/>
      <c r="C48" s="8"/>
      <c r="D48" s="8"/>
      <c r="E48" s="8"/>
      <c r="F48" s="8"/>
      <c r="G48" s="8"/>
      <c r="H48" s="8"/>
      <c r="I48" s="8"/>
      <c r="J48" s="37"/>
      <c r="K48" s="19">
        <v>0</v>
      </c>
      <c r="L48" s="198" t="s">
        <v>128</v>
      </c>
      <c r="M48" s="198" t="s">
        <v>128</v>
      </c>
      <c r="N48" s="197" t="s">
        <v>128</v>
      </c>
      <c r="O48" s="195">
        <v>1</v>
      </c>
      <c r="P48" s="45" t="s">
        <v>128</v>
      </c>
      <c r="Q48" s="45" t="s">
        <v>128</v>
      </c>
      <c r="R48" s="45" t="s">
        <v>128</v>
      </c>
      <c r="S48" s="45" t="s">
        <v>128</v>
      </c>
      <c r="T48" s="45" t="s">
        <v>128</v>
      </c>
      <c r="U48" s="45" t="s">
        <v>128</v>
      </c>
      <c r="V48" s="45" t="s">
        <v>128</v>
      </c>
      <c r="W48" s="45" t="s">
        <v>128</v>
      </c>
      <c r="X48" s="45" t="s">
        <v>128</v>
      </c>
      <c r="Y48" s="45" t="s">
        <v>128</v>
      </c>
      <c r="Z48" s="45" t="s">
        <v>128</v>
      </c>
      <c r="AA48" s="45" t="s">
        <v>128</v>
      </c>
      <c r="AB48" s="45" t="s">
        <v>128</v>
      </c>
      <c r="AC48" s="107" t="s">
        <v>128</v>
      </c>
      <c r="AD48" s="107" t="s">
        <v>128</v>
      </c>
      <c r="AE48" s="107" t="s">
        <v>128</v>
      </c>
      <c r="AF48" s="107" t="s">
        <v>128</v>
      </c>
      <c r="AG48" s="107" t="s">
        <v>128</v>
      </c>
      <c r="AH48" s="107" t="s">
        <v>128</v>
      </c>
      <c r="AI48" s="228"/>
      <c r="AJ48" s="228"/>
      <c r="AK48" s="228"/>
      <c r="AL48" s="228"/>
      <c r="AM48" s="228"/>
      <c r="AN48" s="228"/>
      <c r="AO48" s="228"/>
      <c r="AP48" s="228"/>
    </row>
    <row r="49" spans="1:42" s="48" customFormat="1" x14ac:dyDescent="0.2">
      <c r="A49" s="22"/>
      <c r="B49" s="22"/>
      <c r="C49" s="22"/>
      <c r="D49" s="22"/>
      <c r="E49" s="22"/>
      <c r="F49" s="22"/>
      <c r="G49" s="22"/>
      <c r="H49" s="22"/>
      <c r="I49" s="22"/>
      <c r="J49" s="36"/>
      <c r="K49" s="19">
        <v>0</v>
      </c>
      <c r="L49" s="198" t="s">
        <v>128</v>
      </c>
      <c r="M49" s="198" t="s">
        <v>128</v>
      </c>
      <c r="N49" s="197" t="s">
        <v>128</v>
      </c>
      <c r="O49" s="195">
        <v>1</v>
      </c>
      <c r="P49" s="45" t="s">
        <v>128</v>
      </c>
      <c r="Q49" s="45" t="s">
        <v>128</v>
      </c>
      <c r="R49" s="45" t="s">
        <v>128</v>
      </c>
      <c r="S49" s="45" t="s">
        <v>128</v>
      </c>
      <c r="T49" s="45" t="s">
        <v>128</v>
      </c>
      <c r="U49" s="45" t="s">
        <v>128</v>
      </c>
      <c r="V49" s="45" t="s">
        <v>128</v>
      </c>
      <c r="W49" s="45" t="s">
        <v>128</v>
      </c>
      <c r="X49" s="45" t="s">
        <v>128</v>
      </c>
      <c r="Y49" s="45" t="s">
        <v>128</v>
      </c>
      <c r="Z49" s="45" t="s">
        <v>128</v>
      </c>
      <c r="AA49" s="45" t="s">
        <v>128</v>
      </c>
      <c r="AB49" s="45" t="s">
        <v>128</v>
      </c>
      <c r="AC49" s="107" t="s">
        <v>128</v>
      </c>
      <c r="AD49" s="107" t="s">
        <v>128</v>
      </c>
      <c r="AE49" s="107" t="s">
        <v>128</v>
      </c>
      <c r="AF49" s="107" t="s">
        <v>128</v>
      </c>
      <c r="AG49" s="107" t="s">
        <v>128</v>
      </c>
      <c r="AH49" s="107" t="s">
        <v>128</v>
      </c>
      <c r="AI49" s="228"/>
      <c r="AJ49" s="228"/>
      <c r="AK49" s="228"/>
      <c r="AL49" s="228"/>
      <c r="AM49" s="228"/>
      <c r="AN49" s="228"/>
      <c r="AO49" s="228"/>
      <c r="AP49" s="228"/>
    </row>
    <row r="50" spans="1:42" s="48" customFormat="1" x14ac:dyDescent="0.2">
      <c r="A50" s="209"/>
      <c r="B50" s="8"/>
      <c r="C50" s="8"/>
      <c r="D50" s="8"/>
      <c r="E50" s="8"/>
      <c r="F50" s="8"/>
      <c r="G50" s="8"/>
      <c r="H50" s="8"/>
      <c r="I50" s="8"/>
      <c r="J50" s="37"/>
      <c r="K50" s="19">
        <v>0</v>
      </c>
      <c r="L50" s="198" t="s">
        <v>128</v>
      </c>
      <c r="M50" s="198" t="s">
        <v>128</v>
      </c>
      <c r="N50" s="197" t="s">
        <v>128</v>
      </c>
      <c r="O50" s="195">
        <v>1</v>
      </c>
      <c r="P50" s="45" t="s">
        <v>128</v>
      </c>
      <c r="Q50" s="45" t="s">
        <v>128</v>
      </c>
      <c r="R50" s="45" t="s">
        <v>128</v>
      </c>
      <c r="S50" s="45" t="s">
        <v>128</v>
      </c>
      <c r="T50" s="45" t="s">
        <v>128</v>
      </c>
      <c r="U50" s="45" t="s">
        <v>128</v>
      </c>
      <c r="V50" s="45" t="s">
        <v>128</v>
      </c>
      <c r="W50" s="45" t="s">
        <v>128</v>
      </c>
      <c r="X50" s="45" t="s">
        <v>128</v>
      </c>
      <c r="Y50" s="45" t="s">
        <v>128</v>
      </c>
      <c r="Z50" s="45" t="s">
        <v>128</v>
      </c>
      <c r="AA50" s="45" t="s">
        <v>128</v>
      </c>
      <c r="AB50" s="45" t="s">
        <v>128</v>
      </c>
      <c r="AC50" s="107" t="s">
        <v>128</v>
      </c>
      <c r="AD50" s="107" t="s">
        <v>128</v>
      </c>
      <c r="AE50" s="107" t="s">
        <v>128</v>
      </c>
      <c r="AF50" s="107" t="s">
        <v>128</v>
      </c>
      <c r="AG50" s="107" t="s">
        <v>128</v>
      </c>
      <c r="AH50" s="107" t="s">
        <v>128</v>
      </c>
      <c r="AI50" s="228"/>
      <c r="AJ50" s="228"/>
      <c r="AK50" s="228"/>
      <c r="AL50" s="228"/>
      <c r="AM50" s="228"/>
      <c r="AN50" s="228"/>
      <c r="AO50" s="228"/>
      <c r="AP50" s="228"/>
    </row>
    <row r="51" spans="1:42" s="48" customFormat="1" x14ac:dyDescent="0.2">
      <c r="A51" s="22"/>
      <c r="B51" s="22"/>
      <c r="C51" s="22"/>
      <c r="D51" s="22"/>
      <c r="E51" s="22"/>
      <c r="F51" s="22"/>
      <c r="G51" s="22"/>
      <c r="H51" s="22"/>
      <c r="I51" s="22"/>
      <c r="J51" s="36"/>
      <c r="K51" s="19">
        <v>0</v>
      </c>
      <c r="L51" s="198" t="s">
        <v>128</v>
      </c>
      <c r="M51" s="198" t="s">
        <v>128</v>
      </c>
      <c r="N51" s="197" t="s">
        <v>128</v>
      </c>
      <c r="O51" s="195">
        <v>1</v>
      </c>
      <c r="P51" s="45" t="s">
        <v>128</v>
      </c>
      <c r="Q51" s="45" t="s">
        <v>128</v>
      </c>
      <c r="R51" s="45" t="s">
        <v>128</v>
      </c>
      <c r="S51" s="45" t="s">
        <v>128</v>
      </c>
      <c r="T51" s="45" t="s">
        <v>128</v>
      </c>
      <c r="U51" s="45" t="s">
        <v>128</v>
      </c>
      <c r="V51" s="45" t="s">
        <v>128</v>
      </c>
      <c r="W51" s="45" t="s">
        <v>128</v>
      </c>
      <c r="X51" s="45" t="s">
        <v>128</v>
      </c>
      <c r="Y51" s="45" t="s">
        <v>128</v>
      </c>
      <c r="Z51" s="45" t="s">
        <v>128</v>
      </c>
      <c r="AA51" s="45" t="s">
        <v>128</v>
      </c>
      <c r="AB51" s="45" t="s">
        <v>128</v>
      </c>
      <c r="AC51" s="107" t="s">
        <v>128</v>
      </c>
      <c r="AD51" s="107" t="s">
        <v>128</v>
      </c>
      <c r="AE51" s="107" t="s">
        <v>128</v>
      </c>
      <c r="AF51" s="107" t="s">
        <v>128</v>
      </c>
      <c r="AG51" s="107" t="s">
        <v>128</v>
      </c>
      <c r="AH51" s="107" t="s">
        <v>128</v>
      </c>
      <c r="AI51" s="228"/>
      <c r="AJ51" s="228"/>
      <c r="AK51" s="228"/>
      <c r="AL51" s="228"/>
      <c r="AM51" s="228"/>
      <c r="AN51" s="228"/>
      <c r="AO51" s="228"/>
      <c r="AP51" s="228"/>
    </row>
    <row r="52" spans="1:42" s="48" customFormat="1" x14ac:dyDescent="0.2">
      <c r="A52" s="209"/>
      <c r="B52" s="8"/>
      <c r="C52" s="8"/>
      <c r="D52" s="8"/>
      <c r="E52" s="8"/>
      <c r="F52" s="8"/>
      <c r="G52" s="8"/>
      <c r="H52" s="8"/>
      <c r="I52" s="8"/>
      <c r="J52" s="37"/>
      <c r="K52" s="19">
        <v>0</v>
      </c>
      <c r="L52" s="198" t="s">
        <v>128</v>
      </c>
      <c r="M52" s="198" t="s">
        <v>128</v>
      </c>
      <c r="N52" s="197" t="s">
        <v>128</v>
      </c>
      <c r="O52" s="195">
        <v>1</v>
      </c>
      <c r="P52" s="45" t="s">
        <v>128</v>
      </c>
      <c r="Q52" s="45" t="s">
        <v>128</v>
      </c>
      <c r="R52" s="45" t="s">
        <v>128</v>
      </c>
      <c r="S52" s="45" t="s">
        <v>128</v>
      </c>
      <c r="T52" s="45" t="s">
        <v>128</v>
      </c>
      <c r="U52" s="45" t="s">
        <v>128</v>
      </c>
      <c r="V52" s="45" t="s">
        <v>128</v>
      </c>
      <c r="W52" s="45" t="s">
        <v>128</v>
      </c>
      <c r="X52" s="45" t="s">
        <v>128</v>
      </c>
      <c r="Y52" s="45" t="s">
        <v>128</v>
      </c>
      <c r="Z52" s="45" t="s">
        <v>128</v>
      </c>
      <c r="AA52" s="45" t="s">
        <v>128</v>
      </c>
      <c r="AB52" s="45" t="s">
        <v>128</v>
      </c>
      <c r="AC52" s="107" t="s">
        <v>128</v>
      </c>
      <c r="AD52" s="107" t="s">
        <v>128</v>
      </c>
      <c r="AE52" s="107" t="s">
        <v>128</v>
      </c>
      <c r="AF52" s="107" t="s">
        <v>128</v>
      </c>
      <c r="AG52" s="107" t="s">
        <v>128</v>
      </c>
      <c r="AH52" s="107" t="s">
        <v>128</v>
      </c>
      <c r="AI52" s="228"/>
      <c r="AJ52" s="228"/>
      <c r="AK52" s="228"/>
      <c r="AL52" s="228"/>
      <c r="AM52" s="228"/>
      <c r="AN52" s="228"/>
      <c r="AO52" s="228"/>
      <c r="AP52" s="228"/>
    </row>
    <row r="53" spans="1:42" s="48" customFormat="1" x14ac:dyDescent="0.2">
      <c r="A53" s="22"/>
      <c r="B53" s="22"/>
      <c r="C53" s="22"/>
      <c r="D53" s="22"/>
      <c r="E53" s="22"/>
      <c r="F53" s="22"/>
      <c r="G53" s="22"/>
      <c r="H53" s="22"/>
      <c r="I53" s="22"/>
      <c r="J53" s="36"/>
      <c r="K53" s="19">
        <v>0</v>
      </c>
      <c r="L53" s="198" t="s">
        <v>128</v>
      </c>
      <c r="M53" s="198" t="s">
        <v>128</v>
      </c>
      <c r="N53" s="197" t="s">
        <v>128</v>
      </c>
      <c r="O53" s="195">
        <v>1</v>
      </c>
      <c r="P53" s="45" t="s">
        <v>128</v>
      </c>
      <c r="Q53" s="45" t="s">
        <v>128</v>
      </c>
      <c r="R53" s="45" t="s">
        <v>128</v>
      </c>
      <c r="S53" s="45" t="s">
        <v>128</v>
      </c>
      <c r="T53" s="45" t="s">
        <v>128</v>
      </c>
      <c r="U53" s="45" t="s">
        <v>128</v>
      </c>
      <c r="V53" s="45" t="s">
        <v>128</v>
      </c>
      <c r="W53" s="45" t="s">
        <v>128</v>
      </c>
      <c r="X53" s="45" t="s">
        <v>128</v>
      </c>
      <c r="Y53" s="45" t="s">
        <v>128</v>
      </c>
      <c r="Z53" s="45" t="s">
        <v>128</v>
      </c>
      <c r="AA53" s="45" t="s">
        <v>128</v>
      </c>
      <c r="AB53" s="45" t="s">
        <v>128</v>
      </c>
      <c r="AC53" s="107" t="s">
        <v>128</v>
      </c>
      <c r="AD53" s="107" t="s">
        <v>128</v>
      </c>
      <c r="AE53" s="107" t="s">
        <v>128</v>
      </c>
      <c r="AF53" s="107" t="s">
        <v>128</v>
      </c>
      <c r="AG53" s="107" t="s">
        <v>128</v>
      </c>
      <c r="AH53" s="107" t="s">
        <v>128</v>
      </c>
      <c r="AI53" s="228"/>
      <c r="AJ53" s="228"/>
      <c r="AK53" s="228"/>
      <c r="AL53" s="228"/>
      <c r="AM53" s="228"/>
      <c r="AN53" s="228"/>
      <c r="AO53" s="228"/>
      <c r="AP53" s="228"/>
    </row>
    <row r="54" spans="1:42" s="48" customFormat="1" x14ac:dyDescent="0.2">
      <c r="A54" s="209"/>
      <c r="B54" s="8"/>
      <c r="C54" s="8"/>
      <c r="D54" s="8"/>
      <c r="E54" s="8"/>
      <c r="F54" s="8"/>
      <c r="G54" s="8"/>
      <c r="H54" s="8"/>
      <c r="I54" s="8"/>
      <c r="J54" s="37"/>
      <c r="K54" s="19">
        <v>0</v>
      </c>
      <c r="L54" s="198" t="s">
        <v>128</v>
      </c>
      <c r="M54" s="198" t="s">
        <v>128</v>
      </c>
      <c r="N54" s="197" t="s">
        <v>128</v>
      </c>
      <c r="O54" s="195">
        <v>1</v>
      </c>
      <c r="P54" s="45" t="s">
        <v>128</v>
      </c>
      <c r="Q54" s="45" t="s">
        <v>128</v>
      </c>
      <c r="R54" s="45" t="s">
        <v>128</v>
      </c>
      <c r="S54" s="45" t="s">
        <v>128</v>
      </c>
      <c r="T54" s="45" t="s">
        <v>128</v>
      </c>
      <c r="U54" s="45" t="s">
        <v>128</v>
      </c>
      <c r="V54" s="45" t="s">
        <v>128</v>
      </c>
      <c r="W54" s="45" t="s">
        <v>128</v>
      </c>
      <c r="X54" s="45" t="s">
        <v>128</v>
      </c>
      <c r="Y54" s="45" t="s">
        <v>128</v>
      </c>
      <c r="Z54" s="45" t="s">
        <v>128</v>
      </c>
      <c r="AA54" s="45" t="s">
        <v>128</v>
      </c>
      <c r="AB54" s="45" t="s">
        <v>128</v>
      </c>
      <c r="AC54" s="107" t="s">
        <v>128</v>
      </c>
      <c r="AD54" s="107" t="s">
        <v>128</v>
      </c>
      <c r="AE54" s="107" t="s">
        <v>128</v>
      </c>
      <c r="AF54" s="107" t="s">
        <v>128</v>
      </c>
      <c r="AG54" s="107" t="s">
        <v>128</v>
      </c>
      <c r="AH54" s="107" t="s">
        <v>128</v>
      </c>
      <c r="AI54" s="228"/>
      <c r="AJ54" s="228"/>
      <c r="AK54" s="228"/>
      <c r="AL54" s="228"/>
      <c r="AM54" s="228"/>
      <c r="AN54" s="228"/>
      <c r="AO54" s="228"/>
      <c r="AP54" s="228"/>
    </row>
    <row r="55" spans="1:42" s="48" customFormat="1" x14ac:dyDescent="0.2">
      <c r="A55" s="22"/>
      <c r="B55" s="22"/>
      <c r="C55" s="22"/>
      <c r="D55" s="22"/>
      <c r="E55" s="22"/>
      <c r="F55" s="22"/>
      <c r="G55" s="22"/>
      <c r="H55" s="22"/>
      <c r="I55" s="22"/>
      <c r="J55" s="36"/>
      <c r="K55" s="19">
        <v>0</v>
      </c>
      <c r="L55" s="198" t="s">
        <v>128</v>
      </c>
      <c r="M55" s="198" t="s">
        <v>128</v>
      </c>
      <c r="N55" s="197" t="s">
        <v>128</v>
      </c>
      <c r="O55" s="195">
        <v>1</v>
      </c>
      <c r="P55" s="45" t="s">
        <v>128</v>
      </c>
      <c r="Q55" s="45" t="s">
        <v>128</v>
      </c>
      <c r="R55" s="45" t="s">
        <v>128</v>
      </c>
      <c r="S55" s="45" t="s">
        <v>128</v>
      </c>
      <c r="T55" s="45" t="s">
        <v>128</v>
      </c>
      <c r="U55" s="45" t="s">
        <v>128</v>
      </c>
      <c r="V55" s="45" t="s">
        <v>128</v>
      </c>
      <c r="W55" s="45" t="s">
        <v>128</v>
      </c>
      <c r="X55" s="45" t="s">
        <v>128</v>
      </c>
      <c r="Y55" s="45" t="s">
        <v>128</v>
      </c>
      <c r="Z55" s="45" t="s">
        <v>128</v>
      </c>
      <c r="AA55" s="45" t="s">
        <v>128</v>
      </c>
      <c r="AB55" s="45" t="s">
        <v>128</v>
      </c>
      <c r="AC55" s="107" t="s">
        <v>128</v>
      </c>
      <c r="AD55" s="107" t="s">
        <v>128</v>
      </c>
      <c r="AE55" s="107" t="s">
        <v>128</v>
      </c>
      <c r="AF55" s="107" t="s">
        <v>128</v>
      </c>
      <c r="AG55" s="107" t="s">
        <v>128</v>
      </c>
      <c r="AH55" s="107" t="s">
        <v>128</v>
      </c>
      <c r="AI55" s="228"/>
      <c r="AJ55" s="228"/>
      <c r="AK55" s="228"/>
      <c r="AL55" s="228"/>
      <c r="AM55" s="228"/>
      <c r="AN55" s="228"/>
      <c r="AO55" s="228"/>
      <c r="AP55" s="228"/>
    </row>
    <row r="56" spans="1:42" s="48" customFormat="1" x14ac:dyDescent="0.2">
      <c r="A56" s="209"/>
      <c r="B56" s="8"/>
      <c r="C56" s="8"/>
      <c r="D56" s="8"/>
      <c r="E56" s="8"/>
      <c r="F56" s="8"/>
      <c r="G56" s="8"/>
      <c r="H56" s="8"/>
      <c r="I56" s="8"/>
      <c r="J56" s="37"/>
      <c r="K56" s="19">
        <v>0</v>
      </c>
      <c r="L56" s="198" t="s">
        <v>128</v>
      </c>
      <c r="M56" s="198" t="s">
        <v>128</v>
      </c>
      <c r="N56" s="197" t="s">
        <v>128</v>
      </c>
      <c r="O56" s="195">
        <v>1</v>
      </c>
      <c r="P56" s="45" t="s">
        <v>128</v>
      </c>
      <c r="Q56" s="45" t="s">
        <v>128</v>
      </c>
      <c r="R56" s="45" t="s">
        <v>128</v>
      </c>
      <c r="S56" s="45" t="s">
        <v>128</v>
      </c>
      <c r="T56" s="45" t="s">
        <v>128</v>
      </c>
      <c r="U56" s="45" t="s">
        <v>128</v>
      </c>
      <c r="V56" s="45" t="s">
        <v>128</v>
      </c>
      <c r="W56" s="45" t="s">
        <v>128</v>
      </c>
      <c r="X56" s="45" t="s">
        <v>128</v>
      </c>
      <c r="Y56" s="45" t="s">
        <v>128</v>
      </c>
      <c r="Z56" s="45" t="s">
        <v>128</v>
      </c>
      <c r="AA56" s="45" t="s">
        <v>128</v>
      </c>
      <c r="AB56" s="45" t="s">
        <v>128</v>
      </c>
      <c r="AC56" s="107" t="s">
        <v>128</v>
      </c>
      <c r="AD56" s="107" t="s">
        <v>128</v>
      </c>
      <c r="AE56" s="107" t="s">
        <v>128</v>
      </c>
      <c r="AF56" s="107" t="s">
        <v>128</v>
      </c>
      <c r="AG56" s="107" t="s">
        <v>128</v>
      </c>
      <c r="AH56" s="107" t="s">
        <v>128</v>
      </c>
      <c r="AI56" s="228"/>
      <c r="AJ56" s="228"/>
      <c r="AK56" s="228"/>
      <c r="AL56" s="228"/>
      <c r="AM56" s="228"/>
      <c r="AN56" s="228"/>
      <c r="AO56" s="228"/>
      <c r="AP56" s="228"/>
    </row>
    <row r="57" spans="1:42" s="48" customFormat="1" x14ac:dyDescent="0.2">
      <c r="A57" s="22"/>
      <c r="B57" s="22"/>
      <c r="C57" s="22"/>
      <c r="D57" s="22"/>
      <c r="E57" s="22"/>
      <c r="F57" s="22"/>
      <c r="G57" s="22"/>
      <c r="H57" s="22"/>
      <c r="I57" s="22"/>
      <c r="J57" s="36"/>
      <c r="K57" s="19">
        <v>0</v>
      </c>
      <c r="L57" s="198" t="s">
        <v>128</v>
      </c>
      <c r="M57" s="198" t="s">
        <v>128</v>
      </c>
      <c r="N57" s="197" t="s">
        <v>128</v>
      </c>
      <c r="O57" s="195">
        <v>1</v>
      </c>
      <c r="P57" s="45" t="s">
        <v>128</v>
      </c>
      <c r="Q57" s="45" t="s">
        <v>128</v>
      </c>
      <c r="R57" s="45" t="s">
        <v>128</v>
      </c>
      <c r="S57" s="45" t="s">
        <v>128</v>
      </c>
      <c r="T57" s="45" t="s">
        <v>128</v>
      </c>
      <c r="U57" s="45" t="s">
        <v>128</v>
      </c>
      <c r="V57" s="45" t="s">
        <v>128</v>
      </c>
      <c r="W57" s="45" t="s">
        <v>128</v>
      </c>
      <c r="X57" s="45" t="s">
        <v>128</v>
      </c>
      <c r="Y57" s="45" t="s">
        <v>128</v>
      </c>
      <c r="Z57" s="45" t="s">
        <v>128</v>
      </c>
      <c r="AA57" s="45" t="s">
        <v>128</v>
      </c>
      <c r="AB57" s="45" t="s">
        <v>128</v>
      </c>
      <c r="AC57" s="107" t="s">
        <v>128</v>
      </c>
      <c r="AD57" s="107" t="s">
        <v>128</v>
      </c>
      <c r="AE57" s="107" t="s">
        <v>128</v>
      </c>
      <c r="AF57" s="107" t="s">
        <v>128</v>
      </c>
      <c r="AG57" s="107" t="s">
        <v>128</v>
      </c>
      <c r="AH57" s="107" t="s">
        <v>128</v>
      </c>
      <c r="AI57" s="228"/>
      <c r="AJ57" s="228"/>
      <c r="AK57" s="228"/>
      <c r="AL57" s="228"/>
      <c r="AM57" s="228"/>
      <c r="AN57" s="228"/>
      <c r="AO57" s="228"/>
      <c r="AP57" s="228"/>
    </row>
    <row r="58" spans="1:42" s="48" customFormat="1" x14ac:dyDescent="0.2">
      <c r="A58" s="209"/>
      <c r="B58" s="8"/>
      <c r="C58" s="8"/>
      <c r="D58" s="8"/>
      <c r="E58" s="8"/>
      <c r="F58" s="8"/>
      <c r="G58" s="8"/>
      <c r="H58" s="8"/>
      <c r="I58" s="8"/>
      <c r="J58" s="37"/>
      <c r="K58" s="19">
        <v>0</v>
      </c>
      <c r="L58" s="198" t="s">
        <v>128</v>
      </c>
      <c r="M58" s="198" t="s">
        <v>128</v>
      </c>
      <c r="N58" s="197" t="s">
        <v>128</v>
      </c>
      <c r="O58" s="195">
        <v>1</v>
      </c>
      <c r="P58" s="45" t="s">
        <v>128</v>
      </c>
      <c r="Q58" s="45" t="s">
        <v>128</v>
      </c>
      <c r="R58" s="45" t="s">
        <v>128</v>
      </c>
      <c r="S58" s="45" t="s">
        <v>128</v>
      </c>
      <c r="T58" s="45" t="s">
        <v>128</v>
      </c>
      <c r="U58" s="45" t="s">
        <v>128</v>
      </c>
      <c r="V58" s="45" t="s">
        <v>128</v>
      </c>
      <c r="W58" s="45" t="s">
        <v>128</v>
      </c>
      <c r="X58" s="45" t="s">
        <v>128</v>
      </c>
      <c r="Y58" s="45" t="s">
        <v>128</v>
      </c>
      <c r="Z58" s="45" t="s">
        <v>128</v>
      </c>
      <c r="AA58" s="45" t="s">
        <v>128</v>
      </c>
      <c r="AB58" s="45" t="s">
        <v>128</v>
      </c>
      <c r="AC58" s="107" t="s">
        <v>128</v>
      </c>
      <c r="AD58" s="107" t="s">
        <v>128</v>
      </c>
      <c r="AE58" s="107" t="s">
        <v>128</v>
      </c>
      <c r="AF58" s="107" t="s">
        <v>128</v>
      </c>
      <c r="AG58" s="107" t="s">
        <v>128</v>
      </c>
      <c r="AH58" s="107" t="s">
        <v>128</v>
      </c>
      <c r="AI58" s="228"/>
      <c r="AJ58" s="228"/>
      <c r="AK58" s="228"/>
      <c r="AL58" s="228"/>
      <c r="AM58" s="228"/>
      <c r="AN58" s="228"/>
      <c r="AO58" s="228"/>
      <c r="AP58" s="228"/>
    </row>
    <row r="59" spans="1:42" s="48" customFormat="1" x14ac:dyDescent="0.2">
      <c r="A59" s="22"/>
      <c r="B59" s="22"/>
      <c r="C59" s="22"/>
      <c r="D59" s="22"/>
      <c r="E59" s="22"/>
      <c r="F59" s="22"/>
      <c r="G59" s="22"/>
      <c r="H59" s="22"/>
      <c r="I59" s="22"/>
      <c r="J59" s="36"/>
      <c r="K59" s="19">
        <v>0</v>
      </c>
      <c r="L59" s="198" t="s">
        <v>128</v>
      </c>
      <c r="M59" s="198" t="s">
        <v>128</v>
      </c>
      <c r="N59" s="197" t="s">
        <v>128</v>
      </c>
      <c r="O59" s="195">
        <v>1</v>
      </c>
      <c r="P59" s="45" t="s">
        <v>128</v>
      </c>
      <c r="Q59" s="45" t="s">
        <v>128</v>
      </c>
      <c r="R59" s="45" t="s">
        <v>128</v>
      </c>
      <c r="S59" s="45" t="s">
        <v>128</v>
      </c>
      <c r="T59" s="45" t="s">
        <v>128</v>
      </c>
      <c r="U59" s="45" t="s">
        <v>128</v>
      </c>
      <c r="V59" s="45" t="s">
        <v>128</v>
      </c>
      <c r="W59" s="45" t="s">
        <v>128</v>
      </c>
      <c r="X59" s="45" t="s">
        <v>128</v>
      </c>
      <c r="Y59" s="45" t="s">
        <v>128</v>
      </c>
      <c r="Z59" s="45" t="s">
        <v>128</v>
      </c>
      <c r="AA59" s="45" t="s">
        <v>128</v>
      </c>
      <c r="AB59" s="45" t="s">
        <v>128</v>
      </c>
      <c r="AC59" s="107" t="s">
        <v>128</v>
      </c>
      <c r="AD59" s="107" t="s">
        <v>128</v>
      </c>
      <c r="AE59" s="107" t="s">
        <v>128</v>
      </c>
      <c r="AF59" s="107" t="s">
        <v>128</v>
      </c>
      <c r="AG59" s="107" t="s">
        <v>128</v>
      </c>
      <c r="AH59" s="107" t="s">
        <v>128</v>
      </c>
      <c r="AI59" s="228"/>
      <c r="AJ59" s="228"/>
      <c r="AK59" s="228"/>
      <c r="AL59" s="228"/>
      <c r="AM59" s="228"/>
      <c r="AN59" s="228"/>
      <c r="AO59" s="228"/>
      <c r="AP59" s="228"/>
    </row>
    <row r="60" spans="1:42" s="48" customFormat="1" x14ac:dyDescent="0.2">
      <c r="A60" s="209"/>
      <c r="B60" s="8"/>
      <c r="C60" s="8"/>
      <c r="D60" s="8"/>
      <c r="E60" s="8"/>
      <c r="F60" s="8"/>
      <c r="G60" s="8"/>
      <c r="H60" s="8"/>
      <c r="I60" s="8"/>
      <c r="J60" s="37"/>
      <c r="K60" s="19">
        <v>0</v>
      </c>
      <c r="L60" s="198" t="s">
        <v>128</v>
      </c>
      <c r="M60" s="198" t="s">
        <v>128</v>
      </c>
      <c r="N60" s="197" t="s">
        <v>128</v>
      </c>
      <c r="O60" s="195">
        <v>1</v>
      </c>
      <c r="P60" s="45" t="s">
        <v>128</v>
      </c>
      <c r="Q60" s="45" t="s">
        <v>128</v>
      </c>
      <c r="R60" s="45" t="s">
        <v>128</v>
      </c>
      <c r="S60" s="45" t="s">
        <v>128</v>
      </c>
      <c r="T60" s="45" t="s">
        <v>128</v>
      </c>
      <c r="U60" s="45" t="s">
        <v>128</v>
      </c>
      <c r="V60" s="45" t="s">
        <v>128</v>
      </c>
      <c r="W60" s="45" t="s">
        <v>128</v>
      </c>
      <c r="X60" s="45" t="s">
        <v>128</v>
      </c>
      <c r="Y60" s="45" t="s">
        <v>128</v>
      </c>
      <c r="Z60" s="45" t="s">
        <v>128</v>
      </c>
      <c r="AA60" s="45" t="s">
        <v>128</v>
      </c>
      <c r="AB60" s="45" t="s">
        <v>128</v>
      </c>
      <c r="AC60" s="107" t="s">
        <v>128</v>
      </c>
      <c r="AD60" s="107" t="s">
        <v>128</v>
      </c>
      <c r="AE60" s="107" t="s">
        <v>128</v>
      </c>
      <c r="AF60" s="107" t="s">
        <v>128</v>
      </c>
      <c r="AG60" s="107" t="s">
        <v>128</v>
      </c>
      <c r="AH60" s="107" t="s">
        <v>128</v>
      </c>
      <c r="AI60" s="228"/>
      <c r="AJ60" s="228"/>
      <c r="AK60" s="228"/>
      <c r="AL60" s="228"/>
      <c r="AM60" s="228"/>
      <c r="AN60" s="228"/>
      <c r="AO60" s="228"/>
      <c r="AP60" s="228"/>
    </row>
    <row r="61" spans="1:42" s="48" customFormat="1" x14ac:dyDescent="0.2">
      <c r="A61" s="22"/>
      <c r="B61" s="22"/>
      <c r="C61" s="22"/>
      <c r="D61" s="22"/>
      <c r="E61" s="22"/>
      <c r="F61" s="22"/>
      <c r="G61" s="22"/>
      <c r="H61" s="22"/>
      <c r="I61" s="22"/>
      <c r="J61" s="36"/>
      <c r="K61" s="19">
        <v>0</v>
      </c>
      <c r="L61" s="198" t="s">
        <v>128</v>
      </c>
      <c r="M61" s="198" t="s">
        <v>128</v>
      </c>
      <c r="N61" s="197" t="s">
        <v>128</v>
      </c>
      <c r="O61" s="195">
        <v>1</v>
      </c>
      <c r="P61" s="45" t="s">
        <v>128</v>
      </c>
      <c r="Q61" s="45" t="s">
        <v>128</v>
      </c>
      <c r="R61" s="45" t="s">
        <v>128</v>
      </c>
      <c r="S61" s="45" t="s">
        <v>128</v>
      </c>
      <c r="T61" s="45" t="s">
        <v>128</v>
      </c>
      <c r="U61" s="45" t="s">
        <v>128</v>
      </c>
      <c r="V61" s="45" t="s">
        <v>128</v>
      </c>
      <c r="W61" s="45" t="s">
        <v>128</v>
      </c>
      <c r="X61" s="45" t="s">
        <v>128</v>
      </c>
      <c r="Y61" s="45" t="s">
        <v>128</v>
      </c>
      <c r="Z61" s="45" t="s">
        <v>128</v>
      </c>
      <c r="AA61" s="45" t="s">
        <v>128</v>
      </c>
      <c r="AB61" s="45" t="s">
        <v>128</v>
      </c>
      <c r="AC61" s="107" t="s">
        <v>128</v>
      </c>
      <c r="AD61" s="107" t="s">
        <v>128</v>
      </c>
      <c r="AE61" s="107" t="s">
        <v>128</v>
      </c>
      <c r="AF61" s="107" t="s">
        <v>128</v>
      </c>
      <c r="AG61" s="107" t="s">
        <v>128</v>
      </c>
      <c r="AH61" s="107" t="s">
        <v>128</v>
      </c>
      <c r="AI61" s="228"/>
      <c r="AJ61" s="228"/>
      <c r="AK61" s="228"/>
      <c r="AL61" s="228"/>
      <c r="AM61" s="228"/>
      <c r="AN61" s="228"/>
      <c r="AO61" s="228"/>
      <c r="AP61" s="228"/>
    </row>
    <row r="62" spans="1:42" x14ac:dyDescent="0.2">
      <c r="A62" s="209"/>
      <c r="C62" s="8"/>
      <c r="D62" s="8"/>
      <c r="E62" s="8"/>
      <c r="F62" s="8"/>
      <c r="G62" s="8"/>
      <c r="H62" s="8"/>
      <c r="I62" s="8"/>
      <c r="J62" s="37"/>
      <c r="K62" s="19"/>
      <c r="L62" s="33"/>
      <c r="M62" s="19"/>
      <c r="N62"/>
      <c r="O62"/>
      <c r="P62"/>
      <c r="Q62"/>
      <c r="R62"/>
      <c r="S62"/>
      <c r="T62"/>
      <c r="U62"/>
      <c r="V62"/>
      <c r="W62"/>
      <c r="X62"/>
      <c r="Y62"/>
      <c r="Z62"/>
      <c r="AA62"/>
      <c r="AB62"/>
      <c r="AC62"/>
    </row>
    <row r="63" spans="1:42" s="8" customFormat="1" x14ac:dyDescent="0.2">
      <c r="C63" s="366" t="s">
        <v>83</v>
      </c>
      <c r="D63" s="366"/>
      <c r="E63" s="43" t="s">
        <v>4</v>
      </c>
      <c r="F63" s="1"/>
      <c r="G63" s="1"/>
      <c r="H63" s="31" t="s">
        <v>113</v>
      </c>
      <c r="I63" s="30">
        <f>SUM(O2:O61)</f>
        <v>60</v>
      </c>
      <c r="J63" s="20">
        <f>SUM(J2:J61)</f>
        <v>0</v>
      </c>
      <c r="K63" s="24">
        <f>SUM(P63:AH63)</f>
        <v>1</v>
      </c>
      <c r="L63" s="1"/>
      <c r="M63" s="1"/>
      <c r="N63" s="21"/>
      <c r="P63" s="271">
        <v>0.03</v>
      </c>
      <c r="Q63" s="209"/>
      <c r="R63" s="271">
        <v>0.1</v>
      </c>
      <c r="S63" s="209"/>
      <c r="T63" s="436">
        <v>0.3</v>
      </c>
      <c r="U63" s="438"/>
      <c r="V63" s="438"/>
      <c r="W63" s="436">
        <v>0.3</v>
      </c>
      <c r="X63" s="438"/>
      <c r="Y63" s="438"/>
      <c r="Z63" s="436">
        <v>0.1</v>
      </c>
      <c r="AA63" s="438"/>
      <c r="AB63" s="438"/>
      <c r="AC63" s="436">
        <v>0.12</v>
      </c>
      <c r="AD63" s="438"/>
      <c r="AE63" s="438"/>
      <c r="AF63" s="436">
        <v>0.05</v>
      </c>
      <c r="AG63" s="438"/>
      <c r="AH63" s="438"/>
    </row>
    <row r="64" spans="1:42" x14ac:dyDescent="0.2">
      <c r="C64" s="23" t="s">
        <v>24</v>
      </c>
      <c r="D64" s="8">
        <f t="shared" ref="D64:D70" si="0">SUMIF($E$2:$E$61,C64,$O$2:$O$61)</f>
        <v>0</v>
      </c>
      <c r="E64" s="23" t="s">
        <v>29</v>
      </c>
      <c r="F64" s="8">
        <f>SUMIF($C$2:$C$61,E64,$O$2:$O$61)</f>
        <v>0</v>
      </c>
      <c r="M64" s="360" t="s">
        <v>406</v>
      </c>
      <c r="N64" s="360"/>
      <c r="O64" s="360"/>
    </row>
    <row r="65" spans="1:32" s="8" customFormat="1" x14ac:dyDescent="0.2">
      <c r="C65" s="23" t="s">
        <v>66</v>
      </c>
      <c r="D65" s="8">
        <f t="shared" si="0"/>
        <v>0</v>
      </c>
      <c r="E65" s="23" t="s">
        <v>22</v>
      </c>
      <c r="F65" s="8">
        <f t="shared" ref="F65:F66" si="1">SUMIF($C$2:$C$61,E65,$O$2:$O$61)</f>
        <v>0</v>
      </c>
      <c r="G65" s="1"/>
      <c r="H65" s="348" t="s">
        <v>75</v>
      </c>
      <c r="I65" s="348"/>
      <c r="J65" s="20">
        <f>SUMIF(K2:K61,K65,J2:J61)</f>
        <v>0</v>
      </c>
      <c r="K65" s="24">
        <v>1</v>
      </c>
      <c r="L65" s="1"/>
      <c r="M65" s="48"/>
      <c r="N65" s="43">
        <f>SUMIF($K$2:$K$61,K65,$O$2:$O$61)</f>
        <v>0</v>
      </c>
      <c r="O65" s="43"/>
      <c r="P65" s="1"/>
      <c r="Q65" s="1"/>
      <c r="R65" s="1"/>
      <c r="S65" s="1"/>
      <c r="T65" s="1"/>
      <c r="U65" s="1"/>
      <c r="V65" s="1"/>
      <c r="W65" s="1"/>
      <c r="X65" s="1"/>
      <c r="Y65" s="1"/>
      <c r="Z65" s="1"/>
      <c r="AA65" s="1"/>
      <c r="AB65" s="1"/>
      <c r="AC65" s="1"/>
      <c r="AD65" s="43"/>
      <c r="AE65" s="43"/>
      <c r="AF65" s="43"/>
    </row>
    <row r="66" spans="1:32" s="8" customFormat="1" x14ac:dyDescent="0.2">
      <c r="C66" s="1" t="s">
        <v>34</v>
      </c>
      <c r="D66" s="8">
        <f t="shared" si="0"/>
        <v>0</v>
      </c>
      <c r="E66" s="1" t="s">
        <v>735</v>
      </c>
      <c r="F66" s="8">
        <f t="shared" si="1"/>
        <v>0</v>
      </c>
      <c r="G66" s="1"/>
      <c r="H66" s="1" t="s">
        <v>76</v>
      </c>
      <c r="I66" s="2" t="s">
        <v>736</v>
      </c>
      <c r="J66" s="20">
        <f>SUMIF($L$2:$L$61,K66,$J$2:$J$61)</f>
        <v>0</v>
      </c>
      <c r="K66" s="25">
        <v>1</v>
      </c>
      <c r="L66" s="1"/>
      <c r="M66" s="1"/>
      <c r="N66" s="21"/>
      <c r="P66" s="1"/>
      <c r="Q66" s="1"/>
      <c r="R66" s="1"/>
      <c r="S66" s="1"/>
      <c r="T66" s="1"/>
      <c r="U66" s="1"/>
      <c r="V66" s="1"/>
      <c r="W66" s="1"/>
      <c r="X66" s="1"/>
      <c r="Y66" s="1"/>
      <c r="Z66" s="1"/>
      <c r="AA66" s="1"/>
      <c r="AB66" s="1"/>
      <c r="AC66" s="1"/>
      <c r="AD66" s="43"/>
      <c r="AE66" s="43"/>
      <c r="AF66" s="43"/>
    </row>
    <row r="67" spans="1:32" s="8" customFormat="1" x14ac:dyDescent="0.2">
      <c r="C67" s="23" t="s">
        <v>31</v>
      </c>
      <c r="D67" s="8">
        <f t="shared" si="0"/>
        <v>0</v>
      </c>
      <c r="E67" s="1"/>
      <c r="F67" s="1"/>
      <c r="G67" s="1"/>
      <c r="H67" s="1" t="s">
        <v>76</v>
      </c>
      <c r="I67" s="2" t="s">
        <v>737</v>
      </c>
      <c r="J67" s="20">
        <f>SUMIF($L$2:$L$61,K67,$J$2:$J$61)</f>
        <v>0</v>
      </c>
      <c r="K67" s="25">
        <v>2</v>
      </c>
      <c r="L67" s="1"/>
      <c r="M67" s="1"/>
      <c r="N67" s="21"/>
      <c r="P67" s="1"/>
      <c r="Q67" s="1"/>
      <c r="R67" s="1"/>
      <c r="S67" s="1"/>
      <c r="T67" s="1"/>
      <c r="U67" s="1"/>
      <c r="V67" s="1"/>
      <c r="W67" s="1"/>
      <c r="X67" s="1"/>
      <c r="Y67" s="1"/>
      <c r="Z67" s="1"/>
      <c r="AA67" s="1"/>
      <c r="AB67" s="1"/>
      <c r="AC67" s="1"/>
      <c r="AD67" s="43"/>
      <c r="AE67" s="43"/>
      <c r="AF67" s="43"/>
    </row>
    <row r="68" spans="1:32" s="8" customFormat="1" x14ac:dyDescent="0.2">
      <c r="C68" s="23" t="s">
        <v>85</v>
      </c>
      <c r="D68" s="8">
        <f t="shared" si="0"/>
        <v>0</v>
      </c>
      <c r="E68" s="1"/>
      <c r="F68" s="1"/>
      <c r="G68" s="1"/>
      <c r="H68" s="1" t="s">
        <v>76</v>
      </c>
      <c r="I68" s="2" t="s">
        <v>738</v>
      </c>
      <c r="J68" s="20">
        <f>SUMIF($L$2:$L$61,K68,$J$2:$J$61)</f>
        <v>0</v>
      </c>
      <c r="K68" s="25">
        <v>3</v>
      </c>
      <c r="L68" s="1"/>
      <c r="M68" s="1"/>
      <c r="N68" s="21"/>
      <c r="P68" s="1"/>
      <c r="Q68" s="1"/>
      <c r="R68" s="1"/>
      <c r="S68" s="1"/>
      <c r="T68" s="1"/>
      <c r="U68" s="1"/>
      <c r="V68" s="1"/>
      <c r="W68" s="1"/>
      <c r="X68" s="1"/>
      <c r="Y68" s="1"/>
      <c r="Z68" s="1"/>
      <c r="AA68" s="1"/>
      <c r="AB68" s="1"/>
      <c r="AC68" s="1"/>
      <c r="AD68" s="43"/>
      <c r="AE68" s="43"/>
      <c r="AF68" s="43"/>
    </row>
    <row r="69" spans="1:32" s="8" customFormat="1" x14ac:dyDescent="0.2">
      <c r="C69" s="23" t="s">
        <v>46</v>
      </c>
      <c r="D69" s="8">
        <f t="shared" si="0"/>
        <v>0</v>
      </c>
      <c r="E69" s="1"/>
      <c r="F69" s="1"/>
      <c r="G69" s="1"/>
      <c r="H69" s="1" t="s">
        <v>76</v>
      </c>
      <c r="I69" s="2" t="s">
        <v>739</v>
      </c>
      <c r="J69" s="20">
        <f>SUMIF($L$2:$L$61,K69,$J$2:$J$61)</f>
        <v>0</v>
      </c>
      <c r="K69" s="25">
        <v>4</v>
      </c>
      <c r="L69" s="1"/>
      <c r="M69" s="1"/>
      <c r="N69" s="21"/>
      <c r="P69" s="1"/>
      <c r="Q69" s="1"/>
      <c r="R69" s="1"/>
      <c r="S69" s="1"/>
      <c r="T69" s="1"/>
      <c r="U69" s="1"/>
      <c r="V69" s="1"/>
      <c r="W69" s="1"/>
      <c r="X69" s="1"/>
      <c r="Y69" s="1"/>
      <c r="Z69" s="1"/>
      <c r="AA69" s="1"/>
      <c r="AB69" s="1"/>
      <c r="AC69" s="1"/>
      <c r="AD69" s="43"/>
      <c r="AE69" s="43"/>
      <c r="AF69" s="43"/>
    </row>
    <row r="70" spans="1:32" x14ac:dyDescent="0.2">
      <c r="C70" s="23" t="s">
        <v>38</v>
      </c>
      <c r="D70" s="8">
        <f t="shared" si="0"/>
        <v>0</v>
      </c>
      <c r="H70" s="1" t="s">
        <v>76</v>
      </c>
      <c r="I70" s="2" t="s">
        <v>740</v>
      </c>
      <c r="J70" s="20">
        <f>SUMIF($L$2:$L$61,K70,$J$2:$J$61)</f>
        <v>0</v>
      </c>
      <c r="K70" s="25">
        <v>5</v>
      </c>
    </row>
    <row r="72" spans="1:32" x14ac:dyDescent="0.2">
      <c r="C72" s="23"/>
      <c r="D72" s="8"/>
    </row>
    <row r="73" spans="1:32" x14ac:dyDescent="0.2">
      <c r="L73" s="33"/>
    </row>
    <row r="74" spans="1:32" x14ac:dyDescent="0.2">
      <c r="C74" s="3" t="s">
        <v>157</v>
      </c>
      <c r="D74" s="8">
        <f>SUM(D64:D73)</f>
        <v>0</v>
      </c>
      <c r="E74" s="3" t="s">
        <v>157</v>
      </c>
      <c r="F74" s="8">
        <f>SUM(F64:F73)</f>
        <v>0</v>
      </c>
    </row>
    <row r="75" spans="1:32" s="57" customFormat="1" ht="29.25" customHeight="1" x14ac:dyDescent="0.2">
      <c r="A75" s="383" t="s">
        <v>158</v>
      </c>
      <c r="B75" s="383"/>
      <c r="C75" s="383"/>
      <c r="I75" s="58" t="s">
        <v>159</v>
      </c>
      <c r="J75" s="58" t="s">
        <v>160</v>
      </c>
      <c r="N75" s="59"/>
      <c r="O75" s="7"/>
      <c r="AD75" s="60"/>
      <c r="AE75" s="60"/>
      <c r="AF75" s="60"/>
    </row>
    <row r="76" spans="1:32" x14ac:dyDescent="0.2">
      <c r="A76" s="61">
        <v>44927</v>
      </c>
      <c r="B76" s="288" t="s">
        <v>166</v>
      </c>
      <c r="C76" s="429"/>
      <c r="D76" s="429"/>
      <c r="E76" s="429"/>
      <c r="F76" s="429"/>
      <c r="G76" s="429"/>
      <c r="H76" s="429"/>
      <c r="I76" s="63"/>
      <c r="J76" s="63"/>
    </row>
    <row r="77" spans="1:32" x14ac:dyDescent="0.2">
      <c r="A77" s="49">
        <f>+A76+1</f>
        <v>44928</v>
      </c>
      <c r="B77" s="50" t="s">
        <v>167</v>
      </c>
      <c r="C77" s="353"/>
      <c r="D77" s="353"/>
      <c r="E77" s="353"/>
      <c r="F77" s="353"/>
      <c r="G77" s="353"/>
      <c r="H77" s="353"/>
      <c r="I77" s="51"/>
      <c r="J77" s="51"/>
    </row>
    <row r="78" spans="1:32" x14ac:dyDescent="0.2">
      <c r="A78" s="49">
        <f t="shared" ref="A78:A106" si="2">+A77+1</f>
        <v>44929</v>
      </c>
      <c r="B78" s="50" t="s">
        <v>161</v>
      </c>
      <c r="C78" s="353"/>
      <c r="D78" s="353"/>
      <c r="E78" s="353"/>
      <c r="F78" s="353"/>
      <c r="G78" s="353"/>
      <c r="H78" s="353"/>
      <c r="I78" s="51"/>
      <c r="J78" s="51"/>
    </row>
    <row r="79" spans="1:32" x14ac:dyDescent="0.2">
      <c r="A79" s="49">
        <f t="shared" si="2"/>
        <v>44930</v>
      </c>
      <c r="B79" s="50" t="s">
        <v>162</v>
      </c>
      <c r="C79" s="353"/>
      <c r="D79" s="353"/>
      <c r="E79" s="353"/>
      <c r="F79" s="353"/>
      <c r="G79" s="353"/>
      <c r="H79" s="353"/>
      <c r="I79" s="51"/>
      <c r="J79" s="51"/>
    </row>
    <row r="80" spans="1:32" x14ac:dyDescent="0.2">
      <c r="A80" s="49">
        <f t="shared" si="2"/>
        <v>44931</v>
      </c>
      <c r="B80" s="50" t="s">
        <v>163</v>
      </c>
      <c r="C80" s="353"/>
      <c r="D80" s="353"/>
      <c r="E80" s="353"/>
      <c r="F80" s="353"/>
      <c r="G80" s="353"/>
      <c r="H80" s="353"/>
      <c r="I80" s="51"/>
      <c r="J80" s="51"/>
    </row>
    <row r="81" spans="1:10" x14ac:dyDescent="0.2">
      <c r="A81" s="49">
        <f t="shared" si="2"/>
        <v>44932</v>
      </c>
      <c r="B81" s="50" t="s">
        <v>164</v>
      </c>
      <c r="C81" s="353"/>
      <c r="D81" s="353"/>
      <c r="E81" s="353"/>
      <c r="F81" s="353"/>
      <c r="G81" s="353"/>
      <c r="H81" s="353"/>
      <c r="I81" s="51"/>
      <c r="J81" s="51"/>
    </row>
    <row r="82" spans="1:10" x14ac:dyDescent="0.2">
      <c r="A82" s="49">
        <f t="shared" si="2"/>
        <v>44933</v>
      </c>
      <c r="B82" s="50" t="s">
        <v>165</v>
      </c>
      <c r="C82" s="353"/>
      <c r="D82" s="353"/>
      <c r="E82" s="353"/>
      <c r="F82" s="353"/>
      <c r="G82" s="353"/>
      <c r="H82" s="353"/>
      <c r="I82" s="51"/>
      <c r="J82" s="51"/>
    </row>
    <row r="83" spans="1:10" x14ac:dyDescent="0.2">
      <c r="A83" s="61">
        <f t="shared" si="2"/>
        <v>44934</v>
      </c>
      <c r="B83" s="288" t="s">
        <v>166</v>
      </c>
      <c r="C83" s="429"/>
      <c r="D83" s="429"/>
      <c r="E83" s="429"/>
      <c r="F83" s="429"/>
      <c r="G83" s="429"/>
      <c r="H83" s="429"/>
      <c r="I83" s="63"/>
      <c r="J83" s="63"/>
    </row>
    <row r="84" spans="1:10" x14ac:dyDescent="0.2">
      <c r="A84" s="49">
        <f t="shared" si="2"/>
        <v>44935</v>
      </c>
      <c r="B84" s="50" t="s">
        <v>167</v>
      </c>
      <c r="C84" s="353"/>
      <c r="D84" s="353"/>
      <c r="E84" s="353"/>
      <c r="F84" s="353"/>
      <c r="G84" s="353"/>
      <c r="H84" s="353"/>
      <c r="I84" s="51"/>
      <c r="J84" s="51"/>
    </row>
    <row r="85" spans="1:10" x14ac:dyDescent="0.2">
      <c r="A85" s="49">
        <f t="shared" si="2"/>
        <v>44936</v>
      </c>
      <c r="B85" s="50" t="s">
        <v>161</v>
      </c>
      <c r="C85" s="353"/>
      <c r="D85" s="353"/>
      <c r="E85" s="353"/>
      <c r="F85" s="353"/>
      <c r="G85" s="353"/>
      <c r="H85" s="353"/>
      <c r="I85" s="51"/>
      <c r="J85" s="51"/>
    </row>
    <row r="86" spans="1:10" x14ac:dyDescent="0.2">
      <c r="A86" s="49">
        <f t="shared" si="2"/>
        <v>44937</v>
      </c>
      <c r="B86" s="50" t="s">
        <v>162</v>
      </c>
      <c r="C86" s="353"/>
      <c r="D86" s="353"/>
      <c r="E86" s="353"/>
      <c r="F86" s="353"/>
      <c r="G86" s="353"/>
      <c r="H86" s="353"/>
      <c r="I86" s="51"/>
      <c r="J86" s="51"/>
    </row>
    <row r="87" spans="1:10" x14ac:dyDescent="0.2">
      <c r="A87" s="49">
        <f t="shared" si="2"/>
        <v>44938</v>
      </c>
      <c r="B87" s="50" t="s">
        <v>163</v>
      </c>
      <c r="C87" s="353"/>
      <c r="D87" s="353"/>
      <c r="E87" s="353"/>
      <c r="F87" s="353"/>
      <c r="G87" s="353"/>
      <c r="H87" s="353"/>
      <c r="I87" s="51"/>
      <c r="J87" s="51"/>
    </row>
    <row r="88" spans="1:10" x14ac:dyDescent="0.2">
      <c r="A88" s="49">
        <f t="shared" si="2"/>
        <v>44939</v>
      </c>
      <c r="B88" s="50" t="s">
        <v>164</v>
      </c>
      <c r="C88" s="353"/>
      <c r="D88" s="353"/>
      <c r="E88" s="353"/>
      <c r="F88" s="353"/>
      <c r="G88" s="353"/>
      <c r="H88" s="353"/>
      <c r="I88" s="51"/>
      <c r="J88" s="51"/>
    </row>
    <row r="89" spans="1:10" x14ac:dyDescent="0.2">
      <c r="A89" s="49">
        <f t="shared" si="2"/>
        <v>44940</v>
      </c>
      <c r="B89" s="50" t="s">
        <v>165</v>
      </c>
      <c r="C89" s="353"/>
      <c r="D89" s="353"/>
      <c r="E89" s="353"/>
      <c r="F89" s="353"/>
      <c r="G89" s="353"/>
      <c r="H89" s="353"/>
      <c r="I89" s="51"/>
      <c r="J89" s="51"/>
    </row>
    <row r="90" spans="1:10" x14ac:dyDescent="0.2">
      <c r="A90" s="61">
        <f t="shared" si="2"/>
        <v>44941</v>
      </c>
      <c r="B90" s="288" t="s">
        <v>166</v>
      </c>
      <c r="C90" s="429"/>
      <c r="D90" s="429"/>
      <c r="E90" s="429"/>
      <c r="F90" s="429"/>
      <c r="G90" s="429"/>
      <c r="H90" s="429"/>
      <c r="I90" s="63"/>
      <c r="J90" s="63"/>
    </row>
    <row r="91" spans="1:10" x14ac:dyDescent="0.2">
      <c r="A91" s="49">
        <f t="shared" si="2"/>
        <v>44942</v>
      </c>
      <c r="B91" s="50" t="s">
        <v>167</v>
      </c>
      <c r="C91" s="353"/>
      <c r="D91" s="353"/>
      <c r="E91" s="353"/>
      <c r="F91" s="353"/>
      <c r="G91" s="353"/>
      <c r="H91" s="353"/>
      <c r="I91" s="51"/>
      <c r="J91" s="51"/>
    </row>
    <row r="92" spans="1:10" x14ac:dyDescent="0.2">
      <c r="A92" s="49">
        <f t="shared" si="2"/>
        <v>44943</v>
      </c>
      <c r="B92" s="50" t="s">
        <v>161</v>
      </c>
      <c r="C92" s="353"/>
      <c r="D92" s="353"/>
      <c r="E92" s="353"/>
      <c r="F92" s="353"/>
      <c r="G92" s="353"/>
      <c r="H92" s="353"/>
      <c r="I92" s="51"/>
      <c r="J92" s="51"/>
    </row>
    <row r="93" spans="1:10" x14ac:dyDescent="0.2">
      <c r="A93" s="49">
        <f t="shared" si="2"/>
        <v>44944</v>
      </c>
      <c r="B93" s="50" t="s">
        <v>162</v>
      </c>
      <c r="C93" s="353"/>
      <c r="D93" s="353"/>
      <c r="E93" s="353"/>
      <c r="F93" s="353"/>
      <c r="G93" s="353"/>
      <c r="H93" s="353"/>
      <c r="I93" s="51"/>
      <c r="J93" s="51"/>
    </row>
    <row r="94" spans="1:10" x14ac:dyDescent="0.2">
      <c r="A94" s="49">
        <f t="shared" si="2"/>
        <v>44945</v>
      </c>
      <c r="B94" s="50" t="s">
        <v>163</v>
      </c>
      <c r="C94" s="353"/>
      <c r="D94" s="353"/>
      <c r="E94" s="353"/>
      <c r="F94" s="353"/>
      <c r="G94" s="353"/>
      <c r="H94" s="353"/>
      <c r="I94" s="51"/>
      <c r="J94" s="51"/>
    </row>
    <row r="95" spans="1:10" x14ac:dyDescent="0.2">
      <c r="A95" s="49">
        <f t="shared" si="2"/>
        <v>44946</v>
      </c>
      <c r="B95" s="50" t="s">
        <v>164</v>
      </c>
      <c r="C95" s="353"/>
      <c r="D95" s="353"/>
      <c r="E95" s="353"/>
      <c r="F95" s="353"/>
      <c r="G95" s="353"/>
      <c r="H95" s="353"/>
      <c r="I95" s="51"/>
      <c r="J95" s="51"/>
    </row>
    <row r="96" spans="1:10" x14ac:dyDescent="0.2">
      <c r="A96" s="49">
        <f t="shared" si="2"/>
        <v>44947</v>
      </c>
      <c r="B96" s="50" t="s">
        <v>165</v>
      </c>
      <c r="C96" s="353"/>
      <c r="D96" s="353"/>
      <c r="E96" s="353"/>
      <c r="F96" s="353"/>
      <c r="G96" s="353"/>
      <c r="H96" s="353"/>
      <c r="I96" s="51"/>
      <c r="J96" s="51"/>
    </row>
    <row r="97" spans="1:21" x14ac:dyDescent="0.2">
      <c r="A97" s="61">
        <f t="shared" si="2"/>
        <v>44948</v>
      </c>
      <c r="B97" s="288" t="s">
        <v>166</v>
      </c>
      <c r="C97" s="429"/>
      <c r="D97" s="429"/>
      <c r="E97" s="429"/>
      <c r="F97" s="429"/>
      <c r="G97" s="429"/>
      <c r="H97" s="429"/>
      <c r="I97" s="63"/>
      <c r="J97" s="63"/>
    </row>
    <row r="98" spans="1:21" x14ac:dyDescent="0.2">
      <c r="A98" s="49">
        <f t="shared" si="2"/>
        <v>44949</v>
      </c>
      <c r="B98" s="50" t="s">
        <v>167</v>
      </c>
      <c r="C98" s="353"/>
      <c r="D98" s="353"/>
      <c r="E98" s="353"/>
      <c r="F98" s="353"/>
      <c r="G98" s="353"/>
      <c r="H98" s="353"/>
      <c r="I98" s="51"/>
      <c r="J98" s="51"/>
    </row>
    <row r="99" spans="1:21" x14ac:dyDescent="0.2">
      <c r="A99" s="49">
        <f t="shared" si="2"/>
        <v>44950</v>
      </c>
      <c r="B99" s="50" t="s">
        <v>161</v>
      </c>
      <c r="C99" s="353"/>
      <c r="D99" s="353"/>
      <c r="E99" s="353"/>
      <c r="F99" s="353"/>
      <c r="G99" s="353"/>
      <c r="H99" s="353"/>
      <c r="I99" s="51"/>
      <c r="J99" s="51"/>
    </row>
    <row r="100" spans="1:21" x14ac:dyDescent="0.2">
      <c r="A100" s="49">
        <f t="shared" si="2"/>
        <v>44951</v>
      </c>
      <c r="B100" s="50" t="s">
        <v>162</v>
      </c>
      <c r="C100" s="353"/>
      <c r="D100" s="353"/>
      <c r="E100" s="353"/>
      <c r="F100" s="353"/>
      <c r="G100" s="353"/>
      <c r="H100" s="353"/>
      <c r="I100" s="51"/>
      <c r="J100" s="51"/>
    </row>
    <row r="101" spans="1:21" x14ac:dyDescent="0.2">
      <c r="A101" s="49">
        <f t="shared" si="2"/>
        <v>44952</v>
      </c>
      <c r="B101" s="50" t="s">
        <v>163</v>
      </c>
      <c r="C101" s="353"/>
      <c r="D101" s="353"/>
      <c r="E101" s="353"/>
      <c r="F101" s="353"/>
      <c r="G101" s="353"/>
      <c r="H101" s="353"/>
      <c r="I101" s="51"/>
      <c r="J101" s="51"/>
    </row>
    <row r="102" spans="1:21" x14ac:dyDescent="0.2">
      <c r="A102" s="49">
        <f t="shared" si="2"/>
        <v>44953</v>
      </c>
      <c r="B102" s="50" t="s">
        <v>164</v>
      </c>
      <c r="C102" s="353"/>
      <c r="D102" s="353"/>
      <c r="E102" s="353"/>
      <c r="F102" s="353"/>
      <c r="G102" s="353"/>
      <c r="H102" s="353"/>
      <c r="I102" s="51"/>
      <c r="J102" s="51"/>
    </row>
    <row r="103" spans="1:21" x14ac:dyDescent="0.2">
      <c r="A103" s="49">
        <f t="shared" si="2"/>
        <v>44954</v>
      </c>
      <c r="B103" s="50" t="s">
        <v>165</v>
      </c>
      <c r="C103" s="353"/>
      <c r="D103" s="353"/>
      <c r="E103" s="353"/>
      <c r="F103" s="353"/>
      <c r="G103" s="353"/>
      <c r="H103" s="353"/>
      <c r="I103" s="51"/>
      <c r="J103" s="51"/>
    </row>
    <row r="104" spans="1:21" x14ac:dyDescent="0.2">
      <c r="A104" s="61">
        <f t="shared" si="2"/>
        <v>44955</v>
      </c>
      <c r="B104" s="288" t="s">
        <v>166</v>
      </c>
      <c r="C104" s="429"/>
      <c r="D104" s="429"/>
      <c r="E104" s="429"/>
      <c r="F104" s="429"/>
      <c r="G104" s="429"/>
      <c r="H104" s="429"/>
      <c r="I104" s="63"/>
      <c r="J104" s="63"/>
    </row>
    <row r="105" spans="1:21" x14ac:dyDescent="0.2">
      <c r="A105" s="49">
        <f t="shared" si="2"/>
        <v>44956</v>
      </c>
      <c r="B105" s="50" t="s">
        <v>167</v>
      </c>
      <c r="C105" s="353"/>
      <c r="D105" s="353"/>
      <c r="E105" s="353"/>
      <c r="F105" s="353"/>
      <c r="G105" s="353"/>
      <c r="H105" s="353"/>
      <c r="I105" s="51"/>
      <c r="J105" s="51"/>
    </row>
    <row r="106" spans="1:21" x14ac:dyDescent="0.2">
      <c r="A106" s="49">
        <f t="shared" si="2"/>
        <v>44957</v>
      </c>
      <c r="B106" s="50" t="s">
        <v>161</v>
      </c>
      <c r="C106" s="353"/>
      <c r="D106" s="353"/>
      <c r="E106" s="353"/>
      <c r="F106" s="353"/>
      <c r="G106" s="353"/>
      <c r="H106" s="353"/>
      <c r="I106" s="51"/>
      <c r="J106" s="51"/>
    </row>
    <row r="107" spans="1:21" x14ac:dyDescent="0.2">
      <c r="A107" s="32"/>
      <c r="I107" s="8"/>
      <c r="J107" s="8"/>
      <c r="R107" s="21"/>
      <c r="S107" s="21"/>
      <c r="T107" s="8"/>
      <c r="U107" s="8"/>
    </row>
    <row r="108" spans="1:21" x14ac:dyDescent="0.2">
      <c r="A108" s="367" t="s">
        <v>207</v>
      </c>
      <c r="B108" s="368"/>
      <c r="C108" s="368"/>
      <c r="D108" s="368"/>
      <c r="I108" s="8"/>
      <c r="J108" s="8"/>
      <c r="R108" s="21"/>
      <c r="S108" s="21"/>
      <c r="T108" s="8"/>
      <c r="U108" s="8"/>
    </row>
    <row r="109" spans="1:21" x14ac:dyDescent="0.2">
      <c r="A109" s="52">
        <f>COUNTIF($I$76:$I$109,B109)</f>
        <v>0</v>
      </c>
      <c r="B109" s="53" t="s">
        <v>208</v>
      </c>
      <c r="C109" s="370" t="s">
        <v>209</v>
      </c>
      <c r="D109" s="370"/>
      <c r="I109" s="8"/>
      <c r="J109" s="8"/>
      <c r="R109" s="21"/>
      <c r="S109" s="21"/>
      <c r="T109" s="8"/>
      <c r="U109" s="8"/>
    </row>
    <row r="110" spans="1:21" x14ac:dyDescent="0.2">
      <c r="A110" s="52">
        <f t="shared" ref="A110:A119" si="3">COUNTIF($I$76:$I$109,B110)</f>
        <v>0</v>
      </c>
      <c r="B110" s="53" t="s">
        <v>172</v>
      </c>
      <c r="C110" s="370" t="s">
        <v>210</v>
      </c>
      <c r="D110" s="370"/>
      <c r="I110" s="8"/>
      <c r="J110" s="8"/>
      <c r="R110" s="21"/>
      <c r="S110" s="21"/>
      <c r="T110" s="8"/>
      <c r="U110" s="8"/>
    </row>
    <row r="111" spans="1:21" x14ac:dyDescent="0.2">
      <c r="A111" s="52">
        <f t="shared" si="3"/>
        <v>0</v>
      </c>
      <c r="B111" s="53" t="s">
        <v>169</v>
      </c>
      <c r="C111" s="370" t="s">
        <v>211</v>
      </c>
      <c r="D111" s="370"/>
      <c r="I111" s="8"/>
      <c r="J111" s="8"/>
      <c r="R111" s="21"/>
      <c r="S111" s="21"/>
      <c r="T111" s="8"/>
      <c r="U111" s="8"/>
    </row>
    <row r="112" spans="1:21" x14ac:dyDescent="0.2">
      <c r="A112" s="52">
        <f t="shared" si="3"/>
        <v>0</v>
      </c>
      <c r="B112" s="53" t="s">
        <v>181</v>
      </c>
      <c r="C112" s="370" t="s">
        <v>212</v>
      </c>
      <c r="D112" s="370"/>
      <c r="I112" s="8"/>
      <c r="J112" s="8"/>
      <c r="R112" s="21"/>
      <c r="S112" s="21"/>
      <c r="T112" s="8"/>
      <c r="U112" s="8"/>
    </row>
    <row r="113" spans="1:21" x14ac:dyDescent="0.2">
      <c r="A113" s="52">
        <f t="shared" si="3"/>
        <v>0</v>
      </c>
      <c r="B113" s="53" t="s">
        <v>183</v>
      </c>
      <c r="C113" s="370" t="s">
        <v>213</v>
      </c>
      <c r="D113" s="370"/>
      <c r="I113" s="8"/>
      <c r="J113" s="8"/>
      <c r="R113" s="21"/>
      <c r="S113" s="21"/>
      <c r="T113" s="8"/>
      <c r="U113" s="8"/>
    </row>
    <row r="114" spans="1:21" x14ac:dyDescent="0.2">
      <c r="A114" s="52">
        <f t="shared" si="3"/>
        <v>0</v>
      </c>
      <c r="B114" s="53" t="s">
        <v>214</v>
      </c>
      <c r="C114" s="370" t="s">
        <v>215</v>
      </c>
      <c r="D114" s="370"/>
      <c r="I114" s="8"/>
      <c r="J114" s="8"/>
      <c r="R114" s="21"/>
      <c r="S114" s="21"/>
      <c r="T114" s="8"/>
      <c r="U114" s="8"/>
    </row>
    <row r="115" spans="1:21" x14ac:dyDescent="0.2">
      <c r="A115" s="52">
        <f t="shared" si="3"/>
        <v>0</v>
      </c>
      <c r="B115" s="53" t="s">
        <v>216</v>
      </c>
      <c r="C115" s="370" t="s">
        <v>217</v>
      </c>
      <c r="D115" s="370"/>
      <c r="I115" s="8"/>
      <c r="J115" s="8"/>
      <c r="R115" s="21"/>
      <c r="S115" s="21"/>
      <c r="T115" s="8"/>
      <c r="U115" s="8"/>
    </row>
    <row r="116" spans="1:21" x14ac:dyDescent="0.2">
      <c r="A116" s="52">
        <f t="shared" si="3"/>
        <v>0</v>
      </c>
      <c r="B116" s="53" t="s">
        <v>218</v>
      </c>
      <c r="C116" s="371" t="s">
        <v>219</v>
      </c>
      <c r="D116" s="372"/>
      <c r="I116" s="8"/>
      <c r="J116" s="8"/>
      <c r="R116" s="21"/>
      <c r="S116" s="21"/>
      <c r="T116" s="8"/>
      <c r="U116" s="8"/>
    </row>
    <row r="117" spans="1:21" x14ac:dyDescent="0.2">
      <c r="A117" s="52">
        <f t="shared" si="3"/>
        <v>0</v>
      </c>
      <c r="B117" s="53" t="s">
        <v>220</v>
      </c>
      <c r="C117" s="370" t="s">
        <v>221</v>
      </c>
      <c r="D117" s="370"/>
      <c r="I117" s="8"/>
      <c r="J117" s="8"/>
    </row>
    <row r="118" spans="1:21" x14ac:dyDescent="0.2">
      <c r="A118" s="52">
        <f>COUNTIF($I$76:$I$109,B118)</f>
        <v>0</v>
      </c>
      <c r="B118" s="53" t="s">
        <v>178</v>
      </c>
      <c r="C118" s="370" t="s">
        <v>222</v>
      </c>
      <c r="D118" s="370"/>
      <c r="I118" s="8"/>
      <c r="J118" s="8"/>
    </row>
    <row r="119" spans="1:21" x14ac:dyDescent="0.2">
      <c r="A119" s="52">
        <f t="shared" si="3"/>
        <v>0</v>
      </c>
      <c r="B119" s="53" t="s">
        <v>223</v>
      </c>
      <c r="C119" s="370" t="s">
        <v>224</v>
      </c>
      <c r="D119" s="370"/>
      <c r="I119" s="8"/>
      <c r="J119" s="8"/>
    </row>
    <row r="120" spans="1:21" x14ac:dyDescent="0.2">
      <c r="A120" s="54"/>
      <c r="B120" s="55"/>
      <c r="C120" s="56"/>
      <c r="D120" s="56"/>
      <c r="I120" s="8"/>
      <c r="J120" s="8"/>
    </row>
    <row r="121" spans="1:21" x14ac:dyDescent="0.2">
      <c r="A121" s="54"/>
      <c r="B121" s="55"/>
      <c r="C121" s="56"/>
      <c r="D121" s="56"/>
      <c r="I121" s="8"/>
      <c r="J121" s="8"/>
    </row>
    <row r="122" spans="1:21" x14ac:dyDescent="0.2">
      <c r="A122" s="54"/>
      <c r="B122" s="55"/>
      <c r="C122" s="56"/>
      <c r="D122" s="56"/>
      <c r="I122" s="8"/>
      <c r="J122" s="8"/>
    </row>
    <row r="123" spans="1:21" x14ac:dyDescent="0.2">
      <c r="A123" s="54"/>
      <c r="B123" s="55"/>
      <c r="C123" s="56"/>
      <c r="D123" s="56"/>
      <c r="I123" s="8"/>
      <c r="J123" s="8"/>
    </row>
    <row r="124" spans="1:21" x14ac:dyDescent="0.2">
      <c r="A124" s="32"/>
      <c r="I124" s="8"/>
      <c r="J124" s="8"/>
    </row>
    <row r="125" spans="1:21" x14ac:dyDescent="0.2">
      <c r="A125" s="367" t="s">
        <v>225</v>
      </c>
      <c r="B125" s="368"/>
      <c r="C125" s="368"/>
      <c r="D125" s="368"/>
      <c r="I125" s="8"/>
      <c r="J125" s="8"/>
    </row>
    <row r="126" spans="1:21" x14ac:dyDescent="0.2">
      <c r="A126" s="52">
        <f>COUNTIF($J$76:$J$109,B126)</f>
        <v>0</v>
      </c>
      <c r="B126" s="52" t="s">
        <v>170</v>
      </c>
      <c r="C126" s="356" t="s">
        <v>226</v>
      </c>
      <c r="D126" s="356"/>
      <c r="I126" s="8"/>
      <c r="J126" s="8"/>
    </row>
    <row r="127" spans="1:21" x14ac:dyDescent="0.2">
      <c r="A127" s="52">
        <f t="shared" ref="A127:A138" si="4">COUNTIF($J$76:$J$109,B127)</f>
        <v>0</v>
      </c>
      <c r="B127" s="52" t="s">
        <v>191</v>
      </c>
      <c r="C127" s="356" t="s">
        <v>227</v>
      </c>
      <c r="D127" s="356"/>
      <c r="I127" s="8"/>
      <c r="J127" s="8"/>
    </row>
    <row r="128" spans="1:21" x14ac:dyDescent="0.2">
      <c r="A128" s="52">
        <f t="shared" si="4"/>
        <v>0</v>
      </c>
      <c r="B128" s="52" t="s">
        <v>179</v>
      </c>
      <c r="C128" s="356" t="s">
        <v>228</v>
      </c>
      <c r="D128" s="356"/>
      <c r="I128" s="8"/>
      <c r="J128" s="8"/>
    </row>
    <row r="129" spans="1:10" x14ac:dyDescent="0.2">
      <c r="A129" s="52">
        <f t="shared" si="4"/>
        <v>0</v>
      </c>
      <c r="B129" s="52" t="s">
        <v>229</v>
      </c>
      <c r="C129" s="356" t="s">
        <v>230</v>
      </c>
      <c r="D129" s="356"/>
      <c r="I129" s="8"/>
      <c r="J129" s="8"/>
    </row>
    <row r="130" spans="1:10" x14ac:dyDescent="0.2">
      <c r="A130" s="52">
        <f t="shared" si="4"/>
        <v>0</v>
      </c>
      <c r="B130" s="52" t="s">
        <v>174</v>
      </c>
      <c r="C130" s="356" t="s">
        <v>231</v>
      </c>
      <c r="D130" s="356"/>
      <c r="I130" s="8"/>
      <c r="J130" s="8"/>
    </row>
    <row r="131" spans="1:10" x14ac:dyDescent="0.2">
      <c r="A131" s="52">
        <f t="shared" si="4"/>
        <v>0</v>
      </c>
      <c r="B131" s="52" t="s">
        <v>232</v>
      </c>
      <c r="C131" s="356" t="s">
        <v>233</v>
      </c>
      <c r="D131" s="356"/>
      <c r="I131" s="8"/>
      <c r="J131" s="8"/>
    </row>
    <row r="132" spans="1:10" x14ac:dyDescent="0.2">
      <c r="A132" s="52">
        <f t="shared" si="4"/>
        <v>0</v>
      </c>
      <c r="B132" s="52" t="s">
        <v>187</v>
      </c>
      <c r="C132" s="356" t="s">
        <v>234</v>
      </c>
      <c r="D132" s="356"/>
      <c r="I132" s="8"/>
      <c r="J132" s="8"/>
    </row>
    <row r="133" spans="1:10" x14ac:dyDescent="0.2">
      <c r="A133" s="52">
        <f t="shared" si="4"/>
        <v>0</v>
      </c>
      <c r="B133" s="52" t="s">
        <v>235</v>
      </c>
      <c r="C133" s="356" t="s">
        <v>236</v>
      </c>
      <c r="D133" s="356"/>
      <c r="I133" s="8"/>
      <c r="J133" s="8"/>
    </row>
    <row r="134" spans="1:10" x14ac:dyDescent="0.2">
      <c r="A134" s="52">
        <f t="shared" si="4"/>
        <v>0</v>
      </c>
      <c r="B134" s="52" t="s">
        <v>185</v>
      </c>
      <c r="C134" s="356" t="s">
        <v>237</v>
      </c>
      <c r="D134" s="356"/>
      <c r="I134" s="8"/>
      <c r="J134" s="8"/>
    </row>
    <row r="135" spans="1:10" x14ac:dyDescent="0.2">
      <c r="A135" s="52">
        <f t="shared" si="4"/>
        <v>0</v>
      </c>
      <c r="B135" s="52" t="s">
        <v>238</v>
      </c>
      <c r="C135" s="356" t="s">
        <v>239</v>
      </c>
      <c r="D135" s="356"/>
      <c r="I135" s="8"/>
      <c r="J135" s="8"/>
    </row>
    <row r="136" spans="1:10" x14ac:dyDescent="0.2">
      <c r="A136" s="52">
        <f>COUNTIF($J$76:$J$109,B136)</f>
        <v>0</v>
      </c>
      <c r="B136" s="52" t="s">
        <v>240</v>
      </c>
      <c r="C136" s="356" t="s">
        <v>241</v>
      </c>
      <c r="D136" s="356"/>
      <c r="I136" s="8"/>
      <c r="J136" s="8"/>
    </row>
    <row r="137" spans="1:10" x14ac:dyDescent="0.2">
      <c r="A137" s="52">
        <f>COUNTIF($J$76:$J$109,B137)</f>
        <v>0</v>
      </c>
      <c r="B137" s="52" t="s">
        <v>242</v>
      </c>
      <c r="C137" s="356" t="s">
        <v>243</v>
      </c>
      <c r="D137" s="356"/>
      <c r="I137" s="8"/>
      <c r="J137" s="8"/>
    </row>
    <row r="138" spans="1:10" x14ac:dyDescent="0.2">
      <c r="A138" s="52">
        <f t="shared" si="4"/>
        <v>0</v>
      </c>
      <c r="B138" s="52" t="s">
        <v>244</v>
      </c>
      <c r="C138" s="356" t="s">
        <v>245</v>
      </c>
      <c r="D138" s="356"/>
      <c r="I138" s="8"/>
      <c r="J138" s="8"/>
    </row>
    <row r="139" spans="1:10" x14ac:dyDescent="0.2">
      <c r="A139" s="32"/>
      <c r="I139" s="8"/>
      <c r="J139" s="8"/>
    </row>
    <row r="140" spans="1:10" x14ac:dyDescent="0.2">
      <c r="A140" s="32"/>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ht="19" x14ac:dyDescent="0.2">
      <c r="A145" s="32"/>
      <c r="C145" s="349" t="s">
        <v>86</v>
      </c>
      <c r="D145" s="350"/>
      <c r="E145" s="350"/>
      <c r="F145" s="350"/>
      <c r="G145" s="351"/>
      <c r="I145" s="8"/>
      <c r="J145" s="8"/>
    </row>
    <row r="146" spans="1:10" ht="32" x14ac:dyDescent="0.2">
      <c r="A146" s="32"/>
      <c r="C146" s="68" t="s">
        <v>87</v>
      </c>
      <c r="D146" s="64" t="s">
        <v>88</v>
      </c>
      <c r="E146" s="64" t="s">
        <v>89</v>
      </c>
      <c r="F146" s="64" t="s">
        <v>90</v>
      </c>
      <c r="G146" s="66" t="s">
        <v>91</v>
      </c>
      <c r="I146" s="8"/>
      <c r="J146" s="8"/>
    </row>
    <row r="147" spans="1:10" x14ac:dyDescent="0.2">
      <c r="A147" s="32"/>
      <c r="C147" s="65"/>
      <c r="D147" s="65"/>
      <c r="E147" s="65"/>
      <c r="F147" s="65"/>
      <c r="G147" s="67">
        <f>SUM(B147:F147)</f>
        <v>0</v>
      </c>
      <c r="I147" s="8"/>
      <c r="J147" s="8"/>
    </row>
    <row r="148" spans="1:10" x14ac:dyDescent="0.2">
      <c r="A148" s="32"/>
      <c r="G148"/>
      <c r="I148" s="8"/>
      <c r="J148" s="8"/>
    </row>
    <row r="149" spans="1:10" x14ac:dyDescent="0.2">
      <c r="A149" s="32"/>
      <c r="I149" s="8"/>
      <c r="J149" s="8"/>
    </row>
    <row r="150" spans="1:10" x14ac:dyDescent="0.2">
      <c r="A150" s="32"/>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row>
    <row r="224" spans="1:10" x14ac:dyDescent="0.2">
      <c r="A224" s="32"/>
    </row>
    <row r="225" spans="1:1" x14ac:dyDescent="0.2">
      <c r="A225" s="32"/>
    </row>
    <row r="226" spans="1:1" x14ac:dyDescent="0.2">
      <c r="A226" s="32"/>
    </row>
    <row r="227" spans="1:1" x14ac:dyDescent="0.2">
      <c r="A227" s="32"/>
    </row>
    <row r="228" spans="1:1" x14ac:dyDescent="0.2">
      <c r="A228" s="32"/>
    </row>
    <row r="229" spans="1:1" x14ac:dyDescent="0.2">
      <c r="A229" s="32"/>
    </row>
    <row r="230" spans="1:1" x14ac:dyDescent="0.2">
      <c r="A230" s="32"/>
    </row>
    <row r="231" spans="1:1" x14ac:dyDescent="0.2">
      <c r="A231" s="32"/>
    </row>
    <row r="232" spans="1:1" x14ac:dyDescent="0.2">
      <c r="A232" s="32"/>
    </row>
    <row r="233" spans="1:1" x14ac:dyDescent="0.2">
      <c r="A233" s="32"/>
    </row>
    <row r="234" spans="1:1" x14ac:dyDescent="0.2">
      <c r="A234" s="32"/>
    </row>
    <row r="235" spans="1:1" x14ac:dyDescent="0.2">
      <c r="A235" s="32"/>
    </row>
    <row r="236" spans="1:1" x14ac:dyDescent="0.2">
      <c r="A236" s="32"/>
    </row>
    <row r="237" spans="1:1" x14ac:dyDescent="0.2">
      <c r="A237" s="32"/>
    </row>
    <row r="238" spans="1:1" x14ac:dyDescent="0.2">
      <c r="A238" s="32"/>
    </row>
    <row r="239" spans="1:1" x14ac:dyDescent="0.2">
      <c r="A239" s="32"/>
    </row>
    <row r="240" spans="1:1" x14ac:dyDescent="0.2">
      <c r="A240" s="32"/>
    </row>
    <row r="241" spans="1:1" x14ac:dyDescent="0.2">
      <c r="A241" s="32"/>
    </row>
    <row r="242" spans="1:1" x14ac:dyDescent="0.2">
      <c r="A242" s="32"/>
    </row>
    <row r="243" spans="1:1" x14ac:dyDescent="0.2">
      <c r="A243" s="32"/>
    </row>
    <row r="244" spans="1:1" x14ac:dyDescent="0.2">
      <c r="A244" s="32"/>
    </row>
    <row r="245" spans="1:1" x14ac:dyDescent="0.2">
      <c r="A245" s="32"/>
    </row>
    <row r="246" spans="1:1" x14ac:dyDescent="0.2">
      <c r="A246" s="32"/>
    </row>
    <row r="247" spans="1:1" x14ac:dyDescent="0.2">
      <c r="A247" s="32"/>
    </row>
    <row r="248" spans="1:1" x14ac:dyDescent="0.2">
      <c r="A248" s="32"/>
    </row>
  </sheetData>
  <autoFilter ref="A1:AH1" xr:uid="{00000000-0001-0000-0800-000000000000}"/>
  <mergeCells count="67">
    <mergeCell ref="AC63:AE63"/>
    <mergeCell ref="AF63:AH63"/>
    <mergeCell ref="C78:H78"/>
    <mergeCell ref="C63:D63"/>
    <mergeCell ref="T63:V63"/>
    <mergeCell ref="W63:Y63"/>
    <mergeCell ref="Z63:AB63"/>
    <mergeCell ref="M64:O64"/>
    <mergeCell ref="H65:I65"/>
    <mergeCell ref="A75:C75"/>
    <mergeCell ref="C76:H76"/>
    <mergeCell ref="C77:H77"/>
    <mergeCell ref="C90:H90"/>
    <mergeCell ref="C79:H79"/>
    <mergeCell ref="C80:H80"/>
    <mergeCell ref="C81:H81"/>
    <mergeCell ref="C82:H82"/>
    <mergeCell ref="C83:H83"/>
    <mergeCell ref="C84:H84"/>
    <mergeCell ref="C85:H85"/>
    <mergeCell ref="C86:H86"/>
    <mergeCell ref="C87:H87"/>
    <mergeCell ref="C88:H88"/>
    <mergeCell ref="C89:H89"/>
    <mergeCell ref="C102:H102"/>
    <mergeCell ref="C91:H91"/>
    <mergeCell ref="C92:H92"/>
    <mergeCell ref="C93:H93"/>
    <mergeCell ref="C94:H94"/>
    <mergeCell ref="C95:H95"/>
    <mergeCell ref="C96:H96"/>
    <mergeCell ref="C97:H97"/>
    <mergeCell ref="C98:H98"/>
    <mergeCell ref="C99:H99"/>
    <mergeCell ref="C100:H100"/>
    <mergeCell ref="C101:H101"/>
    <mergeCell ref="C115:D115"/>
    <mergeCell ref="C103:H103"/>
    <mergeCell ref="C104:H104"/>
    <mergeCell ref="C105:H105"/>
    <mergeCell ref="C106:H106"/>
    <mergeCell ref="A108:D108"/>
    <mergeCell ref="C109:D109"/>
    <mergeCell ref="C110:D110"/>
    <mergeCell ref="C111:D111"/>
    <mergeCell ref="C112:D112"/>
    <mergeCell ref="C113:D113"/>
    <mergeCell ref="C114:D114"/>
    <mergeCell ref="C132:D132"/>
    <mergeCell ref="C116:D116"/>
    <mergeCell ref="C117:D117"/>
    <mergeCell ref="C118:D118"/>
    <mergeCell ref="C119:D119"/>
    <mergeCell ref="A125:D125"/>
    <mergeCell ref="C126:D126"/>
    <mergeCell ref="C127:D127"/>
    <mergeCell ref="C128:D128"/>
    <mergeCell ref="C129:D129"/>
    <mergeCell ref="C130:D130"/>
    <mergeCell ref="C131:D131"/>
    <mergeCell ref="C145:G145"/>
    <mergeCell ref="C133:D133"/>
    <mergeCell ref="C134:D134"/>
    <mergeCell ref="C135:D135"/>
    <mergeCell ref="C136:D136"/>
    <mergeCell ref="C137:D137"/>
    <mergeCell ref="C138:D138"/>
  </mergeCells>
  <dataValidations count="2">
    <dataValidation type="list" allowBlank="1" showInputMessage="1" showErrorMessage="1" sqref="I76:I106" xr:uid="{6DD54A38-9569-48E4-BDA1-DCEE34147118}">
      <formula1>$B$109:$B$119</formula1>
    </dataValidation>
    <dataValidation type="list" allowBlank="1" showInputMessage="1" showErrorMessage="1" sqref="J76:J106" xr:uid="{EB253B44-743E-4C71-8D1E-4F43754C1D55}">
      <formula1>$B$125:$B$138</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45799-F540-46FE-A874-FF90260B45D7}">
  <sheetPr codeName="Hoja13"/>
  <dimension ref="A1:AP248"/>
  <sheetViews>
    <sheetView zoomScale="85" zoomScaleNormal="85" workbookViewId="0">
      <pane xSplit="11" ySplit="1" topLeftCell="L2"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13.5" style="1" customWidth="1"/>
    <col min="23" max="23" width="4.6640625" style="1" customWidth="1"/>
    <col min="24" max="24" width="13.5" style="1" customWidth="1"/>
    <col min="25" max="25" width="4.6640625" style="1" customWidth="1"/>
    <col min="26" max="26" width="13.5" style="1" customWidth="1"/>
    <col min="27" max="27" width="4.6640625" style="1" customWidth="1"/>
    <col min="28" max="28" width="13.5" style="1" customWidth="1"/>
    <col min="29" max="29" width="13" style="1" bestFit="1" customWidth="1"/>
    <col min="30" max="30" width="4.6640625" style="48" customWidth="1"/>
    <col min="31" max="31" width="11.5" style="48" bestFit="1" customWidth="1"/>
    <col min="32" max="32" width="16.6640625" style="48" bestFit="1" customWidth="1"/>
    <col min="33" max="33" width="4.6640625" style="1" customWidth="1"/>
    <col min="34" max="34" width="11.5" style="1" bestFit="1" customWidth="1"/>
    <col min="35" max="38" width="11.5" style="1"/>
    <col min="39" max="39" width="15.5" style="1" bestFit="1" customWidth="1"/>
    <col min="40" max="16384" width="11.5" style="1"/>
  </cols>
  <sheetData>
    <row r="1" spans="1:42"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125</v>
      </c>
      <c r="AO1" s="304" t="s">
        <v>255</v>
      </c>
      <c r="AP1" s="304" t="s">
        <v>257</v>
      </c>
    </row>
    <row r="2" spans="1:42" s="48" customFormat="1" x14ac:dyDescent="0.2">
      <c r="A2" s="209"/>
      <c r="B2" s="8"/>
      <c r="C2" s="8"/>
      <c r="D2" s="8"/>
      <c r="E2" s="8"/>
      <c r="F2" s="8"/>
      <c r="G2" s="8"/>
      <c r="H2" s="8"/>
      <c r="I2" s="8"/>
      <c r="J2" s="37"/>
      <c r="K2" s="19">
        <v>0</v>
      </c>
      <c r="L2" s="198" t="s">
        <v>128</v>
      </c>
      <c r="M2" s="198" t="s">
        <v>128</v>
      </c>
      <c r="N2" s="197" t="s">
        <v>128</v>
      </c>
      <c r="O2" s="195">
        <v>1</v>
      </c>
      <c r="P2" s="45" t="s">
        <v>128</v>
      </c>
      <c r="Q2" s="45" t="s">
        <v>128</v>
      </c>
      <c r="R2" s="45" t="s">
        <v>128</v>
      </c>
      <c r="S2" s="45" t="s">
        <v>128</v>
      </c>
      <c r="T2" s="45" t="s">
        <v>128</v>
      </c>
      <c r="U2" s="45" t="s">
        <v>128</v>
      </c>
      <c r="V2" s="45" t="s">
        <v>128</v>
      </c>
      <c r="W2" s="45" t="s">
        <v>128</v>
      </c>
      <c r="X2" s="45" t="s">
        <v>128</v>
      </c>
      <c r="Y2" s="45" t="s">
        <v>128</v>
      </c>
      <c r="Z2" s="45" t="s">
        <v>128</v>
      </c>
      <c r="AA2" s="45" t="s">
        <v>128</v>
      </c>
      <c r="AB2" s="45" t="s">
        <v>128</v>
      </c>
      <c r="AC2" s="107" t="s">
        <v>128</v>
      </c>
      <c r="AD2" s="107" t="s">
        <v>128</v>
      </c>
      <c r="AE2" s="107" t="s">
        <v>128</v>
      </c>
      <c r="AF2" s="107" t="s">
        <v>128</v>
      </c>
      <c r="AG2" s="107" t="s">
        <v>128</v>
      </c>
      <c r="AH2" s="107" t="s">
        <v>128</v>
      </c>
      <c r="AI2" s="228"/>
      <c r="AJ2" s="228"/>
      <c r="AK2" s="228"/>
      <c r="AL2" s="228"/>
      <c r="AM2" s="228"/>
      <c r="AN2" s="228"/>
      <c r="AO2" s="140"/>
      <c r="AP2" s="140"/>
    </row>
    <row r="3" spans="1:42" s="48" customFormat="1" x14ac:dyDescent="0.2">
      <c r="A3" s="22"/>
      <c r="B3" s="22"/>
      <c r="C3" s="22"/>
      <c r="D3" s="22"/>
      <c r="E3" s="22"/>
      <c r="F3" s="22"/>
      <c r="G3" s="22"/>
      <c r="H3" s="22"/>
      <c r="I3" s="22"/>
      <c r="J3" s="36"/>
      <c r="K3" s="19">
        <v>0</v>
      </c>
      <c r="L3" s="198" t="s">
        <v>128</v>
      </c>
      <c r="M3" s="198" t="s">
        <v>128</v>
      </c>
      <c r="N3" s="197" t="s">
        <v>128</v>
      </c>
      <c r="O3" s="195">
        <v>1</v>
      </c>
      <c r="P3" s="45" t="s">
        <v>128</v>
      </c>
      <c r="Q3" s="45" t="s">
        <v>128</v>
      </c>
      <c r="R3" s="45" t="s">
        <v>128</v>
      </c>
      <c r="S3" s="45" t="s">
        <v>128</v>
      </c>
      <c r="T3" s="45" t="s">
        <v>128</v>
      </c>
      <c r="U3" s="45" t="s">
        <v>128</v>
      </c>
      <c r="V3" s="45" t="s">
        <v>128</v>
      </c>
      <c r="W3" s="45" t="s">
        <v>128</v>
      </c>
      <c r="X3" s="45" t="s">
        <v>128</v>
      </c>
      <c r="Y3" s="45" t="s">
        <v>128</v>
      </c>
      <c r="Z3" s="45" t="s">
        <v>128</v>
      </c>
      <c r="AA3" s="45" t="s">
        <v>128</v>
      </c>
      <c r="AB3" s="45" t="s">
        <v>128</v>
      </c>
      <c r="AC3" s="107" t="s">
        <v>128</v>
      </c>
      <c r="AD3" s="107" t="s">
        <v>128</v>
      </c>
      <c r="AE3" s="107" t="s">
        <v>128</v>
      </c>
      <c r="AF3" s="107" t="s">
        <v>128</v>
      </c>
      <c r="AG3" s="107" t="s">
        <v>128</v>
      </c>
      <c r="AH3" s="107" t="s">
        <v>128</v>
      </c>
      <c r="AI3" s="228"/>
      <c r="AJ3" s="228"/>
      <c r="AK3" s="228"/>
      <c r="AL3" s="228"/>
      <c r="AM3" s="228"/>
      <c r="AN3" s="228"/>
      <c r="AO3" s="140"/>
      <c r="AP3" s="140"/>
    </row>
    <row r="4" spans="1:42" s="48" customFormat="1" x14ac:dyDescent="0.2">
      <c r="A4" s="209"/>
      <c r="B4" s="8"/>
      <c r="C4" s="8"/>
      <c r="D4" s="8"/>
      <c r="E4" s="8"/>
      <c r="F4" s="8"/>
      <c r="G4" s="8"/>
      <c r="H4" s="8"/>
      <c r="I4" s="8"/>
      <c r="J4" s="37"/>
      <c r="K4" s="19">
        <v>0</v>
      </c>
      <c r="L4" s="198" t="s">
        <v>128</v>
      </c>
      <c r="M4" s="198" t="s">
        <v>128</v>
      </c>
      <c r="N4" s="197" t="s">
        <v>128</v>
      </c>
      <c r="O4" s="195">
        <v>1</v>
      </c>
      <c r="P4" s="45" t="s">
        <v>128</v>
      </c>
      <c r="Q4" s="45" t="s">
        <v>128</v>
      </c>
      <c r="R4" s="45" t="s">
        <v>128</v>
      </c>
      <c r="S4" s="45" t="s">
        <v>128</v>
      </c>
      <c r="T4" s="45" t="s">
        <v>128</v>
      </c>
      <c r="U4" s="45" t="s">
        <v>128</v>
      </c>
      <c r="V4" s="45" t="s">
        <v>128</v>
      </c>
      <c r="W4" s="45" t="s">
        <v>128</v>
      </c>
      <c r="X4" s="45" t="s">
        <v>128</v>
      </c>
      <c r="Y4" s="45" t="s">
        <v>128</v>
      </c>
      <c r="Z4" s="45" t="s">
        <v>128</v>
      </c>
      <c r="AA4" s="45" t="s">
        <v>128</v>
      </c>
      <c r="AB4" s="45" t="s">
        <v>128</v>
      </c>
      <c r="AC4" s="107" t="s">
        <v>128</v>
      </c>
      <c r="AD4" s="107" t="s">
        <v>128</v>
      </c>
      <c r="AE4" s="107" t="s">
        <v>128</v>
      </c>
      <c r="AF4" s="107" t="s">
        <v>128</v>
      </c>
      <c r="AG4" s="107" t="s">
        <v>128</v>
      </c>
      <c r="AH4" s="107" t="s">
        <v>128</v>
      </c>
      <c r="AI4" s="228"/>
      <c r="AJ4" s="228"/>
      <c r="AK4" s="228"/>
      <c r="AL4" s="228"/>
      <c r="AM4" s="228"/>
      <c r="AN4" s="228"/>
      <c r="AO4" s="140"/>
      <c r="AP4" s="140"/>
    </row>
    <row r="5" spans="1:42" s="48" customFormat="1" x14ac:dyDescent="0.2">
      <c r="A5" s="22"/>
      <c r="B5" s="22"/>
      <c r="C5" s="22"/>
      <c r="D5" s="22"/>
      <c r="E5" s="22"/>
      <c r="F5" s="22"/>
      <c r="G5" s="22"/>
      <c r="H5" s="22"/>
      <c r="I5" s="22"/>
      <c r="J5" s="36"/>
      <c r="K5" s="19">
        <v>0</v>
      </c>
      <c r="L5" s="198" t="s">
        <v>128</v>
      </c>
      <c r="M5" s="198" t="s">
        <v>128</v>
      </c>
      <c r="N5" s="197" t="s">
        <v>128</v>
      </c>
      <c r="O5" s="195">
        <v>1</v>
      </c>
      <c r="P5" s="45" t="s">
        <v>128</v>
      </c>
      <c r="Q5" s="45" t="s">
        <v>128</v>
      </c>
      <c r="R5" s="45" t="s">
        <v>128</v>
      </c>
      <c r="S5" s="45" t="s">
        <v>128</v>
      </c>
      <c r="T5" s="45" t="s">
        <v>128</v>
      </c>
      <c r="U5" s="45" t="s">
        <v>128</v>
      </c>
      <c r="V5" s="45" t="s">
        <v>128</v>
      </c>
      <c r="W5" s="45" t="s">
        <v>128</v>
      </c>
      <c r="X5" s="45" t="s">
        <v>128</v>
      </c>
      <c r="Y5" s="45" t="s">
        <v>128</v>
      </c>
      <c r="Z5" s="45" t="s">
        <v>128</v>
      </c>
      <c r="AA5" s="45" t="s">
        <v>128</v>
      </c>
      <c r="AB5" s="45" t="s">
        <v>128</v>
      </c>
      <c r="AC5" s="107" t="s">
        <v>128</v>
      </c>
      <c r="AD5" s="107" t="s">
        <v>128</v>
      </c>
      <c r="AE5" s="107" t="s">
        <v>128</v>
      </c>
      <c r="AF5" s="107" t="s">
        <v>128</v>
      </c>
      <c r="AG5" s="107" t="s">
        <v>128</v>
      </c>
      <c r="AH5" s="107" t="s">
        <v>128</v>
      </c>
      <c r="AI5" s="228"/>
      <c r="AJ5" s="228"/>
      <c r="AK5" s="228"/>
      <c r="AL5" s="228"/>
      <c r="AM5" s="228"/>
      <c r="AN5" s="228"/>
      <c r="AO5" s="140"/>
      <c r="AP5" s="140"/>
    </row>
    <row r="6" spans="1:42" s="48" customFormat="1" x14ac:dyDescent="0.2">
      <c r="A6" s="209"/>
      <c r="B6" s="8"/>
      <c r="C6" s="8"/>
      <c r="D6" s="8"/>
      <c r="E6" s="8"/>
      <c r="F6" s="8"/>
      <c r="G6" s="8"/>
      <c r="H6" s="8"/>
      <c r="I6" s="8"/>
      <c r="J6" s="37"/>
      <c r="K6" s="19">
        <v>0</v>
      </c>
      <c r="L6" s="198" t="s">
        <v>128</v>
      </c>
      <c r="M6" s="198" t="s">
        <v>128</v>
      </c>
      <c r="N6" s="197" t="s">
        <v>128</v>
      </c>
      <c r="O6" s="195">
        <v>1</v>
      </c>
      <c r="P6" s="45" t="s">
        <v>128</v>
      </c>
      <c r="Q6" s="45" t="s">
        <v>128</v>
      </c>
      <c r="R6" s="45" t="s">
        <v>128</v>
      </c>
      <c r="S6" s="45" t="s">
        <v>128</v>
      </c>
      <c r="T6" s="45" t="s">
        <v>128</v>
      </c>
      <c r="U6" s="45" t="s">
        <v>128</v>
      </c>
      <c r="V6" s="45" t="s">
        <v>128</v>
      </c>
      <c r="W6" s="45" t="s">
        <v>128</v>
      </c>
      <c r="X6" s="45" t="s">
        <v>128</v>
      </c>
      <c r="Y6" s="45" t="s">
        <v>128</v>
      </c>
      <c r="Z6" s="45" t="s">
        <v>128</v>
      </c>
      <c r="AA6" s="45" t="s">
        <v>128</v>
      </c>
      <c r="AB6" s="45" t="s">
        <v>128</v>
      </c>
      <c r="AC6" s="107" t="s">
        <v>128</v>
      </c>
      <c r="AD6" s="107" t="s">
        <v>128</v>
      </c>
      <c r="AE6" s="107" t="s">
        <v>128</v>
      </c>
      <c r="AF6" s="107" t="s">
        <v>128</v>
      </c>
      <c r="AG6" s="107" t="s">
        <v>128</v>
      </c>
      <c r="AH6" s="107" t="s">
        <v>128</v>
      </c>
      <c r="AI6" s="228"/>
      <c r="AJ6" s="228"/>
      <c r="AK6" s="228"/>
      <c r="AL6" s="228"/>
      <c r="AM6" s="228"/>
      <c r="AN6" s="228"/>
      <c r="AO6" s="140"/>
      <c r="AP6" s="140"/>
    </row>
    <row r="7" spans="1:42" s="48" customFormat="1" x14ac:dyDescent="0.2">
      <c r="A7" s="22"/>
      <c r="B7" s="22"/>
      <c r="C7" s="22"/>
      <c r="D7" s="22"/>
      <c r="E7" s="22"/>
      <c r="F7" s="22"/>
      <c r="G7" s="22"/>
      <c r="H7" s="22"/>
      <c r="I7" s="22"/>
      <c r="J7" s="36"/>
      <c r="K7" s="19">
        <v>0</v>
      </c>
      <c r="L7" s="198" t="s">
        <v>128</v>
      </c>
      <c r="M7" s="198" t="s">
        <v>128</v>
      </c>
      <c r="N7" s="197" t="s">
        <v>128</v>
      </c>
      <c r="O7" s="195">
        <v>1</v>
      </c>
      <c r="P7" s="45" t="s">
        <v>128</v>
      </c>
      <c r="Q7" s="45" t="s">
        <v>128</v>
      </c>
      <c r="R7" s="45" t="s">
        <v>128</v>
      </c>
      <c r="S7" s="45" t="s">
        <v>128</v>
      </c>
      <c r="T7" s="45" t="s">
        <v>128</v>
      </c>
      <c r="U7" s="45" t="s">
        <v>128</v>
      </c>
      <c r="V7" s="45" t="s">
        <v>128</v>
      </c>
      <c r="W7" s="45" t="s">
        <v>128</v>
      </c>
      <c r="X7" s="45" t="s">
        <v>128</v>
      </c>
      <c r="Y7" s="45" t="s">
        <v>128</v>
      </c>
      <c r="Z7" s="45" t="s">
        <v>128</v>
      </c>
      <c r="AA7" s="45" t="s">
        <v>128</v>
      </c>
      <c r="AB7" s="45" t="s">
        <v>128</v>
      </c>
      <c r="AC7" s="107" t="s">
        <v>128</v>
      </c>
      <c r="AD7" s="107" t="s">
        <v>128</v>
      </c>
      <c r="AE7" s="107" t="s">
        <v>128</v>
      </c>
      <c r="AF7" s="107" t="s">
        <v>128</v>
      </c>
      <c r="AG7" s="107" t="s">
        <v>128</v>
      </c>
      <c r="AH7" s="107" t="s">
        <v>128</v>
      </c>
      <c r="AI7" s="228"/>
      <c r="AJ7" s="228"/>
      <c r="AK7" s="228"/>
      <c r="AL7" s="228"/>
      <c r="AM7" s="228"/>
      <c r="AN7" s="228"/>
      <c r="AO7" s="140"/>
      <c r="AP7" s="140"/>
    </row>
    <row r="8" spans="1:42" s="48" customFormat="1" x14ac:dyDescent="0.2">
      <c r="A8" s="209"/>
      <c r="B8" s="8"/>
      <c r="C8" s="8"/>
      <c r="D8" s="8"/>
      <c r="E8" s="8"/>
      <c r="F8" s="8"/>
      <c r="G8" s="8"/>
      <c r="H8" s="8"/>
      <c r="I8" s="8"/>
      <c r="J8" s="37"/>
      <c r="K8" s="19">
        <v>0</v>
      </c>
      <c r="L8" s="198" t="s">
        <v>128</v>
      </c>
      <c r="M8" s="198" t="s">
        <v>128</v>
      </c>
      <c r="N8" s="197" t="s">
        <v>128</v>
      </c>
      <c r="O8" s="195">
        <v>1</v>
      </c>
      <c r="P8" s="45" t="s">
        <v>128</v>
      </c>
      <c r="Q8" s="45" t="s">
        <v>128</v>
      </c>
      <c r="R8" s="45" t="s">
        <v>128</v>
      </c>
      <c r="S8" s="45" t="s">
        <v>128</v>
      </c>
      <c r="T8" s="45" t="s">
        <v>128</v>
      </c>
      <c r="U8" s="45" t="s">
        <v>128</v>
      </c>
      <c r="V8" s="45" t="s">
        <v>128</v>
      </c>
      <c r="W8" s="45" t="s">
        <v>128</v>
      </c>
      <c r="X8" s="45" t="s">
        <v>128</v>
      </c>
      <c r="Y8" s="45" t="s">
        <v>128</v>
      </c>
      <c r="Z8" s="45" t="s">
        <v>128</v>
      </c>
      <c r="AA8" s="45" t="s">
        <v>128</v>
      </c>
      <c r="AB8" s="45" t="s">
        <v>128</v>
      </c>
      <c r="AC8" s="107" t="s">
        <v>128</v>
      </c>
      <c r="AD8" s="107" t="s">
        <v>128</v>
      </c>
      <c r="AE8" s="107" t="s">
        <v>128</v>
      </c>
      <c r="AF8" s="107" t="s">
        <v>128</v>
      </c>
      <c r="AG8" s="107" t="s">
        <v>128</v>
      </c>
      <c r="AH8" s="107" t="s">
        <v>128</v>
      </c>
      <c r="AI8" s="228"/>
      <c r="AJ8" s="228"/>
      <c r="AK8" s="228"/>
      <c r="AL8" s="228"/>
      <c r="AM8" s="228"/>
      <c r="AN8" s="228"/>
      <c r="AO8" s="140"/>
      <c r="AP8" s="140"/>
    </row>
    <row r="9" spans="1:42" s="48" customFormat="1" x14ac:dyDescent="0.2">
      <c r="A9" s="22"/>
      <c r="B9" s="22"/>
      <c r="C9" s="22"/>
      <c r="D9" s="22"/>
      <c r="E9" s="22"/>
      <c r="F9" s="22"/>
      <c r="G9" s="22"/>
      <c r="H9" s="22"/>
      <c r="I9" s="22"/>
      <c r="J9" s="36"/>
      <c r="K9" s="19">
        <v>0</v>
      </c>
      <c r="L9" s="198" t="s">
        <v>128</v>
      </c>
      <c r="M9" s="198" t="s">
        <v>128</v>
      </c>
      <c r="N9" s="197" t="s">
        <v>128</v>
      </c>
      <c r="O9" s="195">
        <v>1</v>
      </c>
      <c r="P9" s="45" t="s">
        <v>128</v>
      </c>
      <c r="Q9" s="45" t="s">
        <v>128</v>
      </c>
      <c r="R9" s="45" t="s">
        <v>128</v>
      </c>
      <c r="S9" s="45" t="s">
        <v>128</v>
      </c>
      <c r="T9" s="45" t="s">
        <v>128</v>
      </c>
      <c r="U9" s="45" t="s">
        <v>128</v>
      </c>
      <c r="V9" s="45" t="s">
        <v>128</v>
      </c>
      <c r="W9" s="45" t="s">
        <v>128</v>
      </c>
      <c r="X9" s="45" t="s">
        <v>128</v>
      </c>
      <c r="Y9" s="45" t="s">
        <v>128</v>
      </c>
      <c r="Z9" s="45" t="s">
        <v>128</v>
      </c>
      <c r="AA9" s="45" t="s">
        <v>128</v>
      </c>
      <c r="AB9" s="45" t="s">
        <v>128</v>
      </c>
      <c r="AC9" s="107" t="s">
        <v>128</v>
      </c>
      <c r="AD9" s="107" t="s">
        <v>128</v>
      </c>
      <c r="AE9" s="107" t="s">
        <v>128</v>
      </c>
      <c r="AF9" s="107" t="s">
        <v>128</v>
      </c>
      <c r="AG9" s="107" t="s">
        <v>128</v>
      </c>
      <c r="AH9" s="107" t="s">
        <v>128</v>
      </c>
      <c r="AI9" s="228"/>
      <c r="AJ9" s="228"/>
      <c r="AK9" s="228"/>
      <c r="AL9" s="228"/>
      <c r="AM9" s="228"/>
      <c r="AN9" s="228"/>
      <c r="AO9" s="140"/>
      <c r="AP9" s="140"/>
    </row>
    <row r="10" spans="1:42" s="48" customFormat="1" x14ac:dyDescent="0.2">
      <c r="A10" s="209"/>
      <c r="B10" s="8"/>
      <c r="C10" s="8"/>
      <c r="D10" s="8"/>
      <c r="E10" s="8"/>
      <c r="F10" s="8"/>
      <c r="G10" s="8"/>
      <c r="H10" s="8"/>
      <c r="I10" s="8"/>
      <c r="J10" s="37"/>
      <c r="K10" s="19">
        <v>0</v>
      </c>
      <c r="L10" s="198" t="s">
        <v>128</v>
      </c>
      <c r="M10" s="198" t="s">
        <v>128</v>
      </c>
      <c r="N10" s="197" t="s">
        <v>128</v>
      </c>
      <c r="O10" s="195">
        <v>1</v>
      </c>
      <c r="P10" s="45" t="s">
        <v>128</v>
      </c>
      <c r="Q10" s="45" t="s">
        <v>128</v>
      </c>
      <c r="R10" s="45" t="s">
        <v>128</v>
      </c>
      <c r="S10" s="45" t="s">
        <v>128</v>
      </c>
      <c r="T10" s="45" t="s">
        <v>128</v>
      </c>
      <c r="U10" s="45" t="s">
        <v>128</v>
      </c>
      <c r="V10" s="45" t="s">
        <v>128</v>
      </c>
      <c r="W10" s="45" t="s">
        <v>128</v>
      </c>
      <c r="X10" s="45" t="s">
        <v>128</v>
      </c>
      <c r="Y10" s="45" t="s">
        <v>128</v>
      </c>
      <c r="Z10" s="45" t="s">
        <v>128</v>
      </c>
      <c r="AA10" s="45" t="s">
        <v>128</v>
      </c>
      <c r="AB10" s="45" t="s">
        <v>128</v>
      </c>
      <c r="AC10" s="107" t="s">
        <v>128</v>
      </c>
      <c r="AD10" s="107" t="s">
        <v>128</v>
      </c>
      <c r="AE10" s="107" t="s">
        <v>128</v>
      </c>
      <c r="AF10" s="107" t="s">
        <v>128</v>
      </c>
      <c r="AG10" s="107" t="s">
        <v>128</v>
      </c>
      <c r="AH10" s="107" t="s">
        <v>128</v>
      </c>
      <c r="AI10" s="228"/>
      <c r="AJ10" s="228"/>
      <c r="AK10" s="228"/>
      <c r="AL10" s="228"/>
      <c r="AM10" s="228"/>
      <c r="AN10" s="228"/>
      <c r="AO10" s="140"/>
      <c r="AP10" s="140"/>
    </row>
    <row r="11" spans="1:42" s="48" customFormat="1" x14ac:dyDescent="0.2">
      <c r="A11" s="22"/>
      <c r="B11" s="22"/>
      <c r="C11" s="22"/>
      <c r="D11" s="22"/>
      <c r="E11" s="22"/>
      <c r="F11" s="22"/>
      <c r="G11" s="22"/>
      <c r="H11" s="22"/>
      <c r="I11" s="22"/>
      <c r="J11" s="36"/>
      <c r="K11" s="19">
        <v>0</v>
      </c>
      <c r="L11" s="198" t="s">
        <v>128</v>
      </c>
      <c r="M11" s="198" t="s">
        <v>128</v>
      </c>
      <c r="N11" s="197" t="s">
        <v>128</v>
      </c>
      <c r="O11" s="195">
        <v>1</v>
      </c>
      <c r="P11" s="45" t="s">
        <v>128</v>
      </c>
      <c r="Q11" s="45" t="s">
        <v>128</v>
      </c>
      <c r="R11" s="45" t="s">
        <v>128</v>
      </c>
      <c r="S11" s="45" t="s">
        <v>128</v>
      </c>
      <c r="T11" s="45" t="s">
        <v>128</v>
      </c>
      <c r="U11" s="45" t="s">
        <v>128</v>
      </c>
      <c r="V11" s="45" t="s">
        <v>128</v>
      </c>
      <c r="W11" s="45" t="s">
        <v>128</v>
      </c>
      <c r="X11" s="45" t="s">
        <v>128</v>
      </c>
      <c r="Y11" s="45" t="s">
        <v>128</v>
      </c>
      <c r="Z11" s="45" t="s">
        <v>128</v>
      </c>
      <c r="AA11" s="45" t="s">
        <v>128</v>
      </c>
      <c r="AB11" s="45" t="s">
        <v>128</v>
      </c>
      <c r="AC11" s="107" t="s">
        <v>128</v>
      </c>
      <c r="AD11" s="107" t="s">
        <v>128</v>
      </c>
      <c r="AE11" s="107" t="s">
        <v>128</v>
      </c>
      <c r="AF11" s="107" t="s">
        <v>128</v>
      </c>
      <c r="AG11" s="107" t="s">
        <v>128</v>
      </c>
      <c r="AH11" s="107" t="s">
        <v>128</v>
      </c>
      <c r="AI11" s="228"/>
      <c r="AJ11" s="228"/>
      <c r="AK11" s="228"/>
      <c r="AL11" s="228"/>
      <c r="AM11" s="228"/>
      <c r="AN11" s="228"/>
      <c r="AO11" s="140"/>
      <c r="AP11" s="140"/>
    </row>
    <row r="12" spans="1:42" s="48" customFormat="1" x14ac:dyDescent="0.2">
      <c r="A12" s="209"/>
      <c r="B12" s="8"/>
      <c r="C12" s="8"/>
      <c r="D12" s="8"/>
      <c r="E12" s="8"/>
      <c r="F12" s="8"/>
      <c r="G12" s="8"/>
      <c r="H12" s="8"/>
      <c r="I12" s="8"/>
      <c r="J12" s="37"/>
      <c r="K12" s="19">
        <v>0</v>
      </c>
      <c r="L12" s="198" t="s">
        <v>128</v>
      </c>
      <c r="M12" s="198" t="s">
        <v>128</v>
      </c>
      <c r="N12" s="197" t="s">
        <v>128</v>
      </c>
      <c r="O12" s="195">
        <v>1</v>
      </c>
      <c r="P12" s="45" t="s">
        <v>128</v>
      </c>
      <c r="Q12" s="45" t="s">
        <v>128</v>
      </c>
      <c r="R12" s="45" t="s">
        <v>128</v>
      </c>
      <c r="S12" s="45" t="s">
        <v>128</v>
      </c>
      <c r="T12" s="45" t="s">
        <v>128</v>
      </c>
      <c r="U12" s="45" t="s">
        <v>128</v>
      </c>
      <c r="V12" s="45" t="s">
        <v>128</v>
      </c>
      <c r="W12" s="45" t="s">
        <v>128</v>
      </c>
      <c r="X12" s="45" t="s">
        <v>128</v>
      </c>
      <c r="Y12" s="45" t="s">
        <v>128</v>
      </c>
      <c r="Z12" s="45" t="s">
        <v>128</v>
      </c>
      <c r="AA12" s="45" t="s">
        <v>128</v>
      </c>
      <c r="AB12" s="45" t="s">
        <v>128</v>
      </c>
      <c r="AC12" s="107" t="s">
        <v>128</v>
      </c>
      <c r="AD12" s="107" t="s">
        <v>128</v>
      </c>
      <c r="AE12" s="107" t="s">
        <v>128</v>
      </c>
      <c r="AF12" s="107" t="s">
        <v>128</v>
      </c>
      <c r="AG12" s="107" t="s">
        <v>128</v>
      </c>
      <c r="AH12" s="107" t="s">
        <v>128</v>
      </c>
      <c r="AI12" s="228"/>
      <c r="AJ12" s="228"/>
      <c r="AK12" s="228"/>
      <c r="AL12" s="228"/>
      <c r="AM12" s="228"/>
      <c r="AN12" s="228"/>
      <c r="AO12" s="140"/>
      <c r="AP12" s="140"/>
    </row>
    <row r="13" spans="1:42" s="48" customFormat="1" x14ac:dyDescent="0.2">
      <c r="A13" s="22"/>
      <c r="B13" s="22"/>
      <c r="C13" s="22"/>
      <c r="D13" s="22"/>
      <c r="E13" s="22"/>
      <c r="F13" s="22"/>
      <c r="G13" s="22"/>
      <c r="H13" s="22"/>
      <c r="I13" s="22"/>
      <c r="J13" s="36"/>
      <c r="K13" s="19">
        <v>0</v>
      </c>
      <c r="L13" s="198" t="s">
        <v>128</v>
      </c>
      <c r="M13" s="198" t="s">
        <v>128</v>
      </c>
      <c r="N13" s="197" t="s">
        <v>128</v>
      </c>
      <c r="O13" s="195">
        <v>1</v>
      </c>
      <c r="P13" s="45" t="s">
        <v>128</v>
      </c>
      <c r="Q13" s="45" t="s">
        <v>128</v>
      </c>
      <c r="R13" s="45" t="s">
        <v>128</v>
      </c>
      <c r="S13" s="45" t="s">
        <v>128</v>
      </c>
      <c r="T13" s="45" t="s">
        <v>128</v>
      </c>
      <c r="U13" s="45" t="s">
        <v>128</v>
      </c>
      <c r="V13" s="45" t="s">
        <v>128</v>
      </c>
      <c r="W13" s="45" t="s">
        <v>128</v>
      </c>
      <c r="X13" s="45" t="s">
        <v>128</v>
      </c>
      <c r="Y13" s="45" t="s">
        <v>128</v>
      </c>
      <c r="Z13" s="45" t="s">
        <v>128</v>
      </c>
      <c r="AA13" s="45" t="s">
        <v>128</v>
      </c>
      <c r="AB13" s="45" t="s">
        <v>128</v>
      </c>
      <c r="AC13" s="107" t="s">
        <v>128</v>
      </c>
      <c r="AD13" s="107" t="s">
        <v>128</v>
      </c>
      <c r="AE13" s="107" t="s">
        <v>128</v>
      </c>
      <c r="AF13" s="107" t="s">
        <v>128</v>
      </c>
      <c r="AG13" s="107" t="s">
        <v>128</v>
      </c>
      <c r="AH13" s="107" t="s">
        <v>128</v>
      </c>
      <c r="AI13" s="228"/>
      <c r="AJ13" s="228"/>
      <c r="AK13" s="228"/>
      <c r="AL13" s="228"/>
      <c r="AM13" s="228"/>
      <c r="AN13" s="228"/>
      <c r="AO13" s="140"/>
      <c r="AP13" s="140"/>
    </row>
    <row r="14" spans="1:42" s="48" customFormat="1" x14ac:dyDescent="0.2">
      <c r="A14" s="209"/>
      <c r="B14" s="8"/>
      <c r="C14" s="8"/>
      <c r="D14" s="8"/>
      <c r="E14" s="8"/>
      <c r="F14" s="8"/>
      <c r="G14" s="8"/>
      <c r="H14" s="8"/>
      <c r="I14" s="8"/>
      <c r="J14" s="37"/>
      <c r="K14" s="19">
        <v>0</v>
      </c>
      <c r="L14" s="198" t="s">
        <v>128</v>
      </c>
      <c r="M14" s="198" t="s">
        <v>128</v>
      </c>
      <c r="N14" s="197" t="s">
        <v>128</v>
      </c>
      <c r="O14" s="195">
        <v>1</v>
      </c>
      <c r="P14" s="45" t="s">
        <v>128</v>
      </c>
      <c r="Q14" s="45" t="s">
        <v>128</v>
      </c>
      <c r="R14" s="45" t="s">
        <v>128</v>
      </c>
      <c r="S14" s="45" t="s">
        <v>128</v>
      </c>
      <c r="T14" s="45" t="s">
        <v>128</v>
      </c>
      <c r="U14" s="45" t="s">
        <v>128</v>
      </c>
      <c r="V14" s="45" t="s">
        <v>128</v>
      </c>
      <c r="W14" s="45" t="s">
        <v>128</v>
      </c>
      <c r="X14" s="45" t="s">
        <v>128</v>
      </c>
      <c r="Y14" s="45" t="s">
        <v>128</v>
      </c>
      <c r="Z14" s="45" t="s">
        <v>128</v>
      </c>
      <c r="AA14" s="45" t="s">
        <v>128</v>
      </c>
      <c r="AB14" s="45" t="s">
        <v>128</v>
      </c>
      <c r="AC14" s="107" t="s">
        <v>128</v>
      </c>
      <c r="AD14" s="107" t="s">
        <v>128</v>
      </c>
      <c r="AE14" s="107" t="s">
        <v>128</v>
      </c>
      <c r="AF14" s="107" t="s">
        <v>128</v>
      </c>
      <c r="AG14" s="107" t="s">
        <v>128</v>
      </c>
      <c r="AH14" s="107" t="s">
        <v>128</v>
      </c>
      <c r="AI14" s="228"/>
      <c r="AJ14" s="228"/>
      <c r="AK14" s="228"/>
      <c r="AL14" s="228"/>
      <c r="AM14" s="228"/>
      <c r="AN14" s="228"/>
      <c r="AO14" s="140"/>
      <c r="AP14" s="140"/>
    </row>
    <row r="15" spans="1:42" s="48" customFormat="1" x14ac:dyDescent="0.2">
      <c r="A15" s="22"/>
      <c r="B15" s="22"/>
      <c r="C15" s="22"/>
      <c r="D15" s="22"/>
      <c r="E15" s="22"/>
      <c r="F15" s="22"/>
      <c r="G15" s="22"/>
      <c r="H15" s="22"/>
      <c r="I15" s="22"/>
      <c r="J15" s="36"/>
      <c r="K15" s="19">
        <v>0</v>
      </c>
      <c r="L15" s="198" t="s">
        <v>128</v>
      </c>
      <c r="M15" s="198" t="s">
        <v>128</v>
      </c>
      <c r="N15" s="197" t="s">
        <v>128</v>
      </c>
      <c r="O15" s="195">
        <v>1</v>
      </c>
      <c r="P15" s="45" t="s">
        <v>128</v>
      </c>
      <c r="Q15" s="45" t="s">
        <v>128</v>
      </c>
      <c r="R15" s="45" t="s">
        <v>128</v>
      </c>
      <c r="S15" s="45" t="s">
        <v>128</v>
      </c>
      <c r="T15" s="45" t="s">
        <v>128</v>
      </c>
      <c r="U15" s="45" t="s">
        <v>128</v>
      </c>
      <c r="V15" s="45" t="s">
        <v>128</v>
      </c>
      <c r="W15" s="45" t="s">
        <v>128</v>
      </c>
      <c r="X15" s="45" t="s">
        <v>128</v>
      </c>
      <c r="Y15" s="45" t="s">
        <v>128</v>
      </c>
      <c r="Z15" s="45" t="s">
        <v>128</v>
      </c>
      <c r="AA15" s="45" t="s">
        <v>128</v>
      </c>
      <c r="AB15" s="45" t="s">
        <v>128</v>
      </c>
      <c r="AC15" s="107" t="s">
        <v>128</v>
      </c>
      <c r="AD15" s="107" t="s">
        <v>128</v>
      </c>
      <c r="AE15" s="107" t="s">
        <v>128</v>
      </c>
      <c r="AF15" s="107" t="s">
        <v>128</v>
      </c>
      <c r="AG15" s="107" t="s">
        <v>128</v>
      </c>
      <c r="AH15" s="107" t="s">
        <v>128</v>
      </c>
      <c r="AI15" s="228"/>
      <c r="AJ15" s="228"/>
      <c r="AK15" s="228"/>
      <c r="AL15" s="228"/>
      <c r="AM15" s="228"/>
      <c r="AN15" s="228"/>
      <c r="AO15" s="140"/>
      <c r="AP15" s="140"/>
    </row>
    <row r="16" spans="1:42" s="48" customFormat="1" x14ac:dyDescent="0.2">
      <c r="A16" s="209"/>
      <c r="B16" s="8"/>
      <c r="C16" s="8"/>
      <c r="D16" s="8"/>
      <c r="E16" s="8"/>
      <c r="F16" s="8"/>
      <c r="G16" s="8"/>
      <c r="H16" s="8"/>
      <c r="I16" s="8"/>
      <c r="J16" s="37"/>
      <c r="K16" s="19">
        <v>0</v>
      </c>
      <c r="L16" s="198" t="s">
        <v>128</v>
      </c>
      <c r="M16" s="198" t="s">
        <v>128</v>
      </c>
      <c r="N16" s="197" t="s">
        <v>128</v>
      </c>
      <c r="O16" s="195">
        <v>1</v>
      </c>
      <c r="P16" s="45" t="s">
        <v>128</v>
      </c>
      <c r="Q16" s="45" t="s">
        <v>128</v>
      </c>
      <c r="R16" s="45" t="s">
        <v>128</v>
      </c>
      <c r="S16" s="45" t="s">
        <v>128</v>
      </c>
      <c r="T16" s="45" t="s">
        <v>128</v>
      </c>
      <c r="U16" s="45" t="s">
        <v>128</v>
      </c>
      <c r="V16" s="45" t="s">
        <v>128</v>
      </c>
      <c r="W16" s="45" t="s">
        <v>128</v>
      </c>
      <c r="X16" s="45" t="s">
        <v>128</v>
      </c>
      <c r="Y16" s="45" t="s">
        <v>128</v>
      </c>
      <c r="Z16" s="45" t="s">
        <v>128</v>
      </c>
      <c r="AA16" s="45" t="s">
        <v>128</v>
      </c>
      <c r="AB16" s="45" t="s">
        <v>128</v>
      </c>
      <c r="AC16" s="107" t="s">
        <v>128</v>
      </c>
      <c r="AD16" s="107" t="s">
        <v>128</v>
      </c>
      <c r="AE16" s="107" t="s">
        <v>128</v>
      </c>
      <c r="AF16" s="107" t="s">
        <v>128</v>
      </c>
      <c r="AG16" s="107" t="s">
        <v>128</v>
      </c>
      <c r="AH16" s="107" t="s">
        <v>128</v>
      </c>
      <c r="AI16" s="228"/>
      <c r="AJ16" s="228"/>
      <c r="AK16" s="228"/>
      <c r="AL16" s="228"/>
      <c r="AM16" s="228"/>
      <c r="AN16" s="228"/>
      <c r="AO16" s="140"/>
      <c r="AP16" s="140"/>
    </row>
    <row r="17" spans="1:42" s="48" customFormat="1" x14ac:dyDescent="0.2">
      <c r="A17" s="22"/>
      <c r="B17" s="22"/>
      <c r="C17" s="22"/>
      <c r="D17" s="22"/>
      <c r="E17" s="22"/>
      <c r="F17" s="22"/>
      <c r="G17" s="22"/>
      <c r="H17" s="22"/>
      <c r="I17" s="22"/>
      <c r="J17" s="36"/>
      <c r="K17" s="19">
        <v>0</v>
      </c>
      <c r="L17" s="198" t="s">
        <v>128</v>
      </c>
      <c r="M17" s="198" t="s">
        <v>128</v>
      </c>
      <c r="N17" s="197" t="s">
        <v>128</v>
      </c>
      <c r="O17" s="195">
        <v>1</v>
      </c>
      <c r="P17" s="45" t="s">
        <v>128</v>
      </c>
      <c r="Q17" s="45" t="s">
        <v>128</v>
      </c>
      <c r="R17" s="45" t="s">
        <v>128</v>
      </c>
      <c r="S17" s="45" t="s">
        <v>128</v>
      </c>
      <c r="T17" s="45" t="s">
        <v>128</v>
      </c>
      <c r="U17" s="45" t="s">
        <v>128</v>
      </c>
      <c r="V17" s="45" t="s">
        <v>128</v>
      </c>
      <c r="W17" s="45" t="s">
        <v>128</v>
      </c>
      <c r="X17" s="45" t="s">
        <v>128</v>
      </c>
      <c r="Y17" s="45" t="s">
        <v>128</v>
      </c>
      <c r="Z17" s="45" t="s">
        <v>128</v>
      </c>
      <c r="AA17" s="45" t="s">
        <v>128</v>
      </c>
      <c r="AB17" s="45" t="s">
        <v>128</v>
      </c>
      <c r="AC17" s="107" t="s">
        <v>128</v>
      </c>
      <c r="AD17" s="107" t="s">
        <v>128</v>
      </c>
      <c r="AE17" s="107" t="s">
        <v>128</v>
      </c>
      <c r="AF17" s="107" t="s">
        <v>128</v>
      </c>
      <c r="AG17" s="107" t="s">
        <v>128</v>
      </c>
      <c r="AH17" s="107" t="s">
        <v>128</v>
      </c>
      <c r="AI17" s="228"/>
      <c r="AJ17" s="228"/>
      <c r="AK17" s="228"/>
      <c r="AL17" s="228"/>
      <c r="AM17" s="228"/>
      <c r="AN17" s="228"/>
      <c r="AO17" s="140"/>
      <c r="AP17" s="140"/>
    </row>
    <row r="18" spans="1:42" s="48" customFormat="1" x14ac:dyDescent="0.2">
      <c r="A18" s="209"/>
      <c r="B18" s="8"/>
      <c r="C18" s="8"/>
      <c r="D18" s="8"/>
      <c r="E18" s="8"/>
      <c r="F18" s="8"/>
      <c r="G18" s="8"/>
      <c r="H18" s="8"/>
      <c r="I18" s="8"/>
      <c r="J18" s="37"/>
      <c r="K18" s="19">
        <v>0</v>
      </c>
      <c r="L18" s="198" t="s">
        <v>128</v>
      </c>
      <c r="M18" s="198" t="s">
        <v>128</v>
      </c>
      <c r="N18" s="197" t="s">
        <v>128</v>
      </c>
      <c r="O18" s="195">
        <v>1</v>
      </c>
      <c r="P18" s="45" t="s">
        <v>128</v>
      </c>
      <c r="Q18" s="45" t="s">
        <v>128</v>
      </c>
      <c r="R18" s="45" t="s">
        <v>128</v>
      </c>
      <c r="S18" s="45" t="s">
        <v>128</v>
      </c>
      <c r="T18" s="45" t="s">
        <v>128</v>
      </c>
      <c r="U18" s="45" t="s">
        <v>128</v>
      </c>
      <c r="V18" s="45" t="s">
        <v>128</v>
      </c>
      <c r="W18" s="45" t="s">
        <v>128</v>
      </c>
      <c r="X18" s="45" t="s">
        <v>128</v>
      </c>
      <c r="Y18" s="45" t="s">
        <v>128</v>
      </c>
      <c r="Z18" s="45" t="s">
        <v>128</v>
      </c>
      <c r="AA18" s="45" t="s">
        <v>128</v>
      </c>
      <c r="AB18" s="45" t="s">
        <v>128</v>
      </c>
      <c r="AC18" s="107" t="s">
        <v>128</v>
      </c>
      <c r="AD18" s="107" t="s">
        <v>128</v>
      </c>
      <c r="AE18" s="107" t="s">
        <v>128</v>
      </c>
      <c r="AF18" s="107" t="s">
        <v>128</v>
      </c>
      <c r="AG18" s="107" t="s">
        <v>128</v>
      </c>
      <c r="AH18" s="107" t="s">
        <v>128</v>
      </c>
      <c r="AI18" s="228"/>
      <c r="AJ18" s="228"/>
      <c r="AK18" s="228"/>
      <c r="AL18" s="228"/>
      <c r="AM18" s="228"/>
      <c r="AN18" s="228"/>
      <c r="AO18" s="279"/>
      <c r="AP18" s="140"/>
    </row>
    <row r="19" spans="1:42" s="48" customFormat="1" x14ac:dyDescent="0.2">
      <c r="A19" s="22"/>
      <c r="B19" s="22"/>
      <c r="C19" s="22"/>
      <c r="D19" s="22"/>
      <c r="E19" s="22"/>
      <c r="F19" s="22"/>
      <c r="G19" s="22"/>
      <c r="H19" s="22"/>
      <c r="I19" s="22"/>
      <c r="J19" s="36"/>
      <c r="K19" s="19">
        <v>0</v>
      </c>
      <c r="L19" s="198" t="s">
        <v>128</v>
      </c>
      <c r="M19" s="198" t="s">
        <v>128</v>
      </c>
      <c r="N19" s="197" t="s">
        <v>128</v>
      </c>
      <c r="O19" s="195">
        <v>1</v>
      </c>
      <c r="P19" s="45" t="s">
        <v>128</v>
      </c>
      <c r="Q19" s="45" t="s">
        <v>128</v>
      </c>
      <c r="R19" s="45" t="s">
        <v>128</v>
      </c>
      <c r="S19" s="45" t="s">
        <v>128</v>
      </c>
      <c r="T19" s="45" t="s">
        <v>128</v>
      </c>
      <c r="U19" s="45" t="s">
        <v>128</v>
      </c>
      <c r="V19" s="45" t="s">
        <v>128</v>
      </c>
      <c r="W19" s="45" t="s">
        <v>128</v>
      </c>
      <c r="X19" s="45" t="s">
        <v>128</v>
      </c>
      <c r="Y19" s="45" t="s">
        <v>128</v>
      </c>
      <c r="Z19" s="45" t="s">
        <v>128</v>
      </c>
      <c r="AA19" s="45" t="s">
        <v>128</v>
      </c>
      <c r="AB19" s="45" t="s">
        <v>128</v>
      </c>
      <c r="AC19" s="107" t="s">
        <v>128</v>
      </c>
      <c r="AD19" s="107" t="s">
        <v>128</v>
      </c>
      <c r="AE19" s="107" t="s">
        <v>128</v>
      </c>
      <c r="AF19" s="107" t="s">
        <v>128</v>
      </c>
      <c r="AG19" s="107" t="s">
        <v>128</v>
      </c>
      <c r="AH19" s="107" t="s">
        <v>128</v>
      </c>
      <c r="AI19" s="228"/>
      <c r="AJ19" s="228"/>
      <c r="AK19" s="228"/>
      <c r="AL19" s="228"/>
      <c r="AM19" s="228"/>
      <c r="AN19" s="228"/>
      <c r="AO19" s="279"/>
      <c r="AP19" s="140"/>
    </row>
    <row r="20" spans="1:42" s="48" customFormat="1" x14ac:dyDescent="0.2">
      <c r="A20" s="209"/>
      <c r="B20" s="8"/>
      <c r="C20" s="8"/>
      <c r="D20" s="8"/>
      <c r="E20" s="8"/>
      <c r="F20" s="8"/>
      <c r="G20" s="8"/>
      <c r="H20" s="8"/>
      <c r="I20" s="8"/>
      <c r="J20" s="37"/>
      <c r="K20" s="19">
        <v>0</v>
      </c>
      <c r="L20" s="198" t="s">
        <v>128</v>
      </c>
      <c r="M20" s="198" t="s">
        <v>128</v>
      </c>
      <c r="N20" s="197" t="s">
        <v>128</v>
      </c>
      <c r="O20" s="195">
        <v>1</v>
      </c>
      <c r="P20" s="45" t="s">
        <v>128</v>
      </c>
      <c r="Q20" s="45" t="s">
        <v>128</v>
      </c>
      <c r="R20" s="45" t="s">
        <v>128</v>
      </c>
      <c r="S20" s="45" t="s">
        <v>128</v>
      </c>
      <c r="T20" s="45" t="s">
        <v>128</v>
      </c>
      <c r="U20" s="45" t="s">
        <v>128</v>
      </c>
      <c r="V20" s="45" t="s">
        <v>128</v>
      </c>
      <c r="W20" s="45" t="s">
        <v>128</v>
      </c>
      <c r="X20" s="45" t="s">
        <v>128</v>
      </c>
      <c r="Y20" s="45" t="s">
        <v>128</v>
      </c>
      <c r="Z20" s="45" t="s">
        <v>128</v>
      </c>
      <c r="AA20" s="45" t="s">
        <v>128</v>
      </c>
      <c r="AB20" s="45" t="s">
        <v>128</v>
      </c>
      <c r="AC20" s="107" t="s">
        <v>128</v>
      </c>
      <c r="AD20" s="107" t="s">
        <v>128</v>
      </c>
      <c r="AE20" s="107" t="s">
        <v>128</v>
      </c>
      <c r="AF20" s="107" t="s">
        <v>128</v>
      </c>
      <c r="AG20" s="107" t="s">
        <v>128</v>
      </c>
      <c r="AH20" s="107" t="s">
        <v>128</v>
      </c>
      <c r="AI20" s="228"/>
      <c r="AJ20" s="228"/>
      <c r="AK20" s="228"/>
      <c r="AL20" s="228"/>
      <c r="AM20" s="228"/>
      <c r="AN20" s="228"/>
      <c r="AO20" s="279"/>
      <c r="AP20" s="140"/>
    </row>
    <row r="21" spans="1:42" s="48" customFormat="1" x14ac:dyDescent="0.2">
      <c r="A21" s="22"/>
      <c r="B21" s="22"/>
      <c r="C21" s="22"/>
      <c r="D21" s="22"/>
      <c r="E21" s="22"/>
      <c r="F21" s="22"/>
      <c r="G21" s="22"/>
      <c r="H21" s="22"/>
      <c r="I21" s="22"/>
      <c r="J21" s="36"/>
      <c r="K21" s="19">
        <v>0</v>
      </c>
      <c r="L21" s="198" t="s">
        <v>128</v>
      </c>
      <c r="M21" s="198" t="s">
        <v>128</v>
      </c>
      <c r="N21" s="197" t="s">
        <v>128</v>
      </c>
      <c r="O21" s="195">
        <v>1</v>
      </c>
      <c r="P21" s="45" t="s">
        <v>128</v>
      </c>
      <c r="Q21" s="45" t="s">
        <v>128</v>
      </c>
      <c r="R21" s="45" t="s">
        <v>128</v>
      </c>
      <c r="S21" s="45" t="s">
        <v>128</v>
      </c>
      <c r="T21" s="45" t="s">
        <v>128</v>
      </c>
      <c r="U21" s="45" t="s">
        <v>128</v>
      </c>
      <c r="V21" s="45" t="s">
        <v>128</v>
      </c>
      <c r="W21" s="45" t="s">
        <v>128</v>
      </c>
      <c r="X21" s="45" t="s">
        <v>128</v>
      </c>
      <c r="Y21" s="45" t="s">
        <v>128</v>
      </c>
      <c r="Z21" s="45" t="s">
        <v>128</v>
      </c>
      <c r="AA21" s="45" t="s">
        <v>128</v>
      </c>
      <c r="AB21" s="45" t="s">
        <v>128</v>
      </c>
      <c r="AC21" s="107" t="s">
        <v>128</v>
      </c>
      <c r="AD21" s="107" t="s">
        <v>128</v>
      </c>
      <c r="AE21" s="107" t="s">
        <v>128</v>
      </c>
      <c r="AF21" s="107" t="s">
        <v>128</v>
      </c>
      <c r="AG21" s="107" t="s">
        <v>128</v>
      </c>
      <c r="AH21" s="107" t="s">
        <v>128</v>
      </c>
      <c r="AI21" s="228"/>
      <c r="AJ21" s="228"/>
      <c r="AK21" s="228"/>
      <c r="AL21" s="228"/>
      <c r="AM21" s="228"/>
      <c r="AN21" s="228"/>
      <c r="AO21" s="140"/>
      <c r="AP21" s="140"/>
    </row>
    <row r="22" spans="1:42" s="48" customFormat="1" x14ac:dyDescent="0.2">
      <c r="A22" s="209"/>
      <c r="B22" s="8"/>
      <c r="C22" s="8"/>
      <c r="D22" s="8"/>
      <c r="E22" s="8"/>
      <c r="F22" s="8"/>
      <c r="G22" s="8"/>
      <c r="H22" s="8"/>
      <c r="I22" s="8"/>
      <c r="J22" s="37"/>
      <c r="K22" s="19">
        <v>0</v>
      </c>
      <c r="L22" s="198" t="s">
        <v>128</v>
      </c>
      <c r="M22" s="198" t="s">
        <v>128</v>
      </c>
      <c r="N22" s="197" t="s">
        <v>128</v>
      </c>
      <c r="O22" s="195">
        <v>1</v>
      </c>
      <c r="P22" s="45" t="s">
        <v>128</v>
      </c>
      <c r="Q22" s="45" t="s">
        <v>128</v>
      </c>
      <c r="R22" s="45" t="s">
        <v>128</v>
      </c>
      <c r="S22" s="45" t="s">
        <v>128</v>
      </c>
      <c r="T22" s="45" t="s">
        <v>128</v>
      </c>
      <c r="U22" s="45" t="s">
        <v>128</v>
      </c>
      <c r="V22" s="45" t="s">
        <v>128</v>
      </c>
      <c r="W22" s="45" t="s">
        <v>128</v>
      </c>
      <c r="X22" s="45" t="s">
        <v>128</v>
      </c>
      <c r="Y22" s="45" t="s">
        <v>128</v>
      </c>
      <c r="Z22" s="45" t="s">
        <v>128</v>
      </c>
      <c r="AA22" s="45" t="s">
        <v>128</v>
      </c>
      <c r="AB22" s="45" t="s">
        <v>128</v>
      </c>
      <c r="AC22" s="107" t="s">
        <v>128</v>
      </c>
      <c r="AD22" s="107" t="s">
        <v>128</v>
      </c>
      <c r="AE22" s="107" t="s">
        <v>128</v>
      </c>
      <c r="AF22" s="107" t="s">
        <v>128</v>
      </c>
      <c r="AG22" s="107" t="s">
        <v>128</v>
      </c>
      <c r="AH22" s="107" t="s">
        <v>128</v>
      </c>
      <c r="AI22" s="228"/>
      <c r="AJ22" s="228"/>
      <c r="AK22" s="228"/>
      <c r="AL22" s="228"/>
      <c r="AM22" s="228"/>
      <c r="AN22" s="228"/>
      <c r="AO22" s="140"/>
      <c r="AP22" s="140"/>
    </row>
    <row r="23" spans="1:42" s="48" customFormat="1" x14ac:dyDescent="0.2">
      <c r="A23" s="22"/>
      <c r="B23" s="22"/>
      <c r="C23" s="22"/>
      <c r="D23" s="22"/>
      <c r="E23" s="22"/>
      <c r="F23" s="22"/>
      <c r="G23" s="22"/>
      <c r="H23" s="22"/>
      <c r="I23" s="22"/>
      <c r="J23" s="36"/>
      <c r="K23" s="19">
        <v>0</v>
      </c>
      <c r="L23" s="198" t="s">
        <v>128</v>
      </c>
      <c r="M23" s="198" t="s">
        <v>128</v>
      </c>
      <c r="N23" s="197" t="s">
        <v>128</v>
      </c>
      <c r="O23" s="195">
        <v>1</v>
      </c>
      <c r="P23" s="45" t="s">
        <v>128</v>
      </c>
      <c r="Q23" s="45" t="s">
        <v>128</v>
      </c>
      <c r="R23" s="45" t="s">
        <v>128</v>
      </c>
      <c r="S23" s="45" t="s">
        <v>128</v>
      </c>
      <c r="T23" s="45" t="s">
        <v>128</v>
      </c>
      <c r="U23" s="45" t="s">
        <v>128</v>
      </c>
      <c r="V23" s="45" t="s">
        <v>128</v>
      </c>
      <c r="W23" s="45" t="s">
        <v>128</v>
      </c>
      <c r="X23" s="45" t="s">
        <v>128</v>
      </c>
      <c r="Y23" s="45" t="s">
        <v>128</v>
      </c>
      <c r="Z23" s="45" t="s">
        <v>128</v>
      </c>
      <c r="AA23" s="45" t="s">
        <v>128</v>
      </c>
      <c r="AB23" s="45" t="s">
        <v>128</v>
      </c>
      <c r="AC23" s="107" t="s">
        <v>128</v>
      </c>
      <c r="AD23" s="107" t="s">
        <v>128</v>
      </c>
      <c r="AE23" s="107" t="s">
        <v>128</v>
      </c>
      <c r="AF23" s="107" t="s">
        <v>128</v>
      </c>
      <c r="AG23" s="107" t="s">
        <v>128</v>
      </c>
      <c r="AH23" s="107" t="s">
        <v>128</v>
      </c>
      <c r="AI23" s="228"/>
      <c r="AJ23" s="228"/>
      <c r="AK23" s="228"/>
      <c r="AL23" s="228"/>
      <c r="AM23" s="228"/>
      <c r="AN23" s="228"/>
      <c r="AO23" s="140"/>
      <c r="AP23" s="140"/>
    </row>
    <row r="24" spans="1:42" s="48" customFormat="1" x14ac:dyDescent="0.2">
      <c r="A24" s="209"/>
      <c r="B24" s="8"/>
      <c r="C24" s="8"/>
      <c r="D24" s="8"/>
      <c r="E24" s="8"/>
      <c r="F24" s="8"/>
      <c r="G24" s="8"/>
      <c r="H24" s="8"/>
      <c r="I24" s="8"/>
      <c r="J24" s="37"/>
      <c r="K24" s="19">
        <v>0</v>
      </c>
      <c r="L24" s="198" t="s">
        <v>128</v>
      </c>
      <c r="M24" s="198" t="s">
        <v>128</v>
      </c>
      <c r="N24" s="197" t="s">
        <v>128</v>
      </c>
      <c r="O24" s="195">
        <v>1</v>
      </c>
      <c r="P24" s="45" t="s">
        <v>128</v>
      </c>
      <c r="Q24" s="45" t="s">
        <v>128</v>
      </c>
      <c r="R24" s="45" t="s">
        <v>128</v>
      </c>
      <c r="S24" s="45" t="s">
        <v>128</v>
      </c>
      <c r="T24" s="45" t="s">
        <v>128</v>
      </c>
      <c r="U24" s="45" t="s">
        <v>128</v>
      </c>
      <c r="V24" s="45" t="s">
        <v>128</v>
      </c>
      <c r="W24" s="45" t="s">
        <v>128</v>
      </c>
      <c r="X24" s="45" t="s">
        <v>128</v>
      </c>
      <c r="Y24" s="45" t="s">
        <v>128</v>
      </c>
      <c r="Z24" s="45" t="s">
        <v>128</v>
      </c>
      <c r="AA24" s="45" t="s">
        <v>128</v>
      </c>
      <c r="AB24" s="45" t="s">
        <v>128</v>
      </c>
      <c r="AC24" s="107" t="s">
        <v>128</v>
      </c>
      <c r="AD24" s="107" t="s">
        <v>128</v>
      </c>
      <c r="AE24" s="107" t="s">
        <v>128</v>
      </c>
      <c r="AF24" s="107" t="s">
        <v>128</v>
      </c>
      <c r="AG24" s="107" t="s">
        <v>128</v>
      </c>
      <c r="AH24" s="107" t="s">
        <v>128</v>
      </c>
      <c r="AI24" s="228"/>
      <c r="AJ24" s="228"/>
      <c r="AK24" s="228"/>
      <c r="AL24" s="228"/>
      <c r="AM24" s="228"/>
      <c r="AN24" s="228"/>
      <c r="AO24" s="140"/>
      <c r="AP24" s="140"/>
    </row>
    <row r="25" spans="1:42" s="48" customFormat="1" x14ac:dyDescent="0.2">
      <c r="A25" s="22"/>
      <c r="B25" s="22"/>
      <c r="C25" s="22"/>
      <c r="D25" s="22"/>
      <c r="E25" s="22"/>
      <c r="F25" s="22"/>
      <c r="G25" s="22"/>
      <c r="H25" s="22"/>
      <c r="I25" s="22"/>
      <c r="J25" s="36"/>
      <c r="K25" s="19">
        <v>0</v>
      </c>
      <c r="L25" s="198" t="s">
        <v>128</v>
      </c>
      <c r="M25" s="198" t="s">
        <v>128</v>
      </c>
      <c r="N25" s="197" t="s">
        <v>128</v>
      </c>
      <c r="O25" s="195">
        <v>1</v>
      </c>
      <c r="P25" s="45" t="s">
        <v>128</v>
      </c>
      <c r="Q25" s="45" t="s">
        <v>128</v>
      </c>
      <c r="R25" s="45" t="s">
        <v>128</v>
      </c>
      <c r="S25" s="45" t="s">
        <v>128</v>
      </c>
      <c r="T25" s="45" t="s">
        <v>128</v>
      </c>
      <c r="U25" s="45" t="s">
        <v>128</v>
      </c>
      <c r="V25" s="45" t="s">
        <v>128</v>
      </c>
      <c r="W25" s="45" t="s">
        <v>128</v>
      </c>
      <c r="X25" s="45" t="s">
        <v>128</v>
      </c>
      <c r="Y25" s="45" t="s">
        <v>128</v>
      </c>
      <c r="Z25" s="45" t="s">
        <v>128</v>
      </c>
      <c r="AA25" s="45" t="s">
        <v>128</v>
      </c>
      <c r="AB25" s="45" t="s">
        <v>128</v>
      </c>
      <c r="AC25" s="107" t="s">
        <v>128</v>
      </c>
      <c r="AD25" s="107" t="s">
        <v>128</v>
      </c>
      <c r="AE25" s="107" t="s">
        <v>128</v>
      </c>
      <c r="AF25" s="107" t="s">
        <v>128</v>
      </c>
      <c r="AG25" s="107" t="s">
        <v>128</v>
      </c>
      <c r="AH25" s="107" t="s">
        <v>128</v>
      </c>
      <c r="AI25" s="228"/>
      <c r="AJ25" s="228"/>
      <c r="AK25" s="228"/>
      <c r="AL25" s="228"/>
      <c r="AM25" s="228"/>
      <c r="AN25" s="228"/>
      <c r="AO25" s="140"/>
      <c r="AP25" s="140"/>
    </row>
    <row r="26" spans="1:42" s="48" customFormat="1" x14ac:dyDescent="0.2">
      <c r="A26" s="209"/>
      <c r="B26" s="8"/>
      <c r="C26" s="8"/>
      <c r="D26" s="8"/>
      <c r="E26" s="8"/>
      <c r="F26" s="8"/>
      <c r="G26" s="8"/>
      <c r="H26" s="8"/>
      <c r="I26" s="8"/>
      <c r="J26" s="37"/>
      <c r="K26" s="19">
        <v>0</v>
      </c>
      <c r="L26" s="198" t="s">
        <v>128</v>
      </c>
      <c r="M26" s="198" t="s">
        <v>128</v>
      </c>
      <c r="N26" s="197" t="s">
        <v>128</v>
      </c>
      <c r="O26" s="195">
        <v>1</v>
      </c>
      <c r="P26" s="45" t="s">
        <v>128</v>
      </c>
      <c r="Q26" s="45" t="s">
        <v>128</v>
      </c>
      <c r="R26" s="45" t="s">
        <v>128</v>
      </c>
      <c r="S26" s="45" t="s">
        <v>128</v>
      </c>
      <c r="T26" s="45" t="s">
        <v>128</v>
      </c>
      <c r="U26" s="45" t="s">
        <v>128</v>
      </c>
      <c r="V26" s="45" t="s">
        <v>128</v>
      </c>
      <c r="W26" s="45" t="s">
        <v>128</v>
      </c>
      <c r="X26" s="45" t="s">
        <v>128</v>
      </c>
      <c r="Y26" s="45" t="s">
        <v>128</v>
      </c>
      <c r="Z26" s="45" t="s">
        <v>128</v>
      </c>
      <c r="AA26" s="45" t="s">
        <v>128</v>
      </c>
      <c r="AB26" s="45" t="s">
        <v>128</v>
      </c>
      <c r="AC26" s="107" t="s">
        <v>128</v>
      </c>
      <c r="AD26" s="107" t="s">
        <v>128</v>
      </c>
      <c r="AE26" s="107" t="s">
        <v>128</v>
      </c>
      <c r="AF26" s="107" t="s">
        <v>128</v>
      </c>
      <c r="AG26" s="107" t="s">
        <v>128</v>
      </c>
      <c r="AH26" s="107" t="s">
        <v>128</v>
      </c>
      <c r="AI26" s="228"/>
      <c r="AJ26" s="228"/>
      <c r="AK26" s="228"/>
      <c r="AL26" s="228"/>
      <c r="AM26" s="228"/>
      <c r="AN26" s="228"/>
      <c r="AO26" s="140"/>
      <c r="AP26" s="140"/>
    </row>
    <row r="27" spans="1:42" s="48" customFormat="1" x14ac:dyDescent="0.2">
      <c r="A27" s="22"/>
      <c r="B27" s="22"/>
      <c r="C27" s="22"/>
      <c r="D27" s="22"/>
      <c r="E27" s="22"/>
      <c r="F27" s="22"/>
      <c r="G27" s="22"/>
      <c r="H27" s="22"/>
      <c r="I27" s="22"/>
      <c r="J27" s="36"/>
      <c r="K27" s="19">
        <v>0</v>
      </c>
      <c r="L27" s="198" t="s">
        <v>128</v>
      </c>
      <c r="M27" s="198" t="s">
        <v>128</v>
      </c>
      <c r="N27" s="197" t="s">
        <v>128</v>
      </c>
      <c r="O27" s="195">
        <v>1</v>
      </c>
      <c r="P27" s="45" t="s">
        <v>128</v>
      </c>
      <c r="Q27" s="45" t="s">
        <v>128</v>
      </c>
      <c r="R27" s="45" t="s">
        <v>128</v>
      </c>
      <c r="S27" s="45" t="s">
        <v>128</v>
      </c>
      <c r="T27" s="45" t="s">
        <v>128</v>
      </c>
      <c r="U27" s="45" t="s">
        <v>128</v>
      </c>
      <c r="V27" s="45" t="s">
        <v>128</v>
      </c>
      <c r="W27" s="45" t="s">
        <v>128</v>
      </c>
      <c r="X27" s="45" t="s">
        <v>128</v>
      </c>
      <c r="Y27" s="45" t="s">
        <v>128</v>
      </c>
      <c r="Z27" s="45" t="s">
        <v>128</v>
      </c>
      <c r="AA27" s="45" t="s">
        <v>128</v>
      </c>
      <c r="AB27" s="45" t="s">
        <v>128</v>
      </c>
      <c r="AC27" s="107" t="s">
        <v>128</v>
      </c>
      <c r="AD27" s="107" t="s">
        <v>128</v>
      </c>
      <c r="AE27" s="107" t="s">
        <v>128</v>
      </c>
      <c r="AF27" s="107" t="s">
        <v>128</v>
      </c>
      <c r="AG27" s="107" t="s">
        <v>128</v>
      </c>
      <c r="AH27" s="107" t="s">
        <v>128</v>
      </c>
      <c r="AI27" s="228"/>
      <c r="AJ27" s="228"/>
      <c r="AK27" s="228"/>
      <c r="AL27" s="228"/>
      <c r="AM27" s="228"/>
      <c r="AN27" s="228"/>
      <c r="AO27" s="140"/>
      <c r="AP27" s="140"/>
    </row>
    <row r="28" spans="1:42" s="48" customFormat="1" x14ac:dyDescent="0.2">
      <c r="A28" s="209"/>
      <c r="B28" s="8"/>
      <c r="C28" s="8"/>
      <c r="D28" s="8"/>
      <c r="E28" s="8"/>
      <c r="F28" s="8"/>
      <c r="G28" s="8"/>
      <c r="H28" s="8"/>
      <c r="I28" s="8"/>
      <c r="J28" s="37"/>
      <c r="K28" s="19">
        <v>0</v>
      </c>
      <c r="L28" s="198" t="s">
        <v>128</v>
      </c>
      <c r="M28" s="198" t="s">
        <v>128</v>
      </c>
      <c r="N28" s="197" t="s">
        <v>128</v>
      </c>
      <c r="O28" s="195">
        <v>1</v>
      </c>
      <c r="P28" s="45" t="s">
        <v>128</v>
      </c>
      <c r="Q28" s="45" t="s">
        <v>128</v>
      </c>
      <c r="R28" s="45" t="s">
        <v>128</v>
      </c>
      <c r="S28" s="45" t="s">
        <v>128</v>
      </c>
      <c r="T28" s="45" t="s">
        <v>128</v>
      </c>
      <c r="U28" s="45" t="s">
        <v>128</v>
      </c>
      <c r="V28" s="45" t="s">
        <v>128</v>
      </c>
      <c r="W28" s="45" t="s">
        <v>128</v>
      </c>
      <c r="X28" s="45" t="s">
        <v>128</v>
      </c>
      <c r="Y28" s="45" t="s">
        <v>128</v>
      </c>
      <c r="Z28" s="45" t="s">
        <v>128</v>
      </c>
      <c r="AA28" s="45" t="s">
        <v>128</v>
      </c>
      <c r="AB28" s="45" t="s">
        <v>128</v>
      </c>
      <c r="AC28" s="107" t="s">
        <v>128</v>
      </c>
      <c r="AD28" s="107" t="s">
        <v>128</v>
      </c>
      <c r="AE28" s="107" t="s">
        <v>128</v>
      </c>
      <c r="AF28" s="107" t="s">
        <v>128</v>
      </c>
      <c r="AG28" s="107" t="s">
        <v>128</v>
      </c>
      <c r="AH28" s="107" t="s">
        <v>128</v>
      </c>
      <c r="AI28" s="228"/>
      <c r="AJ28" s="228"/>
      <c r="AK28" s="228"/>
      <c r="AL28" s="228"/>
      <c r="AM28" s="228"/>
      <c r="AN28" s="228"/>
      <c r="AO28" s="140"/>
      <c r="AP28" s="140"/>
    </row>
    <row r="29" spans="1:42" s="48" customFormat="1" x14ac:dyDescent="0.2">
      <c r="A29" s="22"/>
      <c r="B29" s="22"/>
      <c r="C29" s="22"/>
      <c r="D29" s="22"/>
      <c r="E29" s="22"/>
      <c r="F29" s="22"/>
      <c r="G29" s="22"/>
      <c r="H29" s="22"/>
      <c r="I29" s="22"/>
      <c r="J29" s="36"/>
      <c r="K29" s="19">
        <v>0</v>
      </c>
      <c r="L29" s="198" t="s">
        <v>128</v>
      </c>
      <c r="M29" s="198" t="s">
        <v>128</v>
      </c>
      <c r="N29" s="197" t="s">
        <v>128</v>
      </c>
      <c r="O29" s="195">
        <v>1</v>
      </c>
      <c r="P29" s="45" t="s">
        <v>128</v>
      </c>
      <c r="Q29" s="45" t="s">
        <v>128</v>
      </c>
      <c r="R29" s="45" t="s">
        <v>128</v>
      </c>
      <c r="S29" s="45" t="s">
        <v>128</v>
      </c>
      <c r="T29" s="45" t="s">
        <v>128</v>
      </c>
      <c r="U29" s="45" t="s">
        <v>128</v>
      </c>
      <c r="V29" s="45" t="s">
        <v>128</v>
      </c>
      <c r="W29" s="45" t="s">
        <v>128</v>
      </c>
      <c r="X29" s="45" t="s">
        <v>128</v>
      </c>
      <c r="Y29" s="45" t="s">
        <v>128</v>
      </c>
      <c r="Z29" s="45" t="s">
        <v>128</v>
      </c>
      <c r="AA29" s="45" t="s">
        <v>128</v>
      </c>
      <c r="AB29" s="45" t="s">
        <v>128</v>
      </c>
      <c r="AC29" s="107" t="s">
        <v>128</v>
      </c>
      <c r="AD29" s="107" t="s">
        <v>128</v>
      </c>
      <c r="AE29" s="107" t="s">
        <v>128</v>
      </c>
      <c r="AF29" s="107" t="s">
        <v>128</v>
      </c>
      <c r="AG29" s="107" t="s">
        <v>128</v>
      </c>
      <c r="AH29" s="107" t="s">
        <v>128</v>
      </c>
      <c r="AI29" s="228"/>
      <c r="AJ29" s="228"/>
      <c r="AK29" s="228"/>
      <c r="AL29" s="228"/>
      <c r="AM29" s="228"/>
      <c r="AN29" s="228"/>
      <c r="AO29" s="140"/>
      <c r="AP29" s="140"/>
    </row>
    <row r="30" spans="1:42" s="48" customFormat="1" x14ac:dyDescent="0.2">
      <c r="A30" s="209"/>
      <c r="B30" s="8"/>
      <c r="C30" s="8"/>
      <c r="D30" s="8"/>
      <c r="E30" s="8"/>
      <c r="F30" s="8"/>
      <c r="G30" s="8"/>
      <c r="H30" s="8"/>
      <c r="I30" s="8"/>
      <c r="J30" s="37"/>
      <c r="K30" s="19">
        <v>0</v>
      </c>
      <c r="L30" s="198" t="s">
        <v>128</v>
      </c>
      <c r="M30" s="198" t="s">
        <v>128</v>
      </c>
      <c r="N30" s="197" t="s">
        <v>128</v>
      </c>
      <c r="O30" s="195">
        <v>1</v>
      </c>
      <c r="P30" s="45" t="s">
        <v>128</v>
      </c>
      <c r="Q30" s="45" t="s">
        <v>128</v>
      </c>
      <c r="R30" s="45" t="s">
        <v>128</v>
      </c>
      <c r="S30" s="45" t="s">
        <v>128</v>
      </c>
      <c r="T30" s="45" t="s">
        <v>128</v>
      </c>
      <c r="U30" s="45" t="s">
        <v>128</v>
      </c>
      <c r="V30" s="45" t="s">
        <v>128</v>
      </c>
      <c r="W30" s="45" t="s">
        <v>128</v>
      </c>
      <c r="X30" s="45" t="s">
        <v>128</v>
      </c>
      <c r="Y30" s="45" t="s">
        <v>128</v>
      </c>
      <c r="Z30" s="45" t="s">
        <v>128</v>
      </c>
      <c r="AA30" s="45" t="s">
        <v>128</v>
      </c>
      <c r="AB30" s="45" t="s">
        <v>128</v>
      </c>
      <c r="AC30" s="107" t="s">
        <v>128</v>
      </c>
      <c r="AD30" s="107" t="s">
        <v>128</v>
      </c>
      <c r="AE30" s="107" t="s">
        <v>128</v>
      </c>
      <c r="AF30" s="107" t="s">
        <v>128</v>
      </c>
      <c r="AG30" s="107" t="s">
        <v>128</v>
      </c>
      <c r="AH30" s="107" t="s">
        <v>128</v>
      </c>
      <c r="AI30" s="228"/>
      <c r="AJ30" s="228"/>
      <c r="AK30" s="228"/>
      <c r="AL30" s="228"/>
      <c r="AM30" s="228"/>
      <c r="AN30" s="228"/>
      <c r="AO30" s="140"/>
      <c r="AP30" s="140"/>
    </row>
    <row r="31" spans="1:42" s="48" customFormat="1" x14ac:dyDescent="0.2">
      <c r="A31" s="22"/>
      <c r="B31" s="22"/>
      <c r="C31" s="22"/>
      <c r="D31" s="22"/>
      <c r="E31" s="22"/>
      <c r="F31" s="22"/>
      <c r="G31" s="22"/>
      <c r="H31" s="22"/>
      <c r="I31" s="22"/>
      <c r="J31" s="36"/>
      <c r="K31" s="19">
        <v>0</v>
      </c>
      <c r="L31" s="198" t="s">
        <v>128</v>
      </c>
      <c r="M31" s="198" t="s">
        <v>128</v>
      </c>
      <c r="N31" s="197" t="s">
        <v>128</v>
      </c>
      <c r="O31" s="195">
        <v>1</v>
      </c>
      <c r="P31" s="45" t="s">
        <v>128</v>
      </c>
      <c r="Q31" s="45" t="s">
        <v>128</v>
      </c>
      <c r="R31" s="45" t="s">
        <v>128</v>
      </c>
      <c r="S31" s="45" t="s">
        <v>128</v>
      </c>
      <c r="T31" s="45" t="s">
        <v>128</v>
      </c>
      <c r="U31" s="45" t="s">
        <v>128</v>
      </c>
      <c r="V31" s="45" t="s">
        <v>128</v>
      </c>
      <c r="W31" s="45" t="s">
        <v>128</v>
      </c>
      <c r="X31" s="45" t="s">
        <v>128</v>
      </c>
      <c r="Y31" s="45" t="s">
        <v>128</v>
      </c>
      <c r="Z31" s="45" t="s">
        <v>128</v>
      </c>
      <c r="AA31" s="45" t="s">
        <v>128</v>
      </c>
      <c r="AB31" s="45" t="s">
        <v>128</v>
      </c>
      <c r="AC31" s="107" t="s">
        <v>128</v>
      </c>
      <c r="AD31" s="107" t="s">
        <v>128</v>
      </c>
      <c r="AE31" s="107" t="s">
        <v>128</v>
      </c>
      <c r="AF31" s="107" t="s">
        <v>128</v>
      </c>
      <c r="AG31" s="107" t="s">
        <v>128</v>
      </c>
      <c r="AH31" s="107" t="s">
        <v>128</v>
      </c>
      <c r="AI31" s="228"/>
      <c r="AJ31" s="228"/>
      <c r="AK31" s="228"/>
      <c r="AL31" s="228"/>
      <c r="AM31" s="228"/>
      <c r="AN31" s="228"/>
      <c r="AO31" s="140"/>
      <c r="AP31" s="140"/>
    </row>
    <row r="32" spans="1:42" s="48" customFormat="1" x14ac:dyDescent="0.2">
      <c r="A32" s="209"/>
      <c r="B32" s="8"/>
      <c r="C32" s="8"/>
      <c r="D32" s="8"/>
      <c r="E32" s="8"/>
      <c r="F32" s="8"/>
      <c r="G32" s="8"/>
      <c r="H32" s="8"/>
      <c r="I32" s="8"/>
      <c r="J32" s="37"/>
      <c r="K32" s="19">
        <v>0</v>
      </c>
      <c r="L32" s="198" t="s">
        <v>128</v>
      </c>
      <c r="M32" s="198" t="s">
        <v>128</v>
      </c>
      <c r="N32" s="197" t="s">
        <v>128</v>
      </c>
      <c r="O32" s="195">
        <v>1</v>
      </c>
      <c r="P32" s="45" t="s">
        <v>128</v>
      </c>
      <c r="Q32" s="45" t="s">
        <v>128</v>
      </c>
      <c r="R32" s="45" t="s">
        <v>128</v>
      </c>
      <c r="S32" s="45" t="s">
        <v>128</v>
      </c>
      <c r="T32" s="45" t="s">
        <v>128</v>
      </c>
      <c r="U32" s="45" t="s">
        <v>128</v>
      </c>
      <c r="V32" s="45" t="s">
        <v>128</v>
      </c>
      <c r="W32" s="45" t="s">
        <v>128</v>
      </c>
      <c r="X32" s="45" t="s">
        <v>128</v>
      </c>
      <c r="Y32" s="45" t="s">
        <v>128</v>
      </c>
      <c r="Z32" s="45" t="s">
        <v>128</v>
      </c>
      <c r="AA32" s="45" t="s">
        <v>128</v>
      </c>
      <c r="AB32" s="45" t="s">
        <v>128</v>
      </c>
      <c r="AC32" s="107" t="s">
        <v>128</v>
      </c>
      <c r="AD32" s="107" t="s">
        <v>128</v>
      </c>
      <c r="AE32" s="107" t="s">
        <v>128</v>
      </c>
      <c r="AF32" s="107" t="s">
        <v>128</v>
      </c>
      <c r="AG32" s="107" t="s">
        <v>128</v>
      </c>
      <c r="AH32" s="107" t="s">
        <v>128</v>
      </c>
      <c r="AI32" s="228"/>
      <c r="AJ32" s="228"/>
      <c r="AK32" s="228"/>
      <c r="AL32" s="228"/>
      <c r="AM32" s="228"/>
      <c r="AN32" s="228"/>
      <c r="AO32" s="140"/>
      <c r="AP32" s="140"/>
    </row>
    <row r="33" spans="1:42" s="48" customFormat="1" x14ac:dyDescent="0.2">
      <c r="A33" s="22"/>
      <c r="B33" s="22"/>
      <c r="C33" s="22"/>
      <c r="D33" s="22"/>
      <c r="E33" s="22"/>
      <c r="F33" s="22"/>
      <c r="G33" s="22"/>
      <c r="H33" s="22"/>
      <c r="I33" s="22"/>
      <c r="J33" s="36"/>
      <c r="K33" s="19">
        <v>0</v>
      </c>
      <c r="L33" s="198" t="s">
        <v>128</v>
      </c>
      <c r="M33" s="198" t="s">
        <v>128</v>
      </c>
      <c r="N33" s="197" t="s">
        <v>128</v>
      </c>
      <c r="O33" s="195">
        <v>1</v>
      </c>
      <c r="P33" s="45" t="s">
        <v>128</v>
      </c>
      <c r="Q33" s="45" t="s">
        <v>128</v>
      </c>
      <c r="R33" s="45" t="s">
        <v>128</v>
      </c>
      <c r="S33" s="45" t="s">
        <v>128</v>
      </c>
      <c r="T33" s="45" t="s">
        <v>128</v>
      </c>
      <c r="U33" s="45" t="s">
        <v>128</v>
      </c>
      <c r="V33" s="45" t="s">
        <v>128</v>
      </c>
      <c r="W33" s="45" t="s">
        <v>128</v>
      </c>
      <c r="X33" s="45" t="s">
        <v>128</v>
      </c>
      <c r="Y33" s="45" t="s">
        <v>128</v>
      </c>
      <c r="Z33" s="45" t="s">
        <v>128</v>
      </c>
      <c r="AA33" s="45" t="s">
        <v>128</v>
      </c>
      <c r="AB33" s="45" t="s">
        <v>128</v>
      </c>
      <c r="AC33" s="107" t="s">
        <v>128</v>
      </c>
      <c r="AD33" s="107" t="s">
        <v>128</v>
      </c>
      <c r="AE33" s="107" t="s">
        <v>128</v>
      </c>
      <c r="AF33" s="107" t="s">
        <v>128</v>
      </c>
      <c r="AG33" s="107" t="s">
        <v>128</v>
      </c>
      <c r="AH33" s="107" t="s">
        <v>128</v>
      </c>
      <c r="AI33" s="228"/>
      <c r="AJ33" s="228"/>
      <c r="AK33" s="228"/>
      <c r="AL33" s="228"/>
      <c r="AM33" s="228"/>
      <c r="AN33" s="228"/>
      <c r="AO33" s="140"/>
      <c r="AP33" s="140"/>
    </row>
    <row r="34" spans="1:42" s="48" customFormat="1" x14ac:dyDescent="0.2">
      <c r="A34" s="209"/>
      <c r="B34" s="8"/>
      <c r="C34" s="8"/>
      <c r="D34" s="8"/>
      <c r="E34" s="8"/>
      <c r="F34" s="8"/>
      <c r="G34" s="8"/>
      <c r="H34" s="8"/>
      <c r="I34" s="8"/>
      <c r="J34" s="37"/>
      <c r="K34" s="19">
        <v>0</v>
      </c>
      <c r="L34" s="198" t="s">
        <v>128</v>
      </c>
      <c r="M34" s="198" t="s">
        <v>128</v>
      </c>
      <c r="N34" s="197" t="s">
        <v>128</v>
      </c>
      <c r="O34" s="195">
        <v>1</v>
      </c>
      <c r="P34" s="45" t="s">
        <v>128</v>
      </c>
      <c r="Q34" s="45" t="s">
        <v>128</v>
      </c>
      <c r="R34" s="45" t="s">
        <v>128</v>
      </c>
      <c r="S34" s="45" t="s">
        <v>128</v>
      </c>
      <c r="T34" s="45" t="s">
        <v>128</v>
      </c>
      <c r="U34" s="45" t="s">
        <v>128</v>
      </c>
      <c r="V34" s="45" t="s">
        <v>128</v>
      </c>
      <c r="W34" s="45" t="s">
        <v>128</v>
      </c>
      <c r="X34" s="45" t="s">
        <v>128</v>
      </c>
      <c r="Y34" s="45" t="s">
        <v>128</v>
      </c>
      <c r="Z34" s="45" t="s">
        <v>128</v>
      </c>
      <c r="AA34" s="45" t="s">
        <v>128</v>
      </c>
      <c r="AB34" s="45" t="s">
        <v>128</v>
      </c>
      <c r="AC34" s="107" t="s">
        <v>128</v>
      </c>
      <c r="AD34" s="107" t="s">
        <v>128</v>
      </c>
      <c r="AE34" s="107" t="s">
        <v>128</v>
      </c>
      <c r="AF34" s="107" t="s">
        <v>128</v>
      </c>
      <c r="AG34" s="107" t="s">
        <v>128</v>
      </c>
      <c r="AH34" s="107" t="s">
        <v>128</v>
      </c>
      <c r="AI34" s="228"/>
      <c r="AJ34" s="228"/>
      <c r="AK34" s="228"/>
      <c r="AL34" s="228"/>
      <c r="AM34" s="228"/>
      <c r="AN34" s="228"/>
      <c r="AO34" s="228"/>
      <c r="AP34" s="228"/>
    </row>
    <row r="35" spans="1:42" s="48" customFormat="1" x14ac:dyDescent="0.2">
      <c r="A35" s="22"/>
      <c r="B35" s="22"/>
      <c r="C35" s="22"/>
      <c r="D35" s="22"/>
      <c r="E35" s="22"/>
      <c r="F35" s="22"/>
      <c r="G35" s="22"/>
      <c r="H35" s="22"/>
      <c r="I35" s="22"/>
      <c r="J35" s="36"/>
      <c r="K35" s="19">
        <v>0</v>
      </c>
      <c r="L35" s="198" t="s">
        <v>128</v>
      </c>
      <c r="M35" s="198" t="s">
        <v>128</v>
      </c>
      <c r="N35" s="197" t="s">
        <v>128</v>
      </c>
      <c r="O35" s="195">
        <v>1</v>
      </c>
      <c r="P35" s="45" t="s">
        <v>128</v>
      </c>
      <c r="Q35" s="45" t="s">
        <v>128</v>
      </c>
      <c r="R35" s="45" t="s">
        <v>128</v>
      </c>
      <c r="S35" s="45" t="s">
        <v>128</v>
      </c>
      <c r="T35" s="45" t="s">
        <v>128</v>
      </c>
      <c r="U35" s="45" t="s">
        <v>128</v>
      </c>
      <c r="V35" s="45" t="s">
        <v>128</v>
      </c>
      <c r="W35" s="45" t="s">
        <v>128</v>
      </c>
      <c r="X35" s="45" t="s">
        <v>128</v>
      </c>
      <c r="Y35" s="45" t="s">
        <v>128</v>
      </c>
      <c r="Z35" s="45" t="s">
        <v>128</v>
      </c>
      <c r="AA35" s="45" t="s">
        <v>128</v>
      </c>
      <c r="AB35" s="45" t="s">
        <v>128</v>
      </c>
      <c r="AC35" s="107" t="s">
        <v>128</v>
      </c>
      <c r="AD35" s="107" t="s">
        <v>128</v>
      </c>
      <c r="AE35" s="107" t="s">
        <v>128</v>
      </c>
      <c r="AF35" s="107" t="s">
        <v>128</v>
      </c>
      <c r="AG35" s="107" t="s">
        <v>128</v>
      </c>
      <c r="AH35" s="107" t="s">
        <v>128</v>
      </c>
      <c r="AI35" s="228"/>
      <c r="AJ35" s="228"/>
      <c r="AK35" s="228"/>
      <c r="AL35" s="228"/>
      <c r="AM35" s="228"/>
      <c r="AN35" s="228"/>
      <c r="AO35" s="228"/>
      <c r="AP35" s="228"/>
    </row>
    <row r="36" spans="1:42" s="48" customFormat="1" x14ac:dyDescent="0.2">
      <c r="A36" s="209"/>
      <c r="B36" s="8"/>
      <c r="C36" s="8"/>
      <c r="D36" s="8"/>
      <c r="E36" s="8"/>
      <c r="F36" s="8"/>
      <c r="G36" s="8"/>
      <c r="H36" s="8"/>
      <c r="I36" s="8"/>
      <c r="J36" s="37"/>
      <c r="K36" s="19">
        <v>0</v>
      </c>
      <c r="L36" s="198" t="s">
        <v>128</v>
      </c>
      <c r="M36" s="198" t="s">
        <v>128</v>
      </c>
      <c r="N36" s="197" t="s">
        <v>128</v>
      </c>
      <c r="O36" s="195">
        <v>1</v>
      </c>
      <c r="P36" s="45" t="s">
        <v>128</v>
      </c>
      <c r="Q36" s="45" t="s">
        <v>128</v>
      </c>
      <c r="R36" s="45" t="s">
        <v>128</v>
      </c>
      <c r="S36" s="45" t="s">
        <v>128</v>
      </c>
      <c r="T36" s="45" t="s">
        <v>128</v>
      </c>
      <c r="U36" s="45" t="s">
        <v>128</v>
      </c>
      <c r="V36" s="45" t="s">
        <v>128</v>
      </c>
      <c r="W36" s="45" t="s">
        <v>128</v>
      </c>
      <c r="X36" s="45" t="s">
        <v>128</v>
      </c>
      <c r="Y36" s="45" t="s">
        <v>128</v>
      </c>
      <c r="Z36" s="45" t="s">
        <v>128</v>
      </c>
      <c r="AA36" s="45" t="s">
        <v>128</v>
      </c>
      <c r="AB36" s="45" t="s">
        <v>128</v>
      </c>
      <c r="AC36" s="107" t="s">
        <v>128</v>
      </c>
      <c r="AD36" s="107" t="s">
        <v>128</v>
      </c>
      <c r="AE36" s="107" t="s">
        <v>128</v>
      </c>
      <c r="AF36" s="107" t="s">
        <v>128</v>
      </c>
      <c r="AG36" s="107" t="s">
        <v>128</v>
      </c>
      <c r="AH36" s="107" t="s">
        <v>128</v>
      </c>
      <c r="AI36" s="228"/>
      <c r="AJ36" s="228"/>
      <c r="AK36" s="228"/>
      <c r="AL36" s="228"/>
      <c r="AM36" s="228"/>
      <c r="AN36" s="228"/>
      <c r="AO36" s="228"/>
      <c r="AP36" s="228"/>
    </row>
    <row r="37" spans="1:42" s="48" customFormat="1" x14ac:dyDescent="0.2">
      <c r="A37" s="22"/>
      <c r="B37" s="22"/>
      <c r="C37" s="22"/>
      <c r="D37" s="22"/>
      <c r="E37" s="22"/>
      <c r="F37" s="22"/>
      <c r="G37" s="22"/>
      <c r="H37" s="22"/>
      <c r="I37" s="22"/>
      <c r="J37" s="36"/>
      <c r="K37" s="19">
        <v>0</v>
      </c>
      <c r="L37" s="198" t="s">
        <v>128</v>
      </c>
      <c r="M37" s="198" t="s">
        <v>128</v>
      </c>
      <c r="N37" s="197" t="s">
        <v>128</v>
      </c>
      <c r="O37" s="195">
        <v>1</v>
      </c>
      <c r="P37" s="45" t="s">
        <v>128</v>
      </c>
      <c r="Q37" s="45" t="s">
        <v>128</v>
      </c>
      <c r="R37" s="45" t="s">
        <v>128</v>
      </c>
      <c r="S37" s="45" t="s">
        <v>128</v>
      </c>
      <c r="T37" s="45" t="s">
        <v>128</v>
      </c>
      <c r="U37" s="45" t="s">
        <v>128</v>
      </c>
      <c r="V37" s="45" t="s">
        <v>128</v>
      </c>
      <c r="W37" s="45" t="s">
        <v>128</v>
      </c>
      <c r="X37" s="45" t="s">
        <v>128</v>
      </c>
      <c r="Y37" s="45" t="s">
        <v>128</v>
      </c>
      <c r="Z37" s="45" t="s">
        <v>128</v>
      </c>
      <c r="AA37" s="45" t="s">
        <v>128</v>
      </c>
      <c r="AB37" s="45" t="s">
        <v>128</v>
      </c>
      <c r="AC37" s="107" t="s">
        <v>128</v>
      </c>
      <c r="AD37" s="107" t="s">
        <v>128</v>
      </c>
      <c r="AE37" s="107" t="s">
        <v>128</v>
      </c>
      <c r="AF37" s="107" t="s">
        <v>128</v>
      </c>
      <c r="AG37" s="107" t="s">
        <v>128</v>
      </c>
      <c r="AH37" s="107" t="s">
        <v>128</v>
      </c>
      <c r="AI37" s="228"/>
      <c r="AJ37" s="228"/>
      <c r="AK37" s="228"/>
      <c r="AL37" s="228"/>
      <c r="AM37" s="228"/>
      <c r="AN37" s="228"/>
      <c r="AO37" s="228"/>
      <c r="AP37" s="228"/>
    </row>
    <row r="38" spans="1:42" s="48" customFormat="1" x14ac:dyDescent="0.15">
      <c r="A38" s="209"/>
      <c r="B38" s="8"/>
      <c r="C38" s="8"/>
      <c r="D38" s="8"/>
      <c r="E38" s="8"/>
      <c r="F38" s="8"/>
      <c r="G38" s="8"/>
      <c r="H38" s="8"/>
      <c r="I38" s="8"/>
      <c r="J38" s="37"/>
      <c r="K38" s="19">
        <v>0</v>
      </c>
      <c r="L38" s="198" t="s">
        <v>128</v>
      </c>
      <c r="M38" s="198" t="s">
        <v>128</v>
      </c>
      <c r="N38" s="197" t="s">
        <v>128</v>
      </c>
      <c r="O38" s="195">
        <v>1</v>
      </c>
      <c r="P38" s="45" t="s">
        <v>128</v>
      </c>
      <c r="Q38" s="45" t="s">
        <v>128</v>
      </c>
      <c r="R38" s="45" t="s">
        <v>128</v>
      </c>
      <c r="S38" s="45" t="s">
        <v>128</v>
      </c>
      <c r="T38" s="45" t="s">
        <v>128</v>
      </c>
      <c r="U38" s="45" t="s">
        <v>128</v>
      </c>
      <c r="V38" s="45" t="s">
        <v>128</v>
      </c>
      <c r="W38" s="45" t="s">
        <v>128</v>
      </c>
      <c r="X38" s="45" t="s">
        <v>128</v>
      </c>
      <c r="Y38" s="45" t="s">
        <v>128</v>
      </c>
      <c r="Z38" s="45" t="s">
        <v>128</v>
      </c>
      <c r="AA38" s="45" t="s">
        <v>128</v>
      </c>
      <c r="AB38" s="45" t="s">
        <v>128</v>
      </c>
      <c r="AC38" s="107" t="s">
        <v>128</v>
      </c>
      <c r="AD38" s="107" t="s">
        <v>128</v>
      </c>
      <c r="AE38" s="107" t="s">
        <v>128</v>
      </c>
      <c r="AF38" s="107" t="s">
        <v>128</v>
      </c>
      <c r="AG38" s="107" t="s">
        <v>128</v>
      </c>
      <c r="AH38" s="107" t="s">
        <v>128</v>
      </c>
      <c r="AI38" s="205"/>
      <c r="AJ38" s="140"/>
      <c r="AK38" s="305"/>
      <c r="AL38" s="306"/>
      <c r="AM38" s="228"/>
      <c r="AN38" s="140"/>
      <c r="AO38" s="140"/>
      <c r="AP38" s="140"/>
    </row>
    <row r="39" spans="1:42" s="48" customFormat="1" x14ac:dyDescent="0.2">
      <c r="A39" s="22"/>
      <c r="B39" s="22"/>
      <c r="C39" s="22"/>
      <c r="D39" s="22"/>
      <c r="E39" s="22"/>
      <c r="F39" s="22"/>
      <c r="G39" s="22"/>
      <c r="H39" s="22"/>
      <c r="I39" s="22"/>
      <c r="J39" s="36"/>
      <c r="K39" s="19">
        <v>0</v>
      </c>
      <c r="L39" s="198" t="s">
        <v>128</v>
      </c>
      <c r="M39" s="198" t="s">
        <v>128</v>
      </c>
      <c r="N39" s="197" t="s">
        <v>128</v>
      </c>
      <c r="O39" s="195">
        <v>1</v>
      </c>
      <c r="P39" s="45" t="s">
        <v>128</v>
      </c>
      <c r="Q39" s="45" t="s">
        <v>128</v>
      </c>
      <c r="R39" s="45" t="s">
        <v>128</v>
      </c>
      <c r="S39" s="45" t="s">
        <v>128</v>
      </c>
      <c r="T39" s="45" t="s">
        <v>128</v>
      </c>
      <c r="U39" s="45" t="s">
        <v>128</v>
      </c>
      <c r="V39" s="45" t="s">
        <v>128</v>
      </c>
      <c r="W39" s="45" t="s">
        <v>128</v>
      </c>
      <c r="X39" s="45" t="s">
        <v>128</v>
      </c>
      <c r="Y39" s="45" t="s">
        <v>128</v>
      </c>
      <c r="Z39" s="45" t="s">
        <v>128</v>
      </c>
      <c r="AA39" s="45" t="s">
        <v>128</v>
      </c>
      <c r="AB39" s="45" t="s">
        <v>128</v>
      </c>
      <c r="AC39" s="107" t="s">
        <v>128</v>
      </c>
      <c r="AD39" s="107" t="s">
        <v>128</v>
      </c>
      <c r="AE39" s="107" t="s">
        <v>128</v>
      </c>
      <c r="AF39" s="107" t="s">
        <v>128</v>
      </c>
      <c r="AG39" s="107" t="s">
        <v>128</v>
      </c>
      <c r="AH39" s="107" t="s">
        <v>128</v>
      </c>
      <c r="AI39" s="228"/>
      <c r="AJ39" s="228"/>
      <c r="AK39" s="228"/>
      <c r="AL39" s="228"/>
      <c r="AM39" s="228"/>
      <c r="AN39" s="140"/>
      <c r="AO39" s="228"/>
      <c r="AP39" s="228"/>
    </row>
    <row r="40" spans="1:42" s="48" customFormat="1" x14ac:dyDescent="0.2">
      <c r="A40" s="209"/>
      <c r="B40" s="8"/>
      <c r="C40" s="8"/>
      <c r="D40" s="8"/>
      <c r="E40" s="8"/>
      <c r="F40" s="8"/>
      <c r="G40" s="8"/>
      <c r="H40" s="8"/>
      <c r="I40" s="8"/>
      <c r="J40" s="37"/>
      <c r="K40" s="19">
        <v>0</v>
      </c>
      <c r="L40" s="198" t="s">
        <v>128</v>
      </c>
      <c r="M40" s="198" t="s">
        <v>128</v>
      </c>
      <c r="N40" s="197" t="s">
        <v>128</v>
      </c>
      <c r="O40" s="195">
        <v>1</v>
      </c>
      <c r="P40" s="45" t="s">
        <v>128</v>
      </c>
      <c r="Q40" s="45" t="s">
        <v>128</v>
      </c>
      <c r="R40" s="45" t="s">
        <v>128</v>
      </c>
      <c r="S40" s="45" t="s">
        <v>128</v>
      </c>
      <c r="T40" s="45" t="s">
        <v>128</v>
      </c>
      <c r="U40" s="45" t="s">
        <v>128</v>
      </c>
      <c r="V40" s="45" t="s">
        <v>128</v>
      </c>
      <c r="W40" s="45" t="s">
        <v>128</v>
      </c>
      <c r="X40" s="45" t="s">
        <v>128</v>
      </c>
      <c r="Y40" s="45" t="s">
        <v>128</v>
      </c>
      <c r="Z40" s="45" t="s">
        <v>128</v>
      </c>
      <c r="AA40" s="45" t="s">
        <v>128</v>
      </c>
      <c r="AB40" s="45" t="s">
        <v>128</v>
      </c>
      <c r="AC40" s="107" t="s">
        <v>128</v>
      </c>
      <c r="AD40" s="107" t="s">
        <v>128</v>
      </c>
      <c r="AE40" s="107" t="s">
        <v>128</v>
      </c>
      <c r="AF40" s="107" t="s">
        <v>128</v>
      </c>
      <c r="AG40" s="107" t="s">
        <v>128</v>
      </c>
      <c r="AH40" s="107" t="s">
        <v>128</v>
      </c>
      <c r="AI40" s="228"/>
      <c r="AJ40" s="228"/>
      <c r="AK40" s="228"/>
      <c r="AL40" s="228"/>
      <c r="AM40" s="228"/>
      <c r="AN40" s="140"/>
      <c r="AO40" s="228"/>
      <c r="AP40" s="228"/>
    </row>
    <row r="41" spans="1:42" s="48" customFormat="1" x14ac:dyDescent="0.15">
      <c r="A41" s="22"/>
      <c r="B41" s="22"/>
      <c r="C41" s="22"/>
      <c r="D41" s="22"/>
      <c r="E41" s="22"/>
      <c r="F41" s="22"/>
      <c r="G41" s="22"/>
      <c r="H41" s="22"/>
      <c r="I41" s="22"/>
      <c r="J41" s="36"/>
      <c r="K41" s="19">
        <v>0</v>
      </c>
      <c r="L41" s="198" t="s">
        <v>128</v>
      </c>
      <c r="M41" s="198" t="s">
        <v>128</v>
      </c>
      <c r="N41" s="197" t="s">
        <v>128</v>
      </c>
      <c r="O41" s="195">
        <v>1</v>
      </c>
      <c r="P41" s="45" t="s">
        <v>128</v>
      </c>
      <c r="Q41" s="45" t="s">
        <v>128</v>
      </c>
      <c r="R41" s="45" t="s">
        <v>128</v>
      </c>
      <c r="S41" s="45" t="s">
        <v>128</v>
      </c>
      <c r="T41" s="45" t="s">
        <v>128</v>
      </c>
      <c r="U41" s="45" t="s">
        <v>128</v>
      </c>
      <c r="V41" s="45" t="s">
        <v>128</v>
      </c>
      <c r="W41" s="45" t="s">
        <v>128</v>
      </c>
      <c r="X41" s="45" t="s">
        <v>128</v>
      </c>
      <c r="Y41" s="45" t="s">
        <v>128</v>
      </c>
      <c r="Z41" s="45" t="s">
        <v>128</v>
      </c>
      <c r="AA41" s="45" t="s">
        <v>128</v>
      </c>
      <c r="AB41" s="45" t="s">
        <v>128</v>
      </c>
      <c r="AC41" s="107" t="s">
        <v>128</v>
      </c>
      <c r="AD41" s="107" t="s">
        <v>128</v>
      </c>
      <c r="AE41" s="107" t="s">
        <v>128</v>
      </c>
      <c r="AF41" s="107" t="s">
        <v>128</v>
      </c>
      <c r="AG41" s="107" t="s">
        <v>128</v>
      </c>
      <c r="AH41" s="107" t="s">
        <v>128</v>
      </c>
      <c r="AI41" s="205"/>
      <c r="AJ41" s="140"/>
      <c r="AK41" s="305"/>
      <c r="AL41" s="306"/>
      <c r="AM41" s="228"/>
      <c r="AN41" s="140"/>
      <c r="AO41" s="140"/>
      <c r="AP41" s="140"/>
    </row>
    <row r="42" spans="1:42" s="48" customFormat="1" x14ac:dyDescent="0.2">
      <c r="A42" s="209"/>
      <c r="B42" s="8"/>
      <c r="C42" s="8"/>
      <c r="D42" s="8"/>
      <c r="E42" s="8"/>
      <c r="F42" s="8"/>
      <c r="G42" s="8"/>
      <c r="H42" s="8"/>
      <c r="I42" s="8"/>
      <c r="J42" s="37"/>
      <c r="K42" s="19">
        <v>0</v>
      </c>
      <c r="L42" s="198" t="s">
        <v>128</v>
      </c>
      <c r="M42" s="198" t="s">
        <v>128</v>
      </c>
      <c r="N42" s="197" t="s">
        <v>128</v>
      </c>
      <c r="O42" s="195">
        <v>1</v>
      </c>
      <c r="P42" s="45" t="s">
        <v>128</v>
      </c>
      <c r="Q42" s="45" t="s">
        <v>128</v>
      </c>
      <c r="R42" s="45" t="s">
        <v>128</v>
      </c>
      <c r="S42" s="45" t="s">
        <v>128</v>
      </c>
      <c r="T42" s="45" t="s">
        <v>128</v>
      </c>
      <c r="U42" s="45" t="s">
        <v>128</v>
      </c>
      <c r="V42" s="45" t="s">
        <v>128</v>
      </c>
      <c r="W42" s="45" t="s">
        <v>128</v>
      </c>
      <c r="X42" s="45" t="s">
        <v>128</v>
      </c>
      <c r="Y42" s="45" t="s">
        <v>128</v>
      </c>
      <c r="Z42" s="45" t="s">
        <v>128</v>
      </c>
      <c r="AA42" s="45" t="s">
        <v>128</v>
      </c>
      <c r="AB42" s="45" t="s">
        <v>128</v>
      </c>
      <c r="AC42" s="107" t="s">
        <v>128</v>
      </c>
      <c r="AD42" s="107" t="s">
        <v>128</v>
      </c>
      <c r="AE42" s="107" t="s">
        <v>128</v>
      </c>
      <c r="AF42" s="107" t="s">
        <v>128</v>
      </c>
      <c r="AG42" s="107" t="s">
        <v>128</v>
      </c>
      <c r="AH42" s="107" t="s">
        <v>128</v>
      </c>
      <c r="AI42" s="228"/>
      <c r="AJ42" s="140"/>
      <c r="AK42" s="228"/>
      <c r="AL42" s="228"/>
      <c r="AM42" s="228"/>
      <c r="AN42" s="140"/>
      <c r="AO42" s="228"/>
      <c r="AP42" s="228"/>
    </row>
    <row r="43" spans="1:42" s="48" customFormat="1" x14ac:dyDescent="0.15">
      <c r="A43" s="22"/>
      <c r="B43" s="22"/>
      <c r="C43" s="22"/>
      <c r="D43" s="22"/>
      <c r="E43" s="22"/>
      <c r="F43" s="22"/>
      <c r="G43" s="22"/>
      <c r="H43" s="22"/>
      <c r="I43" s="22"/>
      <c r="J43" s="36"/>
      <c r="K43" s="19">
        <v>0</v>
      </c>
      <c r="L43" s="198" t="s">
        <v>128</v>
      </c>
      <c r="M43" s="198" t="s">
        <v>128</v>
      </c>
      <c r="N43" s="197" t="s">
        <v>128</v>
      </c>
      <c r="O43" s="195">
        <v>1</v>
      </c>
      <c r="P43" s="45" t="s">
        <v>128</v>
      </c>
      <c r="Q43" s="45" t="s">
        <v>128</v>
      </c>
      <c r="R43" s="45" t="s">
        <v>128</v>
      </c>
      <c r="S43" s="45" t="s">
        <v>128</v>
      </c>
      <c r="T43" s="45" t="s">
        <v>128</v>
      </c>
      <c r="U43" s="45" t="s">
        <v>128</v>
      </c>
      <c r="V43" s="45" t="s">
        <v>128</v>
      </c>
      <c r="W43" s="45" t="s">
        <v>128</v>
      </c>
      <c r="X43" s="45" t="s">
        <v>128</v>
      </c>
      <c r="Y43" s="45" t="s">
        <v>128</v>
      </c>
      <c r="Z43" s="45" t="s">
        <v>128</v>
      </c>
      <c r="AA43" s="45" t="s">
        <v>128</v>
      </c>
      <c r="AB43" s="45" t="s">
        <v>128</v>
      </c>
      <c r="AC43" s="107" t="s">
        <v>128</v>
      </c>
      <c r="AD43" s="107" t="s">
        <v>128</v>
      </c>
      <c r="AE43" s="107" t="s">
        <v>128</v>
      </c>
      <c r="AF43" s="107" t="s">
        <v>128</v>
      </c>
      <c r="AG43" s="107" t="s">
        <v>128</v>
      </c>
      <c r="AH43" s="107" t="s">
        <v>128</v>
      </c>
      <c r="AI43" s="280"/>
      <c r="AJ43" s="274"/>
      <c r="AK43" s="307"/>
      <c r="AL43" s="308"/>
      <c r="AM43" s="273"/>
      <c r="AN43" s="274"/>
      <c r="AO43" s="274"/>
      <c r="AP43" s="274"/>
    </row>
    <row r="44" spans="1:42" s="48" customFormat="1" x14ac:dyDescent="0.2">
      <c r="A44" s="209"/>
      <c r="B44" s="8"/>
      <c r="C44" s="8"/>
      <c r="D44" s="8"/>
      <c r="E44" s="8"/>
      <c r="F44" s="8"/>
      <c r="G44" s="8"/>
      <c r="H44" s="8"/>
      <c r="I44" s="8"/>
      <c r="J44" s="37"/>
      <c r="K44" s="19">
        <v>0</v>
      </c>
      <c r="L44" s="198" t="s">
        <v>128</v>
      </c>
      <c r="M44" s="198" t="s">
        <v>128</v>
      </c>
      <c r="N44" s="197" t="s">
        <v>128</v>
      </c>
      <c r="O44" s="195">
        <v>1</v>
      </c>
      <c r="P44" s="45" t="s">
        <v>128</v>
      </c>
      <c r="Q44" s="45" t="s">
        <v>128</v>
      </c>
      <c r="R44" s="45" t="s">
        <v>128</v>
      </c>
      <c r="S44" s="45" t="s">
        <v>128</v>
      </c>
      <c r="T44" s="45" t="s">
        <v>128</v>
      </c>
      <c r="U44" s="45" t="s">
        <v>128</v>
      </c>
      <c r="V44" s="45" t="s">
        <v>128</v>
      </c>
      <c r="W44" s="45" t="s">
        <v>128</v>
      </c>
      <c r="X44" s="45" t="s">
        <v>128</v>
      </c>
      <c r="Y44" s="45" t="s">
        <v>128</v>
      </c>
      <c r="Z44" s="45" t="s">
        <v>128</v>
      </c>
      <c r="AA44" s="45" t="s">
        <v>128</v>
      </c>
      <c r="AB44" s="45" t="s">
        <v>128</v>
      </c>
      <c r="AC44" s="107" t="s">
        <v>128</v>
      </c>
      <c r="AD44" s="107" t="s">
        <v>128</v>
      </c>
      <c r="AE44" s="107" t="s">
        <v>128</v>
      </c>
      <c r="AF44" s="107" t="s">
        <v>128</v>
      </c>
      <c r="AG44" s="107" t="s">
        <v>128</v>
      </c>
      <c r="AH44" s="107" t="s">
        <v>128</v>
      </c>
      <c r="AI44" s="228"/>
      <c r="AJ44" s="228"/>
      <c r="AK44" s="228"/>
      <c r="AL44" s="228"/>
      <c r="AM44" s="228"/>
      <c r="AN44" s="228"/>
      <c r="AO44" s="228"/>
      <c r="AP44" s="228"/>
    </row>
    <row r="45" spans="1:42" s="48" customFormat="1" x14ac:dyDescent="0.2">
      <c r="A45" s="22"/>
      <c r="B45" s="22"/>
      <c r="C45" s="22"/>
      <c r="D45" s="22"/>
      <c r="E45" s="22"/>
      <c r="F45" s="22"/>
      <c r="G45" s="22"/>
      <c r="H45" s="22"/>
      <c r="I45" s="22"/>
      <c r="J45" s="36"/>
      <c r="K45" s="19">
        <v>0</v>
      </c>
      <c r="L45" s="198" t="s">
        <v>128</v>
      </c>
      <c r="M45" s="198" t="s">
        <v>128</v>
      </c>
      <c r="N45" s="197" t="s">
        <v>128</v>
      </c>
      <c r="O45" s="195">
        <v>1</v>
      </c>
      <c r="P45" s="45" t="s">
        <v>128</v>
      </c>
      <c r="Q45" s="45" t="s">
        <v>128</v>
      </c>
      <c r="R45" s="45" t="s">
        <v>128</v>
      </c>
      <c r="S45" s="45" t="s">
        <v>128</v>
      </c>
      <c r="T45" s="45" t="s">
        <v>128</v>
      </c>
      <c r="U45" s="45" t="s">
        <v>128</v>
      </c>
      <c r="V45" s="45" t="s">
        <v>128</v>
      </c>
      <c r="W45" s="45" t="s">
        <v>128</v>
      </c>
      <c r="X45" s="45" t="s">
        <v>128</v>
      </c>
      <c r="Y45" s="45" t="s">
        <v>128</v>
      </c>
      <c r="Z45" s="45" t="s">
        <v>128</v>
      </c>
      <c r="AA45" s="45" t="s">
        <v>128</v>
      </c>
      <c r="AB45" s="45" t="s">
        <v>128</v>
      </c>
      <c r="AC45" s="107" t="s">
        <v>128</v>
      </c>
      <c r="AD45" s="107" t="s">
        <v>128</v>
      </c>
      <c r="AE45" s="107" t="s">
        <v>128</v>
      </c>
      <c r="AF45" s="107" t="s">
        <v>128</v>
      </c>
      <c r="AG45" s="107" t="s">
        <v>128</v>
      </c>
      <c r="AH45" s="107" t="s">
        <v>128</v>
      </c>
      <c r="AI45" s="228"/>
      <c r="AJ45" s="228"/>
      <c r="AK45" s="228"/>
      <c r="AL45" s="228"/>
      <c r="AM45" s="228"/>
      <c r="AN45" s="228"/>
      <c r="AO45" s="228"/>
      <c r="AP45" s="228"/>
    </row>
    <row r="46" spans="1:42" s="48" customFormat="1" x14ac:dyDescent="0.2">
      <c r="A46" s="209"/>
      <c r="B46" s="8"/>
      <c r="C46" s="8"/>
      <c r="D46" s="8"/>
      <c r="E46" s="8"/>
      <c r="F46" s="8"/>
      <c r="G46" s="8"/>
      <c r="H46" s="8"/>
      <c r="I46" s="8"/>
      <c r="J46" s="37"/>
      <c r="K46" s="19">
        <v>0</v>
      </c>
      <c r="L46" s="198" t="s">
        <v>128</v>
      </c>
      <c r="M46" s="198" t="s">
        <v>128</v>
      </c>
      <c r="N46" s="197" t="s">
        <v>128</v>
      </c>
      <c r="O46" s="195">
        <v>1</v>
      </c>
      <c r="P46" s="45" t="s">
        <v>128</v>
      </c>
      <c r="Q46" s="45" t="s">
        <v>128</v>
      </c>
      <c r="R46" s="45" t="s">
        <v>128</v>
      </c>
      <c r="S46" s="45" t="s">
        <v>128</v>
      </c>
      <c r="T46" s="45" t="s">
        <v>128</v>
      </c>
      <c r="U46" s="45" t="s">
        <v>128</v>
      </c>
      <c r="V46" s="45" t="s">
        <v>128</v>
      </c>
      <c r="W46" s="45" t="s">
        <v>128</v>
      </c>
      <c r="X46" s="45" t="s">
        <v>128</v>
      </c>
      <c r="Y46" s="45" t="s">
        <v>128</v>
      </c>
      <c r="Z46" s="45" t="s">
        <v>128</v>
      </c>
      <c r="AA46" s="45" t="s">
        <v>128</v>
      </c>
      <c r="AB46" s="45" t="s">
        <v>128</v>
      </c>
      <c r="AC46" s="107" t="s">
        <v>128</v>
      </c>
      <c r="AD46" s="107" t="s">
        <v>128</v>
      </c>
      <c r="AE46" s="107" t="s">
        <v>128</v>
      </c>
      <c r="AF46" s="107" t="s">
        <v>128</v>
      </c>
      <c r="AG46" s="107" t="s">
        <v>128</v>
      </c>
      <c r="AH46" s="107" t="s">
        <v>128</v>
      </c>
      <c r="AI46" s="228"/>
      <c r="AJ46" s="228"/>
      <c r="AK46" s="228"/>
      <c r="AL46" s="228"/>
      <c r="AM46" s="228"/>
      <c r="AN46" s="228"/>
      <c r="AO46" s="228"/>
      <c r="AP46" s="228"/>
    </row>
    <row r="47" spans="1:42" s="48" customFormat="1" x14ac:dyDescent="0.2">
      <c r="A47" s="22"/>
      <c r="B47" s="22"/>
      <c r="C47" s="22"/>
      <c r="D47" s="22"/>
      <c r="E47" s="22"/>
      <c r="F47" s="22"/>
      <c r="G47" s="22"/>
      <c r="H47" s="22"/>
      <c r="I47" s="22"/>
      <c r="J47" s="36"/>
      <c r="K47" s="19">
        <v>0</v>
      </c>
      <c r="L47" s="198" t="s">
        <v>128</v>
      </c>
      <c r="M47" s="198" t="s">
        <v>128</v>
      </c>
      <c r="N47" s="197" t="s">
        <v>128</v>
      </c>
      <c r="O47" s="195">
        <v>1</v>
      </c>
      <c r="P47" s="45" t="s">
        <v>128</v>
      </c>
      <c r="Q47" s="45" t="s">
        <v>128</v>
      </c>
      <c r="R47" s="45" t="s">
        <v>128</v>
      </c>
      <c r="S47" s="45" t="s">
        <v>128</v>
      </c>
      <c r="T47" s="45" t="s">
        <v>128</v>
      </c>
      <c r="U47" s="45" t="s">
        <v>128</v>
      </c>
      <c r="V47" s="45" t="s">
        <v>128</v>
      </c>
      <c r="W47" s="45" t="s">
        <v>128</v>
      </c>
      <c r="X47" s="45" t="s">
        <v>128</v>
      </c>
      <c r="Y47" s="45" t="s">
        <v>128</v>
      </c>
      <c r="Z47" s="45" t="s">
        <v>128</v>
      </c>
      <c r="AA47" s="45" t="s">
        <v>128</v>
      </c>
      <c r="AB47" s="45" t="s">
        <v>128</v>
      </c>
      <c r="AC47" s="107" t="s">
        <v>128</v>
      </c>
      <c r="AD47" s="107" t="s">
        <v>128</v>
      </c>
      <c r="AE47" s="107" t="s">
        <v>128</v>
      </c>
      <c r="AF47" s="107" t="s">
        <v>128</v>
      </c>
      <c r="AG47" s="107" t="s">
        <v>128</v>
      </c>
      <c r="AH47" s="107" t="s">
        <v>128</v>
      </c>
      <c r="AI47" s="228"/>
      <c r="AJ47" s="228"/>
      <c r="AK47" s="228"/>
      <c r="AL47" s="228"/>
      <c r="AM47" s="228"/>
      <c r="AN47" s="228"/>
      <c r="AO47" s="228"/>
      <c r="AP47" s="228"/>
    </row>
    <row r="48" spans="1:42" s="48" customFormat="1" x14ac:dyDescent="0.2">
      <c r="A48" s="209"/>
      <c r="B48" s="8"/>
      <c r="C48" s="8"/>
      <c r="D48" s="8"/>
      <c r="E48" s="8"/>
      <c r="F48" s="8"/>
      <c r="G48" s="8"/>
      <c r="H48" s="8"/>
      <c r="I48" s="8"/>
      <c r="J48" s="37"/>
      <c r="K48" s="19">
        <v>0</v>
      </c>
      <c r="L48" s="198" t="s">
        <v>128</v>
      </c>
      <c r="M48" s="198" t="s">
        <v>128</v>
      </c>
      <c r="N48" s="197" t="s">
        <v>128</v>
      </c>
      <c r="O48" s="195">
        <v>1</v>
      </c>
      <c r="P48" s="45" t="s">
        <v>128</v>
      </c>
      <c r="Q48" s="45" t="s">
        <v>128</v>
      </c>
      <c r="R48" s="45" t="s">
        <v>128</v>
      </c>
      <c r="S48" s="45" t="s">
        <v>128</v>
      </c>
      <c r="T48" s="45" t="s">
        <v>128</v>
      </c>
      <c r="U48" s="45" t="s">
        <v>128</v>
      </c>
      <c r="V48" s="45" t="s">
        <v>128</v>
      </c>
      <c r="W48" s="45" t="s">
        <v>128</v>
      </c>
      <c r="X48" s="45" t="s">
        <v>128</v>
      </c>
      <c r="Y48" s="45" t="s">
        <v>128</v>
      </c>
      <c r="Z48" s="45" t="s">
        <v>128</v>
      </c>
      <c r="AA48" s="45" t="s">
        <v>128</v>
      </c>
      <c r="AB48" s="45" t="s">
        <v>128</v>
      </c>
      <c r="AC48" s="107" t="s">
        <v>128</v>
      </c>
      <c r="AD48" s="107" t="s">
        <v>128</v>
      </c>
      <c r="AE48" s="107" t="s">
        <v>128</v>
      </c>
      <c r="AF48" s="107" t="s">
        <v>128</v>
      </c>
      <c r="AG48" s="107" t="s">
        <v>128</v>
      </c>
      <c r="AH48" s="107" t="s">
        <v>128</v>
      </c>
      <c r="AI48" s="228"/>
      <c r="AJ48" s="228"/>
      <c r="AK48" s="228"/>
      <c r="AL48" s="228"/>
      <c r="AM48" s="228"/>
      <c r="AN48" s="228"/>
      <c r="AO48" s="228"/>
      <c r="AP48" s="228"/>
    </row>
    <row r="49" spans="1:42" s="48" customFormat="1" x14ac:dyDescent="0.2">
      <c r="A49" s="22"/>
      <c r="B49" s="22"/>
      <c r="C49" s="22"/>
      <c r="D49" s="22"/>
      <c r="E49" s="22"/>
      <c r="F49" s="22"/>
      <c r="G49" s="22"/>
      <c r="H49" s="22"/>
      <c r="I49" s="22"/>
      <c r="J49" s="36"/>
      <c r="K49" s="19">
        <v>0</v>
      </c>
      <c r="L49" s="198" t="s">
        <v>128</v>
      </c>
      <c r="M49" s="198" t="s">
        <v>128</v>
      </c>
      <c r="N49" s="197" t="s">
        <v>128</v>
      </c>
      <c r="O49" s="195">
        <v>1</v>
      </c>
      <c r="P49" s="45" t="s">
        <v>128</v>
      </c>
      <c r="Q49" s="45" t="s">
        <v>128</v>
      </c>
      <c r="R49" s="45" t="s">
        <v>128</v>
      </c>
      <c r="S49" s="45" t="s">
        <v>128</v>
      </c>
      <c r="T49" s="45" t="s">
        <v>128</v>
      </c>
      <c r="U49" s="45" t="s">
        <v>128</v>
      </c>
      <c r="V49" s="45" t="s">
        <v>128</v>
      </c>
      <c r="W49" s="45" t="s">
        <v>128</v>
      </c>
      <c r="X49" s="45" t="s">
        <v>128</v>
      </c>
      <c r="Y49" s="45" t="s">
        <v>128</v>
      </c>
      <c r="Z49" s="45" t="s">
        <v>128</v>
      </c>
      <c r="AA49" s="45" t="s">
        <v>128</v>
      </c>
      <c r="AB49" s="45" t="s">
        <v>128</v>
      </c>
      <c r="AC49" s="107" t="s">
        <v>128</v>
      </c>
      <c r="AD49" s="107" t="s">
        <v>128</v>
      </c>
      <c r="AE49" s="107" t="s">
        <v>128</v>
      </c>
      <c r="AF49" s="107" t="s">
        <v>128</v>
      </c>
      <c r="AG49" s="107" t="s">
        <v>128</v>
      </c>
      <c r="AH49" s="107" t="s">
        <v>128</v>
      </c>
      <c r="AI49" s="228"/>
      <c r="AJ49" s="228"/>
      <c r="AK49" s="228"/>
      <c r="AL49" s="228"/>
      <c r="AM49" s="228"/>
      <c r="AN49" s="228"/>
      <c r="AO49" s="228"/>
      <c r="AP49" s="228"/>
    </row>
    <row r="50" spans="1:42" s="48" customFormat="1" x14ac:dyDescent="0.2">
      <c r="A50" s="209"/>
      <c r="B50" s="8"/>
      <c r="C50" s="8"/>
      <c r="D50" s="8"/>
      <c r="E50" s="8"/>
      <c r="F50" s="8"/>
      <c r="G50" s="8"/>
      <c r="H50" s="8"/>
      <c r="I50" s="8"/>
      <c r="J50" s="37"/>
      <c r="K50" s="19">
        <v>0</v>
      </c>
      <c r="L50" s="198" t="s">
        <v>128</v>
      </c>
      <c r="M50" s="198" t="s">
        <v>128</v>
      </c>
      <c r="N50" s="197" t="s">
        <v>128</v>
      </c>
      <c r="O50" s="195">
        <v>1</v>
      </c>
      <c r="P50" s="45" t="s">
        <v>128</v>
      </c>
      <c r="Q50" s="45" t="s">
        <v>128</v>
      </c>
      <c r="R50" s="45" t="s">
        <v>128</v>
      </c>
      <c r="S50" s="45" t="s">
        <v>128</v>
      </c>
      <c r="T50" s="45" t="s">
        <v>128</v>
      </c>
      <c r="U50" s="45" t="s">
        <v>128</v>
      </c>
      <c r="V50" s="45" t="s">
        <v>128</v>
      </c>
      <c r="W50" s="45" t="s">
        <v>128</v>
      </c>
      <c r="X50" s="45" t="s">
        <v>128</v>
      </c>
      <c r="Y50" s="45" t="s">
        <v>128</v>
      </c>
      <c r="Z50" s="45" t="s">
        <v>128</v>
      </c>
      <c r="AA50" s="45" t="s">
        <v>128</v>
      </c>
      <c r="AB50" s="45" t="s">
        <v>128</v>
      </c>
      <c r="AC50" s="107" t="s">
        <v>128</v>
      </c>
      <c r="AD50" s="107" t="s">
        <v>128</v>
      </c>
      <c r="AE50" s="107" t="s">
        <v>128</v>
      </c>
      <c r="AF50" s="107" t="s">
        <v>128</v>
      </c>
      <c r="AG50" s="107" t="s">
        <v>128</v>
      </c>
      <c r="AH50" s="107" t="s">
        <v>128</v>
      </c>
      <c r="AI50" s="228"/>
      <c r="AJ50" s="228"/>
      <c r="AK50" s="228"/>
      <c r="AL50" s="228"/>
      <c r="AM50" s="228"/>
      <c r="AN50" s="228"/>
      <c r="AO50" s="228"/>
      <c r="AP50" s="228"/>
    </row>
    <row r="51" spans="1:42" s="48" customFormat="1" x14ac:dyDescent="0.2">
      <c r="A51" s="22"/>
      <c r="B51" s="22"/>
      <c r="C51" s="22"/>
      <c r="D51" s="22"/>
      <c r="E51" s="22"/>
      <c r="F51" s="22"/>
      <c r="G51" s="22"/>
      <c r="H51" s="22"/>
      <c r="I51" s="22"/>
      <c r="J51" s="36"/>
      <c r="K51" s="19">
        <v>0</v>
      </c>
      <c r="L51" s="198" t="s">
        <v>128</v>
      </c>
      <c r="M51" s="198" t="s">
        <v>128</v>
      </c>
      <c r="N51" s="197" t="s">
        <v>128</v>
      </c>
      <c r="O51" s="195">
        <v>1</v>
      </c>
      <c r="P51" s="45" t="s">
        <v>128</v>
      </c>
      <c r="Q51" s="45" t="s">
        <v>128</v>
      </c>
      <c r="R51" s="45" t="s">
        <v>128</v>
      </c>
      <c r="S51" s="45" t="s">
        <v>128</v>
      </c>
      <c r="T51" s="45" t="s">
        <v>128</v>
      </c>
      <c r="U51" s="45" t="s">
        <v>128</v>
      </c>
      <c r="V51" s="45" t="s">
        <v>128</v>
      </c>
      <c r="W51" s="45" t="s">
        <v>128</v>
      </c>
      <c r="X51" s="45" t="s">
        <v>128</v>
      </c>
      <c r="Y51" s="45" t="s">
        <v>128</v>
      </c>
      <c r="Z51" s="45" t="s">
        <v>128</v>
      </c>
      <c r="AA51" s="45" t="s">
        <v>128</v>
      </c>
      <c r="AB51" s="45" t="s">
        <v>128</v>
      </c>
      <c r="AC51" s="107" t="s">
        <v>128</v>
      </c>
      <c r="AD51" s="107" t="s">
        <v>128</v>
      </c>
      <c r="AE51" s="107" t="s">
        <v>128</v>
      </c>
      <c r="AF51" s="107" t="s">
        <v>128</v>
      </c>
      <c r="AG51" s="107" t="s">
        <v>128</v>
      </c>
      <c r="AH51" s="107" t="s">
        <v>128</v>
      </c>
      <c r="AI51" s="228"/>
      <c r="AJ51" s="228"/>
      <c r="AK51" s="228"/>
      <c r="AL51" s="228"/>
      <c r="AM51" s="228"/>
      <c r="AN51" s="228"/>
      <c r="AO51" s="228"/>
      <c r="AP51" s="228"/>
    </row>
    <row r="52" spans="1:42" s="48" customFormat="1" x14ac:dyDescent="0.2">
      <c r="A52" s="209"/>
      <c r="B52" s="8"/>
      <c r="C52" s="8"/>
      <c r="D52" s="8"/>
      <c r="E52" s="8"/>
      <c r="F52" s="8"/>
      <c r="G52" s="8"/>
      <c r="H52" s="8"/>
      <c r="I52" s="8"/>
      <c r="J52" s="37"/>
      <c r="K52" s="19">
        <v>0</v>
      </c>
      <c r="L52" s="198" t="s">
        <v>128</v>
      </c>
      <c r="M52" s="198" t="s">
        <v>128</v>
      </c>
      <c r="N52" s="197" t="s">
        <v>128</v>
      </c>
      <c r="O52" s="195">
        <v>1</v>
      </c>
      <c r="P52" s="45" t="s">
        <v>128</v>
      </c>
      <c r="Q52" s="45" t="s">
        <v>128</v>
      </c>
      <c r="R52" s="45" t="s">
        <v>128</v>
      </c>
      <c r="S52" s="45" t="s">
        <v>128</v>
      </c>
      <c r="T52" s="45" t="s">
        <v>128</v>
      </c>
      <c r="U52" s="45" t="s">
        <v>128</v>
      </c>
      <c r="V52" s="45" t="s">
        <v>128</v>
      </c>
      <c r="W52" s="45" t="s">
        <v>128</v>
      </c>
      <c r="X52" s="45" t="s">
        <v>128</v>
      </c>
      <c r="Y52" s="45" t="s">
        <v>128</v>
      </c>
      <c r="Z52" s="45" t="s">
        <v>128</v>
      </c>
      <c r="AA52" s="45" t="s">
        <v>128</v>
      </c>
      <c r="AB52" s="45" t="s">
        <v>128</v>
      </c>
      <c r="AC52" s="107" t="s">
        <v>128</v>
      </c>
      <c r="AD52" s="107" t="s">
        <v>128</v>
      </c>
      <c r="AE52" s="107" t="s">
        <v>128</v>
      </c>
      <c r="AF52" s="107" t="s">
        <v>128</v>
      </c>
      <c r="AG52" s="107" t="s">
        <v>128</v>
      </c>
      <c r="AH52" s="107" t="s">
        <v>128</v>
      </c>
      <c r="AI52" s="228"/>
      <c r="AJ52" s="228"/>
      <c r="AK52" s="228"/>
      <c r="AL52" s="228"/>
      <c r="AM52" s="228"/>
      <c r="AN52" s="228"/>
      <c r="AO52" s="228"/>
      <c r="AP52" s="228"/>
    </row>
    <row r="53" spans="1:42" s="48" customFormat="1" x14ac:dyDescent="0.2">
      <c r="A53" s="22"/>
      <c r="B53" s="22"/>
      <c r="C53" s="22"/>
      <c r="D53" s="22"/>
      <c r="E53" s="22"/>
      <c r="F53" s="22"/>
      <c r="G53" s="22"/>
      <c r="H53" s="22"/>
      <c r="I53" s="22"/>
      <c r="J53" s="36"/>
      <c r="K53" s="19">
        <v>0</v>
      </c>
      <c r="L53" s="198" t="s">
        <v>128</v>
      </c>
      <c r="M53" s="198" t="s">
        <v>128</v>
      </c>
      <c r="N53" s="197" t="s">
        <v>128</v>
      </c>
      <c r="O53" s="195">
        <v>1</v>
      </c>
      <c r="P53" s="45" t="s">
        <v>128</v>
      </c>
      <c r="Q53" s="45" t="s">
        <v>128</v>
      </c>
      <c r="R53" s="45" t="s">
        <v>128</v>
      </c>
      <c r="S53" s="45" t="s">
        <v>128</v>
      </c>
      <c r="T53" s="45" t="s">
        <v>128</v>
      </c>
      <c r="U53" s="45" t="s">
        <v>128</v>
      </c>
      <c r="V53" s="45" t="s">
        <v>128</v>
      </c>
      <c r="W53" s="45" t="s">
        <v>128</v>
      </c>
      <c r="X53" s="45" t="s">
        <v>128</v>
      </c>
      <c r="Y53" s="45" t="s">
        <v>128</v>
      </c>
      <c r="Z53" s="45" t="s">
        <v>128</v>
      </c>
      <c r="AA53" s="45" t="s">
        <v>128</v>
      </c>
      <c r="AB53" s="45" t="s">
        <v>128</v>
      </c>
      <c r="AC53" s="107" t="s">
        <v>128</v>
      </c>
      <c r="AD53" s="107" t="s">
        <v>128</v>
      </c>
      <c r="AE53" s="107" t="s">
        <v>128</v>
      </c>
      <c r="AF53" s="107" t="s">
        <v>128</v>
      </c>
      <c r="AG53" s="107" t="s">
        <v>128</v>
      </c>
      <c r="AH53" s="107" t="s">
        <v>128</v>
      </c>
      <c r="AI53" s="228"/>
      <c r="AJ53" s="228"/>
      <c r="AK53" s="228"/>
      <c r="AL53" s="228"/>
      <c r="AM53" s="228"/>
      <c r="AN53" s="228"/>
      <c r="AO53" s="228"/>
      <c r="AP53" s="228"/>
    </row>
    <row r="54" spans="1:42" s="48" customFormat="1" x14ac:dyDescent="0.2">
      <c r="A54" s="209"/>
      <c r="B54" s="8"/>
      <c r="C54" s="8"/>
      <c r="D54" s="8"/>
      <c r="E54" s="8"/>
      <c r="F54" s="8"/>
      <c r="G54" s="8"/>
      <c r="H54" s="8"/>
      <c r="I54" s="8"/>
      <c r="J54" s="37"/>
      <c r="K54" s="19">
        <v>0</v>
      </c>
      <c r="L54" s="198" t="s">
        <v>128</v>
      </c>
      <c r="M54" s="198" t="s">
        <v>128</v>
      </c>
      <c r="N54" s="197" t="s">
        <v>128</v>
      </c>
      <c r="O54" s="195">
        <v>1</v>
      </c>
      <c r="P54" s="45" t="s">
        <v>128</v>
      </c>
      <c r="Q54" s="45" t="s">
        <v>128</v>
      </c>
      <c r="R54" s="45" t="s">
        <v>128</v>
      </c>
      <c r="S54" s="45" t="s">
        <v>128</v>
      </c>
      <c r="T54" s="45" t="s">
        <v>128</v>
      </c>
      <c r="U54" s="45" t="s">
        <v>128</v>
      </c>
      <c r="V54" s="45" t="s">
        <v>128</v>
      </c>
      <c r="W54" s="45" t="s">
        <v>128</v>
      </c>
      <c r="X54" s="45" t="s">
        <v>128</v>
      </c>
      <c r="Y54" s="45" t="s">
        <v>128</v>
      </c>
      <c r="Z54" s="45" t="s">
        <v>128</v>
      </c>
      <c r="AA54" s="45" t="s">
        <v>128</v>
      </c>
      <c r="AB54" s="45" t="s">
        <v>128</v>
      </c>
      <c r="AC54" s="107" t="s">
        <v>128</v>
      </c>
      <c r="AD54" s="107" t="s">
        <v>128</v>
      </c>
      <c r="AE54" s="107" t="s">
        <v>128</v>
      </c>
      <c r="AF54" s="107" t="s">
        <v>128</v>
      </c>
      <c r="AG54" s="107" t="s">
        <v>128</v>
      </c>
      <c r="AH54" s="107" t="s">
        <v>128</v>
      </c>
      <c r="AI54" s="228"/>
      <c r="AJ54" s="228"/>
      <c r="AK54" s="228"/>
      <c r="AL54" s="228"/>
      <c r="AM54" s="228"/>
      <c r="AN54" s="228"/>
      <c r="AO54" s="228"/>
      <c r="AP54" s="228"/>
    </row>
    <row r="55" spans="1:42" s="48" customFormat="1" x14ac:dyDescent="0.2">
      <c r="A55" s="22"/>
      <c r="B55" s="22"/>
      <c r="C55" s="22"/>
      <c r="D55" s="22"/>
      <c r="E55" s="22"/>
      <c r="F55" s="22"/>
      <c r="G55" s="22"/>
      <c r="H55" s="22"/>
      <c r="I55" s="22"/>
      <c r="J55" s="36"/>
      <c r="K55" s="19">
        <v>0</v>
      </c>
      <c r="L55" s="198" t="s">
        <v>128</v>
      </c>
      <c r="M55" s="198" t="s">
        <v>128</v>
      </c>
      <c r="N55" s="197" t="s">
        <v>128</v>
      </c>
      <c r="O55" s="195">
        <v>1</v>
      </c>
      <c r="P55" s="45" t="s">
        <v>128</v>
      </c>
      <c r="Q55" s="45" t="s">
        <v>128</v>
      </c>
      <c r="R55" s="45" t="s">
        <v>128</v>
      </c>
      <c r="S55" s="45" t="s">
        <v>128</v>
      </c>
      <c r="T55" s="45" t="s">
        <v>128</v>
      </c>
      <c r="U55" s="45" t="s">
        <v>128</v>
      </c>
      <c r="V55" s="45" t="s">
        <v>128</v>
      </c>
      <c r="W55" s="45" t="s">
        <v>128</v>
      </c>
      <c r="X55" s="45" t="s">
        <v>128</v>
      </c>
      <c r="Y55" s="45" t="s">
        <v>128</v>
      </c>
      <c r="Z55" s="45" t="s">
        <v>128</v>
      </c>
      <c r="AA55" s="45" t="s">
        <v>128</v>
      </c>
      <c r="AB55" s="45" t="s">
        <v>128</v>
      </c>
      <c r="AC55" s="107" t="s">
        <v>128</v>
      </c>
      <c r="AD55" s="107" t="s">
        <v>128</v>
      </c>
      <c r="AE55" s="107" t="s">
        <v>128</v>
      </c>
      <c r="AF55" s="107" t="s">
        <v>128</v>
      </c>
      <c r="AG55" s="107" t="s">
        <v>128</v>
      </c>
      <c r="AH55" s="107" t="s">
        <v>128</v>
      </c>
      <c r="AI55" s="228"/>
      <c r="AJ55" s="228"/>
      <c r="AK55" s="228"/>
      <c r="AL55" s="228"/>
      <c r="AM55" s="228"/>
      <c r="AN55" s="228"/>
      <c r="AO55" s="228"/>
      <c r="AP55" s="228"/>
    </row>
    <row r="56" spans="1:42" s="48" customFormat="1" x14ac:dyDescent="0.2">
      <c r="A56" s="209"/>
      <c r="B56" s="8"/>
      <c r="C56" s="8"/>
      <c r="D56" s="8"/>
      <c r="E56" s="8"/>
      <c r="F56" s="8"/>
      <c r="G56" s="8"/>
      <c r="H56" s="8"/>
      <c r="I56" s="8"/>
      <c r="J56" s="37"/>
      <c r="K56" s="19">
        <v>0</v>
      </c>
      <c r="L56" s="198" t="s">
        <v>128</v>
      </c>
      <c r="M56" s="198" t="s">
        <v>128</v>
      </c>
      <c r="N56" s="197" t="s">
        <v>128</v>
      </c>
      <c r="O56" s="195">
        <v>1</v>
      </c>
      <c r="P56" s="45" t="s">
        <v>128</v>
      </c>
      <c r="Q56" s="45" t="s">
        <v>128</v>
      </c>
      <c r="R56" s="45" t="s">
        <v>128</v>
      </c>
      <c r="S56" s="45" t="s">
        <v>128</v>
      </c>
      <c r="T56" s="45" t="s">
        <v>128</v>
      </c>
      <c r="U56" s="45" t="s">
        <v>128</v>
      </c>
      <c r="V56" s="45" t="s">
        <v>128</v>
      </c>
      <c r="W56" s="45" t="s">
        <v>128</v>
      </c>
      <c r="X56" s="45" t="s">
        <v>128</v>
      </c>
      <c r="Y56" s="45" t="s">
        <v>128</v>
      </c>
      <c r="Z56" s="45" t="s">
        <v>128</v>
      </c>
      <c r="AA56" s="45" t="s">
        <v>128</v>
      </c>
      <c r="AB56" s="45" t="s">
        <v>128</v>
      </c>
      <c r="AC56" s="107" t="s">
        <v>128</v>
      </c>
      <c r="AD56" s="107" t="s">
        <v>128</v>
      </c>
      <c r="AE56" s="107" t="s">
        <v>128</v>
      </c>
      <c r="AF56" s="107" t="s">
        <v>128</v>
      </c>
      <c r="AG56" s="107" t="s">
        <v>128</v>
      </c>
      <c r="AH56" s="107" t="s">
        <v>128</v>
      </c>
      <c r="AI56" s="228"/>
      <c r="AJ56" s="228"/>
      <c r="AK56" s="228"/>
      <c r="AL56" s="228"/>
      <c r="AM56" s="228"/>
      <c r="AN56" s="228"/>
      <c r="AO56" s="228"/>
      <c r="AP56" s="228"/>
    </row>
    <row r="57" spans="1:42" s="48" customFormat="1" x14ac:dyDescent="0.2">
      <c r="A57" s="22"/>
      <c r="B57" s="22"/>
      <c r="C57" s="22"/>
      <c r="D57" s="22"/>
      <c r="E57" s="22"/>
      <c r="F57" s="22"/>
      <c r="G57" s="22"/>
      <c r="H57" s="22"/>
      <c r="I57" s="22"/>
      <c r="J57" s="36"/>
      <c r="K57" s="19">
        <v>0</v>
      </c>
      <c r="L57" s="198" t="s">
        <v>128</v>
      </c>
      <c r="M57" s="198" t="s">
        <v>128</v>
      </c>
      <c r="N57" s="197" t="s">
        <v>128</v>
      </c>
      <c r="O57" s="195">
        <v>1</v>
      </c>
      <c r="P57" s="45" t="s">
        <v>128</v>
      </c>
      <c r="Q57" s="45" t="s">
        <v>128</v>
      </c>
      <c r="R57" s="45" t="s">
        <v>128</v>
      </c>
      <c r="S57" s="45" t="s">
        <v>128</v>
      </c>
      <c r="T57" s="45" t="s">
        <v>128</v>
      </c>
      <c r="U57" s="45" t="s">
        <v>128</v>
      </c>
      <c r="V57" s="45" t="s">
        <v>128</v>
      </c>
      <c r="W57" s="45" t="s">
        <v>128</v>
      </c>
      <c r="X57" s="45" t="s">
        <v>128</v>
      </c>
      <c r="Y57" s="45" t="s">
        <v>128</v>
      </c>
      <c r="Z57" s="45" t="s">
        <v>128</v>
      </c>
      <c r="AA57" s="45" t="s">
        <v>128</v>
      </c>
      <c r="AB57" s="45" t="s">
        <v>128</v>
      </c>
      <c r="AC57" s="107" t="s">
        <v>128</v>
      </c>
      <c r="AD57" s="107" t="s">
        <v>128</v>
      </c>
      <c r="AE57" s="107" t="s">
        <v>128</v>
      </c>
      <c r="AF57" s="107" t="s">
        <v>128</v>
      </c>
      <c r="AG57" s="107" t="s">
        <v>128</v>
      </c>
      <c r="AH57" s="107" t="s">
        <v>128</v>
      </c>
      <c r="AI57" s="228"/>
      <c r="AJ57" s="228"/>
      <c r="AK57" s="228"/>
      <c r="AL57" s="228"/>
      <c r="AM57" s="228"/>
      <c r="AN57" s="228"/>
      <c r="AO57" s="228"/>
      <c r="AP57" s="228"/>
    </row>
    <row r="58" spans="1:42" s="48" customFormat="1" x14ac:dyDescent="0.2">
      <c r="A58" s="209"/>
      <c r="B58" s="8"/>
      <c r="C58" s="8"/>
      <c r="D58" s="8"/>
      <c r="E58" s="8"/>
      <c r="F58" s="8"/>
      <c r="G58" s="8"/>
      <c r="H58" s="8"/>
      <c r="I58" s="8"/>
      <c r="J58" s="37"/>
      <c r="K58" s="19">
        <v>0</v>
      </c>
      <c r="L58" s="198" t="s">
        <v>128</v>
      </c>
      <c r="M58" s="198" t="s">
        <v>128</v>
      </c>
      <c r="N58" s="197" t="s">
        <v>128</v>
      </c>
      <c r="O58" s="195">
        <v>1</v>
      </c>
      <c r="P58" s="45" t="s">
        <v>128</v>
      </c>
      <c r="Q58" s="45" t="s">
        <v>128</v>
      </c>
      <c r="R58" s="45" t="s">
        <v>128</v>
      </c>
      <c r="S58" s="45" t="s">
        <v>128</v>
      </c>
      <c r="T58" s="45" t="s">
        <v>128</v>
      </c>
      <c r="U58" s="45" t="s">
        <v>128</v>
      </c>
      <c r="V58" s="45" t="s">
        <v>128</v>
      </c>
      <c r="W58" s="45" t="s">
        <v>128</v>
      </c>
      <c r="X58" s="45" t="s">
        <v>128</v>
      </c>
      <c r="Y58" s="45" t="s">
        <v>128</v>
      </c>
      <c r="Z58" s="45" t="s">
        <v>128</v>
      </c>
      <c r="AA58" s="45" t="s">
        <v>128</v>
      </c>
      <c r="AB58" s="45" t="s">
        <v>128</v>
      </c>
      <c r="AC58" s="107" t="s">
        <v>128</v>
      </c>
      <c r="AD58" s="107" t="s">
        <v>128</v>
      </c>
      <c r="AE58" s="107" t="s">
        <v>128</v>
      </c>
      <c r="AF58" s="107" t="s">
        <v>128</v>
      </c>
      <c r="AG58" s="107" t="s">
        <v>128</v>
      </c>
      <c r="AH58" s="107" t="s">
        <v>128</v>
      </c>
      <c r="AI58" s="228"/>
      <c r="AJ58" s="228"/>
      <c r="AK58" s="228"/>
      <c r="AL58" s="228"/>
      <c r="AM58" s="228"/>
      <c r="AN58" s="228"/>
      <c r="AO58" s="228"/>
      <c r="AP58" s="228"/>
    </row>
    <row r="59" spans="1:42" s="48" customFormat="1" x14ac:dyDescent="0.2">
      <c r="A59" s="22"/>
      <c r="B59" s="22"/>
      <c r="C59" s="22"/>
      <c r="D59" s="22"/>
      <c r="E59" s="22"/>
      <c r="F59" s="22"/>
      <c r="G59" s="22"/>
      <c r="H59" s="22"/>
      <c r="I59" s="22"/>
      <c r="J59" s="36"/>
      <c r="K59" s="19">
        <v>0</v>
      </c>
      <c r="L59" s="198" t="s">
        <v>128</v>
      </c>
      <c r="M59" s="198" t="s">
        <v>128</v>
      </c>
      <c r="N59" s="197" t="s">
        <v>128</v>
      </c>
      <c r="O59" s="195">
        <v>1</v>
      </c>
      <c r="P59" s="45" t="s">
        <v>128</v>
      </c>
      <c r="Q59" s="45" t="s">
        <v>128</v>
      </c>
      <c r="R59" s="45" t="s">
        <v>128</v>
      </c>
      <c r="S59" s="45" t="s">
        <v>128</v>
      </c>
      <c r="T59" s="45" t="s">
        <v>128</v>
      </c>
      <c r="U59" s="45" t="s">
        <v>128</v>
      </c>
      <c r="V59" s="45" t="s">
        <v>128</v>
      </c>
      <c r="W59" s="45" t="s">
        <v>128</v>
      </c>
      <c r="X59" s="45" t="s">
        <v>128</v>
      </c>
      <c r="Y59" s="45" t="s">
        <v>128</v>
      </c>
      <c r="Z59" s="45" t="s">
        <v>128</v>
      </c>
      <c r="AA59" s="45" t="s">
        <v>128</v>
      </c>
      <c r="AB59" s="45" t="s">
        <v>128</v>
      </c>
      <c r="AC59" s="107" t="s">
        <v>128</v>
      </c>
      <c r="AD59" s="107" t="s">
        <v>128</v>
      </c>
      <c r="AE59" s="107" t="s">
        <v>128</v>
      </c>
      <c r="AF59" s="107" t="s">
        <v>128</v>
      </c>
      <c r="AG59" s="107" t="s">
        <v>128</v>
      </c>
      <c r="AH59" s="107" t="s">
        <v>128</v>
      </c>
      <c r="AI59" s="228"/>
      <c r="AJ59" s="228"/>
      <c r="AK59" s="228"/>
      <c r="AL59" s="228"/>
      <c r="AM59" s="228"/>
      <c r="AN59" s="228"/>
      <c r="AO59" s="228"/>
      <c r="AP59" s="228"/>
    </row>
    <row r="60" spans="1:42" s="48" customFormat="1" x14ac:dyDescent="0.2">
      <c r="A60" s="209"/>
      <c r="B60" s="8"/>
      <c r="C60" s="8"/>
      <c r="D60" s="8"/>
      <c r="E60" s="8"/>
      <c r="F60" s="8"/>
      <c r="G60" s="8"/>
      <c r="H60" s="8"/>
      <c r="I60" s="8"/>
      <c r="J60" s="37"/>
      <c r="K60" s="19">
        <v>0</v>
      </c>
      <c r="L60" s="198" t="s">
        <v>128</v>
      </c>
      <c r="M60" s="198" t="s">
        <v>128</v>
      </c>
      <c r="N60" s="197" t="s">
        <v>128</v>
      </c>
      <c r="O60" s="195">
        <v>1</v>
      </c>
      <c r="P60" s="45" t="s">
        <v>128</v>
      </c>
      <c r="Q60" s="45" t="s">
        <v>128</v>
      </c>
      <c r="R60" s="45" t="s">
        <v>128</v>
      </c>
      <c r="S60" s="45" t="s">
        <v>128</v>
      </c>
      <c r="T60" s="45" t="s">
        <v>128</v>
      </c>
      <c r="U60" s="45" t="s">
        <v>128</v>
      </c>
      <c r="V60" s="45" t="s">
        <v>128</v>
      </c>
      <c r="W60" s="45" t="s">
        <v>128</v>
      </c>
      <c r="X60" s="45" t="s">
        <v>128</v>
      </c>
      <c r="Y60" s="45" t="s">
        <v>128</v>
      </c>
      <c r="Z60" s="45" t="s">
        <v>128</v>
      </c>
      <c r="AA60" s="45" t="s">
        <v>128</v>
      </c>
      <c r="AB60" s="45" t="s">
        <v>128</v>
      </c>
      <c r="AC60" s="107" t="s">
        <v>128</v>
      </c>
      <c r="AD60" s="107" t="s">
        <v>128</v>
      </c>
      <c r="AE60" s="107" t="s">
        <v>128</v>
      </c>
      <c r="AF60" s="107" t="s">
        <v>128</v>
      </c>
      <c r="AG60" s="107" t="s">
        <v>128</v>
      </c>
      <c r="AH60" s="107" t="s">
        <v>128</v>
      </c>
      <c r="AI60" s="228"/>
      <c r="AJ60" s="228"/>
      <c r="AK60" s="228"/>
      <c r="AL60" s="228"/>
      <c r="AM60" s="228"/>
      <c r="AN60" s="228"/>
      <c r="AO60" s="228"/>
      <c r="AP60" s="228"/>
    </row>
    <row r="61" spans="1:42" s="48" customFormat="1" x14ac:dyDescent="0.2">
      <c r="A61" s="22"/>
      <c r="B61" s="22"/>
      <c r="C61" s="22"/>
      <c r="D61" s="22"/>
      <c r="E61" s="22"/>
      <c r="F61" s="22"/>
      <c r="G61" s="22"/>
      <c r="H61" s="22"/>
      <c r="I61" s="22"/>
      <c r="J61" s="36"/>
      <c r="K61" s="19">
        <v>0</v>
      </c>
      <c r="L61" s="198" t="s">
        <v>128</v>
      </c>
      <c r="M61" s="198" t="s">
        <v>128</v>
      </c>
      <c r="N61" s="197" t="s">
        <v>128</v>
      </c>
      <c r="O61" s="195">
        <v>1</v>
      </c>
      <c r="P61" s="45" t="s">
        <v>128</v>
      </c>
      <c r="Q61" s="45" t="s">
        <v>128</v>
      </c>
      <c r="R61" s="45" t="s">
        <v>128</v>
      </c>
      <c r="S61" s="45" t="s">
        <v>128</v>
      </c>
      <c r="T61" s="45" t="s">
        <v>128</v>
      </c>
      <c r="U61" s="45" t="s">
        <v>128</v>
      </c>
      <c r="V61" s="45" t="s">
        <v>128</v>
      </c>
      <c r="W61" s="45" t="s">
        <v>128</v>
      </c>
      <c r="X61" s="45" t="s">
        <v>128</v>
      </c>
      <c r="Y61" s="45" t="s">
        <v>128</v>
      </c>
      <c r="Z61" s="45" t="s">
        <v>128</v>
      </c>
      <c r="AA61" s="45" t="s">
        <v>128</v>
      </c>
      <c r="AB61" s="45" t="s">
        <v>128</v>
      </c>
      <c r="AC61" s="107" t="s">
        <v>128</v>
      </c>
      <c r="AD61" s="107" t="s">
        <v>128</v>
      </c>
      <c r="AE61" s="107" t="s">
        <v>128</v>
      </c>
      <c r="AF61" s="107" t="s">
        <v>128</v>
      </c>
      <c r="AG61" s="107" t="s">
        <v>128</v>
      </c>
      <c r="AH61" s="107" t="s">
        <v>128</v>
      </c>
      <c r="AI61" s="228"/>
      <c r="AJ61" s="228"/>
      <c r="AK61" s="228"/>
      <c r="AL61" s="228"/>
      <c r="AM61" s="228"/>
      <c r="AN61" s="228"/>
      <c r="AO61" s="228"/>
      <c r="AP61" s="228"/>
    </row>
    <row r="62" spans="1:42" x14ac:dyDescent="0.2">
      <c r="A62" s="209"/>
      <c r="C62" s="8"/>
      <c r="D62" s="8"/>
      <c r="E62" s="8"/>
      <c r="F62" s="8"/>
      <c r="G62" s="8"/>
      <c r="H62" s="8"/>
      <c r="I62" s="8"/>
      <c r="J62" s="37"/>
      <c r="K62" s="19"/>
      <c r="L62" s="33"/>
      <c r="M62" s="19"/>
      <c r="N62"/>
      <c r="O62"/>
      <c r="P62"/>
      <c r="Q62"/>
      <c r="R62"/>
      <c r="S62"/>
      <c r="T62"/>
      <c r="U62"/>
      <c r="V62"/>
      <c r="W62"/>
      <c r="X62"/>
      <c r="Y62"/>
      <c r="Z62"/>
      <c r="AA62"/>
      <c r="AB62"/>
      <c r="AC62"/>
    </row>
    <row r="63" spans="1:42" s="8" customFormat="1" x14ac:dyDescent="0.2">
      <c r="C63" s="366" t="s">
        <v>83</v>
      </c>
      <c r="D63" s="366"/>
      <c r="E63" s="43" t="s">
        <v>4</v>
      </c>
      <c r="F63" s="1"/>
      <c r="G63" s="1"/>
      <c r="H63" s="31" t="s">
        <v>741</v>
      </c>
      <c r="I63" s="30">
        <f>SUM(O2:O61)</f>
        <v>60</v>
      </c>
      <c r="J63" s="20">
        <f>SUM(J2:J61)</f>
        <v>0</v>
      </c>
      <c r="K63" s="24">
        <f>SUM(P63:AH63)</f>
        <v>1</v>
      </c>
      <c r="L63" s="1"/>
      <c r="M63" s="1"/>
      <c r="N63" s="21"/>
      <c r="P63" s="271">
        <v>0.03</v>
      </c>
      <c r="Q63" s="209"/>
      <c r="R63" s="271">
        <v>0.1</v>
      </c>
      <c r="S63" s="209"/>
      <c r="T63" s="436">
        <v>0.3</v>
      </c>
      <c r="U63" s="438"/>
      <c r="V63" s="438"/>
      <c r="W63" s="436">
        <v>0.3</v>
      </c>
      <c r="X63" s="438"/>
      <c r="Y63" s="438"/>
      <c r="Z63" s="436">
        <v>0.1</v>
      </c>
      <c r="AA63" s="438"/>
      <c r="AB63" s="438"/>
      <c r="AC63" s="436">
        <v>0.12</v>
      </c>
      <c r="AD63" s="438"/>
      <c r="AE63" s="438"/>
      <c r="AF63" s="436">
        <v>0.05</v>
      </c>
      <c r="AG63" s="438"/>
      <c r="AH63" s="438"/>
    </row>
    <row r="64" spans="1:42" x14ac:dyDescent="0.2">
      <c r="C64" s="23" t="s">
        <v>24</v>
      </c>
      <c r="D64" s="8">
        <f t="shared" ref="D64:D70" si="0">SUMIF($E$2:$E$61,C64,$O$2:$O$61)</f>
        <v>0</v>
      </c>
      <c r="E64" s="23" t="s">
        <v>29</v>
      </c>
      <c r="F64" s="8">
        <f>SUMIF($C$2:$C$61,E64,$O$2:$O$61)</f>
        <v>0</v>
      </c>
      <c r="M64" s="360" t="s">
        <v>406</v>
      </c>
      <c r="N64" s="360"/>
      <c r="O64" s="360"/>
    </row>
    <row r="65" spans="1:32" s="8" customFormat="1" x14ac:dyDescent="0.2">
      <c r="C65" s="23" t="s">
        <v>66</v>
      </c>
      <c r="D65" s="8">
        <f t="shared" si="0"/>
        <v>0</v>
      </c>
      <c r="E65" s="23" t="s">
        <v>22</v>
      </c>
      <c r="F65" s="8">
        <f t="shared" ref="F65:F66" si="1">SUMIF($C$2:$C$61,E65,$O$2:$O$61)</f>
        <v>0</v>
      </c>
      <c r="G65" s="1"/>
      <c r="H65" s="348" t="s">
        <v>75</v>
      </c>
      <c r="I65" s="348"/>
      <c r="J65" s="20">
        <f>SUMIF(K2:K61,K65,J2:J61)</f>
        <v>0</v>
      </c>
      <c r="K65" s="24">
        <v>1</v>
      </c>
      <c r="L65" s="1"/>
      <c r="M65" s="48"/>
      <c r="N65" s="43">
        <f>SUMIF($K$2:$K$61,K65,$O$2:$O$61)</f>
        <v>0</v>
      </c>
      <c r="O65" s="43"/>
      <c r="P65" s="1"/>
      <c r="Q65" s="1"/>
      <c r="R65" s="1"/>
      <c r="S65" s="1"/>
      <c r="T65" s="1"/>
      <c r="U65" s="1"/>
      <c r="V65" s="1"/>
      <c r="W65" s="1"/>
      <c r="X65" s="1"/>
      <c r="Y65" s="1"/>
      <c r="Z65" s="1"/>
      <c r="AA65" s="1"/>
      <c r="AB65" s="1"/>
      <c r="AC65" s="1"/>
      <c r="AD65" s="43"/>
      <c r="AE65" s="43"/>
      <c r="AF65" s="43"/>
    </row>
    <row r="66" spans="1:32" s="8" customFormat="1" x14ac:dyDescent="0.2">
      <c r="C66" s="1" t="s">
        <v>34</v>
      </c>
      <c r="D66" s="8">
        <f t="shared" si="0"/>
        <v>0</v>
      </c>
      <c r="E66" s="1" t="s">
        <v>735</v>
      </c>
      <c r="F66" s="8">
        <f t="shared" si="1"/>
        <v>0</v>
      </c>
      <c r="G66" s="1"/>
      <c r="H66" s="1" t="s">
        <v>76</v>
      </c>
      <c r="I66" s="2" t="s">
        <v>734</v>
      </c>
      <c r="J66" s="20">
        <f>SUMIF($L$2:$L$61,K66,$J$2:$J$61)</f>
        <v>0</v>
      </c>
      <c r="K66" s="25">
        <v>1</v>
      </c>
      <c r="L66" s="1"/>
      <c r="M66" s="1"/>
      <c r="N66" s="21"/>
      <c r="P66" s="1"/>
      <c r="Q66" s="1"/>
      <c r="R66" s="1"/>
      <c r="S66" s="1"/>
      <c r="T66" s="1"/>
      <c r="U66" s="1"/>
      <c r="V66" s="1"/>
      <c r="W66" s="1"/>
      <c r="X66" s="1"/>
      <c r="Y66" s="1"/>
      <c r="Z66" s="1"/>
      <c r="AA66" s="1"/>
      <c r="AB66" s="1"/>
      <c r="AC66" s="1"/>
      <c r="AD66" s="43"/>
      <c r="AE66" s="43"/>
      <c r="AF66" s="43"/>
    </row>
    <row r="67" spans="1:32" s="8" customFormat="1" x14ac:dyDescent="0.2">
      <c r="C67" s="23" t="s">
        <v>31</v>
      </c>
      <c r="D67" s="8">
        <f t="shared" si="0"/>
        <v>0</v>
      </c>
      <c r="E67" s="1"/>
      <c r="F67" s="1"/>
      <c r="G67" s="1"/>
      <c r="H67" s="1" t="s">
        <v>76</v>
      </c>
      <c r="I67" s="2" t="s">
        <v>742</v>
      </c>
      <c r="J67" s="20">
        <f>SUMIF($L$2:$L$61,K67,$J$2:$J$61)</f>
        <v>0</v>
      </c>
      <c r="K67" s="25">
        <v>2</v>
      </c>
      <c r="L67" s="1"/>
      <c r="M67" s="1"/>
      <c r="N67" s="21"/>
      <c r="P67" s="1"/>
      <c r="Q67" s="1"/>
      <c r="R67" s="1"/>
      <c r="S67" s="1"/>
      <c r="T67" s="1"/>
      <c r="U67" s="1"/>
      <c r="V67" s="1"/>
      <c r="W67" s="1"/>
      <c r="X67" s="1"/>
      <c r="Y67" s="1"/>
      <c r="Z67" s="1"/>
      <c r="AA67" s="1"/>
      <c r="AB67" s="1"/>
      <c r="AC67" s="1"/>
      <c r="AD67" s="43"/>
      <c r="AE67" s="43"/>
      <c r="AF67" s="43"/>
    </row>
    <row r="68" spans="1:32" s="8" customFormat="1" x14ac:dyDescent="0.2">
      <c r="C68" s="23" t="s">
        <v>85</v>
      </c>
      <c r="D68" s="8">
        <f t="shared" si="0"/>
        <v>0</v>
      </c>
      <c r="E68" s="1"/>
      <c r="F68" s="1"/>
      <c r="G68" s="1"/>
      <c r="H68" s="1" t="s">
        <v>76</v>
      </c>
      <c r="I68" s="2" t="s">
        <v>743</v>
      </c>
      <c r="J68" s="20">
        <f>SUMIF($L$2:$L$61,K68,$J$2:$J$61)</f>
        <v>0</v>
      </c>
      <c r="K68" s="25">
        <v>3</v>
      </c>
      <c r="L68" s="1"/>
      <c r="M68" s="1"/>
      <c r="N68" s="21"/>
      <c r="P68" s="1"/>
      <c r="Q68" s="1"/>
      <c r="R68" s="1"/>
      <c r="S68" s="1"/>
      <c r="T68" s="1"/>
      <c r="U68" s="1"/>
      <c r="V68" s="1"/>
      <c r="W68" s="1"/>
      <c r="X68" s="1"/>
      <c r="Y68" s="1"/>
      <c r="Z68" s="1"/>
      <c r="AA68" s="1"/>
      <c r="AB68" s="1"/>
      <c r="AC68" s="1"/>
      <c r="AD68" s="43"/>
      <c r="AE68" s="43"/>
      <c r="AF68" s="43"/>
    </row>
    <row r="69" spans="1:32" s="8" customFormat="1" x14ac:dyDescent="0.2">
      <c r="C69" s="23" t="s">
        <v>46</v>
      </c>
      <c r="D69" s="8">
        <f t="shared" si="0"/>
        <v>0</v>
      </c>
      <c r="E69" s="1"/>
      <c r="F69" s="1"/>
      <c r="G69" s="1"/>
      <c r="H69" s="1" t="s">
        <v>76</v>
      </c>
      <c r="I69" s="2" t="s">
        <v>744</v>
      </c>
      <c r="J69" s="20">
        <f>SUMIF($L$2:$L$61,K69,$J$2:$J$61)</f>
        <v>0</v>
      </c>
      <c r="K69" s="25">
        <v>4</v>
      </c>
      <c r="L69" s="1"/>
      <c r="M69" s="1"/>
      <c r="N69" s="21"/>
      <c r="P69" s="1"/>
      <c r="Q69" s="1"/>
      <c r="R69" s="1"/>
      <c r="S69" s="1"/>
      <c r="T69" s="1"/>
      <c r="U69" s="1"/>
      <c r="V69" s="1"/>
      <c r="W69" s="1"/>
      <c r="X69" s="1"/>
      <c r="Y69" s="1"/>
      <c r="Z69" s="1"/>
      <c r="AA69" s="1"/>
      <c r="AB69" s="1"/>
      <c r="AC69" s="1"/>
      <c r="AD69" s="43"/>
      <c r="AE69" s="43"/>
      <c r="AF69" s="43"/>
    </row>
    <row r="70" spans="1:32" x14ac:dyDescent="0.2">
      <c r="C70" s="23" t="s">
        <v>38</v>
      </c>
      <c r="D70" s="8">
        <f t="shared" si="0"/>
        <v>0</v>
      </c>
      <c r="H70" s="1" t="s">
        <v>76</v>
      </c>
      <c r="I70" s="2" t="s">
        <v>745</v>
      </c>
      <c r="J70" s="20">
        <f>SUMIF($L$2:$L$61,K70,$J$2:$J$61)</f>
        <v>0</v>
      </c>
      <c r="K70" s="25">
        <v>5</v>
      </c>
    </row>
    <row r="72" spans="1:32" x14ac:dyDescent="0.2">
      <c r="C72" s="23"/>
      <c r="D72" s="8"/>
    </row>
    <row r="73" spans="1:32" x14ac:dyDescent="0.2">
      <c r="L73" s="33"/>
    </row>
    <row r="74" spans="1:32" x14ac:dyDescent="0.2">
      <c r="C74" s="3" t="s">
        <v>157</v>
      </c>
      <c r="D74" s="8">
        <f>SUM(D64:D73)</f>
        <v>0</v>
      </c>
      <c r="E74" s="3" t="s">
        <v>157</v>
      </c>
      <c r="F74" s="8">
        <f>SUM(F64:F73)</f>
        <v>0</v>
      </c>
    </row>
    <row r="75" spans="1:32" s="57" customFormat="1" ht="29.25" customHeight="1" x14ac:dyDescent="0.2">
      <c r="A75" s="383" t="s">
        <v>158</v>
      </c>
      <c r="B75" s="383"/>
      <c r="C75" s="383"/>
      <c r="I75" s="58" t="s">
        <v>159</v>
      </c>
      <c r="J75" s="58" t="s">
        <v>160</v>
      </c>
      <c r="N75" s="59"/>
      <c r="O75" s="7"/>
      <c r="AD75" s="60"/>
      <c r="AE75" s="60"/>
      <c r="AF75" s="60"/>
    </row>
    <row r="76" spans="1:32" x14ac:dyDescent="0.2">
      <c r="A76" s="49">
        <v>44896</v>
      </c>
      <c r="B76" s="50" t="s">
        <v>163</v>
      </c>
      <c r="C76" s="353"/>
      <c r="D76" s="353"/>
      <c r="E76" s="353"/>
      <c r="F76" s="353"/>
      <c r="G76" s="353"/>
      <c r="H76" s="353"/>
      <c r="I76" s="51"/>
      <c r="J76" s="51"/>
    </row>
    <row r="77" spans="1:32" x14ac:dyDescent="0.2">
      <c r="A77" s="49">
        <f>+A76+1</f>
        <v>44897</v>
      </c>
      <c r="B77" s="50" t="s">
        <v>164</v>
      </c>
      <c r="C77" s="353"/>
      <c r="D77" s="353"/>
      <c r="E77" s="353"/>
      <c r="F77" s="353"/>
      <c r="G77" s="353"/>
      <c r="H77" s="353"/>
      <c r="I77" s="51"/>
      <c r="J77" s="51"/>
    </row>
    <row r="78" spans="1:32" x14ac:dyDescent="0.2">
      <c r="A78" s="49">
        <f t="shared" ref="A78:A106" si="2">+A77+1</f>
        <v>44898</v>
      </c>
      <c r="B78" s="50" t="s">
        <v>165</v>
      </c>
      <c r="C78" s="353"/>
      <c r="D78" s="353"/>
      <c r="E78" s="353"/>
      <c r="F78" s="353"/>
      <c r="G78" s="353"/>
      <c r="H78" s="353"/>
      <c r="I78" s="51"/>
      <c r="J78" s="51"/>
    </row>
    <row r="79" spans="1:32" x14ac:dyDescent="0.2">
      <c r="A79" s="49">
        <f t="shared" si="2"/>
        <v>44899</v>
      </c>
      <c r="B79" s="50" t="s">
        <v>166</v>
      </c>
      <c r="C79" s="353"/>
      <c r="D79" s="353"/>
      <c r="E79" s="353"/>
      <c r="F79" s="353"/>
      <c r="G79" s="353"/>
      <c r="H79" s="353"/>
      <c r="I79" s="51"/>
      <c r="J79" s="51"/>
    </row>
    <row r="80" spans="1:32" x14ac:dyDescent="0.2">
      <c r="A80" s="49">
        <f t="shared" si="2"/>
        <v>44900</v>
      </c>
      <c r="B80" s="50" t="s">
        <v>167</v>
      </c>
      <c r="C80" s="353"/>
      <c r="D80" s="353"/>
      <c r="E80" s="353"/>
      <c r="F80" s="353"/>
      <c r="G80" s="353"/>
      <c r="H80" s="353"/>
      <c r="I80" s="51"/>
      <c r="J80" s="51"/>
    </row>
    <row r="81" spans="1:10" x14ac:dyDescent="0.2">
      <c r="A81" s="49">
        <f t="shared" si="2"/>
        <v>44901</v>
      </c>
      <c r="B81" s="50" t="s">
        <v>161</v>
      </c>
      <c r="C81" s="353"/>
      <c r="D81" s="353"/>
      <c r="E81" s="353"/>
      <c r="F81" s="353"/>
      <c r="G81" s="353"/>
      <c r="H81" s="353"/>
      <c r="I81" s="51"/>
      <c r="J81" s="51"/>
    </row>
    <row r="82" spans="1:10" x14ac:dyDescent="0.2">
      <c r="A82" s="49">
        <f t="shared" si="2"/>
        <v>44902</v>
      </c>
      <c r="B82" s="50" t="s">
        <v>162</v>
      </c>
      <c r="C82" s="353"/>
      <c r="D82" s="353"/>
      <c r="E82" s="353"/>
      <c r="F82" s="353"/>
      <c r="G82" s="353"/>
      <c r="H82" s="353"/>
      <c r="I82" s="51"/>
      <c r="J82" s="51"/>
    </row>
    <row r="83" spans="1:10" x14ac:dyDescent="0.2">
      <c r="A83" s="61">
        <f t="shared" si="2"/>
        <v>44903</v>
      </c>
      <c r="B83" s="62" t="s">
        <v>163</v>
      </c>
      <c r="C83" s="429"/>
      <c r="D83" s="429"/>
      <c r="E83" s="429"/>
      <c r="F83" s="429"/>
      <c r="G83" s="429"/>
      <c r="H83" s="429"/>
      <c r="I83" s="63"/>
      <c r="J83" s="63"/>
    </row>
    <row r="84" spans="1:10" x14ac:dyDescent="0.2">
      <c r="A84" s="49">
        <f t="shared" si="2"/>
        <v>44904</v>
      </c>
      <c r="B84" s="50" t="s">
        <v>164</v>
      </c>
      <c r="C84" s="353"/>
      <c r="D84" s="353"/>
      <c r="E84" s="353"/>
      <c r="F84" s="353"/>
      <c r="G84" s="353"/>
      <c r="H84" s="353"/>
      <c r="I84" s="51"/>
      <c r="J84" s="51"/>
    </row>
    <row r="85" spans="1:10" x14ac:dyDescent="0.2">
      <c r="A85" s="49">
        <f t="shared" si="2"/>
        <v>44905</v>
      </c>
      <c r="B85" s="50" t="s">
        <v>165</v>
      </c>
      <c r="C85" s="353"/>
      <c r="D85" s="353"/>
      <c r="E85" s="353"/>
      <c r="F85" s="353"/>
      <c r="G85" s="353"/>
      <c r="H85" s="353"/>
      <c r="I85" s="51"/>
      <c r="J85" s="51"/>
    </row>
    <row r="86" spans="1:10" x14ac:dyDescent="0.2">
      <c r="A86" s="49">
        <f t="shared" si="2"/>
        <v>44906</v>
      </c>
      <c r="B86" s="50" t="s">
        <v>166</v>
      </c>
      <c r="C86" s="353"/>
      <c r="D86" s="353"/>
      <c r="E86" s="353"/>
      <c r="F86" s="353"/>
      <c r="G86" s="353"/>
      <c r="H86" s="353"/>
      <c r="I86" s="51"/>
      <c r="J86" s="51"/>
    </row>
    <row r="87" spans="1:10" x14ac:dyDescent="0.2">
      <c r="A87" s="49">
        <f t="shared" si="2"/>
        <v>44907</v>
      </c>
      <c r="B87" s="50" t="s">
        <v>167</v>
      </c>
      <c r="C87" s="353"/>
      <c r="D87" s="353"/>
      <c r="E87" s="353"/>
      <c r="F87" s="353"/>
      <c r="G87" s="353"/>
      <c r="H87" s="353"/>
      <c r="I87" s="51"/>
      <c r="J87" s="51"/>
    </row>
    <row r="88" spans="1:10" x14ac:dyDescent="0.2">
      <c r="A88" s="49">
        <f t="shared" si="2"/>
        <v>44908</v>
      </c>
      <c r="B88" s="50" t="s">
        <v>161</v>
      </c>
      <c r="C88" s="353"/>
      <c r="D88" s="353"/>
      <c r="E88" s="353"/>
      <c r="F88" s="353"/>
      <c r="G88" s="353"/>
      <c r="H88" s="353"/>
      <c r="I88" s="51"/>
      <c r="J88" s="51"/>
    </row>
    <row r="89" spans="1:10" x14ac:dyDescent="0.2">
      <c r="A89" s="49">
        <f t="shared" si="2"/>
        <v>44909</v>
      </c>
      <c r="B89" s="50" t="s">
        <v>162</v>
      </c>
      <c r="C89" s="353"/>
      <c r="D89" s="353"/>
      <c r="E89" s="353"/>
      <c r="F89" s="353"/>
      <c r="G89" s="353"/>
      <c r="H89" s="353"/>
      <c r="I89" s="51"/>
      <c r="J89" s="51"/>
    </row>
    <row r="90" spans="1:10" x14ac:dyDescent="0.2">
      <c r="A90" s="49">
        <f t="shared" si="2"/>
        <v>44910</v>
      </c>
      <c r="B90" s="50" t="s">
        <v>163</v>
      </c>
      <c r="C90" s="353"/>
      <c r="D90" s="353"/>
      <c r="E90" s="353"/>
      <c r="F90" s="353"/>
      <c r="G90" s="353"/>
      <c r="H90" s="353"/>
      <c r="I90" s="51"/>
      <c r="J90" s="51"/>
    </row>
    <row r="91" spans="1:10" x14ac:dyDescent="0.2">
      <c r="A91" s="49">
        <f t="shared" si="2"/>
        <v>44911</v>
      </c>
      <c r="B91" s="50" t="s">
        <v>164</v>
      </c>
      <c r="C91" s="353"/>
      <c r="D91" s="353"/>
      <c r="E91" s="353"/>
      <c r="F91" s="353"/>
      <c r="G91" s="353"/>
      <c r="H91" s="353"/>
      <c r="I91" s="51"/>
      <c r="J91" s="51"/>
    </row>
    <row r="92" spans="1:10" x14ac:dyDescent="0.2">
      <c r="A92" s="49">
        <f t="shared" si="2"/>
        <v>44912</v>
      </c>
      <c r="B92" s="50" t="s">
        <v>165</v>
      </c>
      <c r="C92" s="353"/>
      <c r="D92" s="353"/>
      <c r="E92" s="353"/>
      <c r="F92" s="353"/>
      <c r="G92" s="353"/>
      <c r="H92" s="353"/>
      <c r="I92" s="51"/>
      <c r="J92" s="51"/>
    </row>
    <row r="93" spans="1:10" x14ac:dyDescent="0.2">
      <c r="A93" s="49">
        <f t="shared" si="2"/>
        <v>44913</v>
      </c>
      <c r="B93" s="50" t="s">
        <v>166</v>
      </c>
      <c r="C93" s="353"/>
      <c r="D93" s="353"/>
      <c r="E93" s="353"/>
      <c r="F93" s="353"/>
      <c r="G93" s="353"/>
      <c r="H93" s="353"/>
      <c r="I93" s="51"/>
      <c r="J93" s="51"/>
    </row>
    <row r="94" spans="1:10" x14ac:dyDescent="0.2">
      <c r="A94" s="49">
        <f t="shared" si="2"/>
        <v>44914</v>
      </c>
      <c r="B94" s="50" t="s">
        <v>167</v>
      </c>
      <c r="C94" s="353"/>
      <c r="D94" s="353"/>
      <c r="E94" s="353"/>
      <c r="F94" s="353"/>
      <c r="G94" s="353"/>
      <c r="H94" s="353"/>
      <c r="I94" s="51"/>
      <c r="J94" s="51"/>
    </row>
    <row r="95" spans="1:10" x14ac:dyDescent="0.2">
      <c r="A95" s="49">
        <f t="shared" si="2"/>
        <v>44915</v>
      </c>
      <c r="B95" s="50" t="s">
        <v>161</v>
      </c>
      <c r="C95" s="353"/>
      <c r="D95" s="353"/>
      <c r="E95" s="353"/>
      <c r="F95" s="353"/>
      <c r="G95" s="353"/>
      <c r="H95" s="353"/>
      <c r="I95" s="51"/>
      <c r="J95" s="51"/>
    </row>
    <row r="96" spans="1:10" x14ac:dyDescent="0.2">
      <c r="A96" s="49">
        <f t="shared" si="2"/>
        <v>44916</v>
      </c>
      <c r="B96" s="50" t="s">
        <v>162</v>
      </c>
      <c r="C96" s="353"/>
      <c r="D96" s="353"/>
      <c r="E96" s="353"/>
      <c r="F96" s="353"/>
      <c r="G96" s="353"/>
      <c r="H96" s="353"/>
      <c r="I96" s="51"/>
      <c r="J96" s="51"/>
    </row>
    <row r="97" spans="1:21" x14ac:dyDescent="0.2">
      <c r="A97" s="49">
        <f t="shared" si="2"/>
        <v>44917</v>
      </c>
      <c r="B97" s="50" t="s">
        <v>163</v>
      </c>
      <c r="C97" s="353"/>
      <c r="D97" s="353"/>
      <c r="E97" s="353"/>
      <c r="F97" s="353"/>
      <c r="G97" s="353"/>
      <c r="H97" s="353"/>
      <c r="I97" s="51"/>
      <c r="J97" s="51"/>
    </row>
    <row r="98" spans="1:21" x14ac:dyDescent="0.2">
      <c r="A98" s="49">
        <f t="shared" si="2"/>
        <v>44918</v>
      </c>
      <c r="B98" s="50" t="s">
        <v>164</v>
      </c>
      <c r="C98" s="353"/>
      <c r="D98" s="353"/>
      <c r="E98" s="353"/>
      <c r="F98" s="353"/>
      <c r="G98" s="353"/>
      <c r="H98" s="353"/>
      <c r="I98" s="51"/>
      <c r="J98" s="51"/>
    </row>
    <row r="99" spans="1:21" x14ac:dyDescent="0.2">
      <c r="A99" s="49">
        <f t="shared" si="2"/>
        <v>44919</v>
      </c>
      <c r="B99" s="50" t="s">
        <v>165</v>
      </c>
      <c r="C99" s="353"/>
      <c r="D99" s="353"/>
      <c r="E99" s="353"/>
      <c r="F99" s="353"/>
      <c r="G99" s="353"/>
      <c r="H99" s="353"/>
      <c r="I99" s="51"/>
      <c r="J99" s="51"/>
    </row>
    <row r="100" spans="1:21" x14ac:dyDescent="0.2">
      <c r="A100" s="61">
        <f t="shared" si="2"/>
        <v>44920</v>
      </c>
      <c r="B100" s="62" t="s">
        <v>166</v>
      </c>
      <c r="C100" s="429"/>
      <c r="D100" s="429"/>
      <c r="E100" s="429"/>
      <c r="F100" s="429"/>
      <c r="G100" s="429"/>
      <c r="H100" s="429"/>
      <c r="I100" s="63"/>
      <c r="J100" s="63"/>
    </row>
    <row r="101" spans="1:21" x14ac:dyDescent="0.2">
      <c r="A101" s="49">
        <f t="shared" si="2"/>
        <v>44921</v>
      </c>
      <c r="B101" s="50" t="s">
        <v>167</v>
      </c>
      <c r="C101" s="353"/>
      <c r="D101" s="353"/>
      <c r="E101" s="353"/>
      <c r="F101" s="353"/>
      <c r="G101" s="353"/>
      <c r="H101" s="353"/>
      <c r="I101" s="51"/>
      <c r="J101" s="51"/>
    </row>
    <row r="102" spans="1:21" x14ac:dyDescent="0.2">
      <c r="A102" s="49">
        <f t="shared" si="2"/>
        <v>44922</v>
      </c>
      <c r="B102" s="50" t="s">
        <v>161</v>
      </c>
      <c r="C102" s="353"/>
      <c r="D102" s="353"/>
      <c r="E102" s="353"/>
      <c r="F102" s="353"/>
      <c r="G102" s="353"/>
      <c r="H102" s="353"/>
      <c r="I102" s="51"/>
      <c r="J102" s="51"/>
    </row>
    <row r="103" spans="1:21" x14ac:dyDescent="0.2">
      <c r="A103" s="49">
        <f t="shared" si="2"/>
        <v>44923</v>
      </c>
      <c r="B103" s="50" t="s">
        <v>162</v>
      </c>
      <c r="C103" s="353"/>
      <c r="D103" s="353"/>
      <c r="E103" s="353"/>
      <c r="F103" s="353"/>
      <c r="G103" s="353"/>
      <c r="H103" s="353"/>
      <c r="I103" s="51"/>
      <c r="J103" s="51"/>
    </row>
    <row r="104" spans="1:21" x14ac:dyDescent="0.2">
      <c r="A104" s="49">
        <f t="shared" si="2"/>
        <v>44924</v>
      </c>
      <c r="B104" s="50" t="s">
        <v>163</v>
      </c>
      <c r="C104" s="353"/>
      <c r="D104" s="353"/>
      <c r="E104" s="353"/>
      <c r="F104" s="353"/>
      <c r="G104" s="353"/>
      <c r="H104" s="353"/>
      <c r="I104" s="51"/>
      <c r="J104" s="51"/>
    </row>
    <row r="105" spans="1:21" x14ac:dyDescent="0.2">
      <c r="A105" s="49">
        <f t="shared" si="2"/>
        <v>44925</v>
      </c>
      <c r="B105" s="50" t="s">
        <v>164</v>
      </c>
      <c r="C105" s="353"/>
      <c r="D105" s="353"/>
      <c r="E105" s="353"/>
      <c r="F105" s="353"/>
      <c r="G105" s="353"/>
      <c r="H105" s="353"/>
      <c r="I105" s="51"/>
      <c r="J105" s="51"/>
    </row>
    <row r="106" spans="1:21" x14ac:dyDescent="0.2">
      <c r="A106" s="49">
        <f t="shared" si="2"/>
        <v>44926</v>
      </c>
      <c r="B106" s="50" t="s">
        <v>165</v>
      </c>
      <c r="C106" s="353"/>
      <c r="D106" s="353"/>
      <c r="E106" s="353"/>
      <c r="F106" s="353"/>
      <c r="G106" s="353"/>
      <c r="H106" s="353"/>
      <c r="I106" s="51"/>
      <c r="J106" s="51"/>
    </row>
    <row r="107" spans="1:21" x14ac:dyDescent="0.2">
      <c r="A107" s="32"/>
      <c r="I107" s="8"/>
      <c r="J107" s="8"/>
      <c r="R107" s="21"/>
      <c r="S107" s="21"/>
      <c r="T107" s="8"/>
      <c r="U107" s="8"/>
    </row>
    <row r="108" spans="1:21" x14ac:dyDescent="0.2">
      <c r="A108" s="367" t="s">
        <v>207</v>
      </c>
      <c r="B108" s="368"/>
      <c r="C108" s="368"/>
      <c r="D108" s="368"/>
      <c r="I108" s="8"/>
      <c r="J108" s="8"/>
      <c r="R108" s="21"/>
      <c r="S108" s="21"/>
      <c r="T108" s="8"/>
      <c r="U108" s="8"/>
    </row>
    <row r="109" spans="1:21" x14ac:dyDescent="0.2">
      <c r="A109" s="52">
        <f>COUNTIF($I$76:$I$109,B109)</f>
        <v>0</v>
      </c>
      <c r="B109" s="53" t="s">
        <v>208</v>
      </c>
      <c r="C109" s="370" t="s">
        <v>209</v>
      </c>
      <c r="D109" s="370"/>
      <c r="I109" s="8"/>
      <c r="J109" s="8"/>
      <c r="R109" s="21"/>
      <c r="S109" s="21"/>
      <c r="T109" s="8"/>
      <c r="U109" s="8"/>
    </row>
    <row r="110" spans="1:21" x14ac:dyDescent="0.2">
      <c r="A110" s="52">
        <f t="shared" ref="A110:A119" si="3">COUNTIF($I$76:$I$109,B110)</f>
        <v>0</v>
      </c>
      <c r="B110" s="53" t="s">
        <v>172</v>
      </c>
      <c r="C110" s="370" t="s">
        <v>210</v>
      </c>
      <c r="D110" s="370"/>
      <c r="I110" s="8"/>
      <c r="J110" s="8"/>
      <c r="R110" s="21"/>
      <c r="S110" s="21"/>
      <c r="T110" s="8"/>
      <c r="U110" s="8"/>
    </row>
    <row r="111" spans="1:21" x14ac:dyDescent="0.2">
      <c r="A111" s="52">
        <f t="shared" si="3"/>
        <v>0</v>
      </c>
      <c r="B111" s="53" t="s">
        <v>169</v>
      </c>
      <c r="C111" s="370" t="s">
        <v>211</v>
      </c>
      <c r="D111" s="370"/>
      <c r="I111" s="8"/>
      <c r="J111" s="8"/>
      <c r="R111" s="21"/>
      <c r="S111" s="21"/>
      <c r="T111" s="8"/>
      <c r="U111" s="8"/>
    </row>
    <row r="112" spans="1:21" x14ac:dyDescent="0.2">
      <c r="A112" s="52">
        <f t="shared" si="3"/>
        <v>0</v>
      </c>
      <c r="B112" s="53" t="s">
        <v>181</v>
      </c>
      <c r="C112" s="370" t="s">
        <v>212</v>
      </c>
      <c r="D112" s="370"/>
      <c r="I112" s="8"/>
      <c r="J112" s="8"/>
      <c r="R112" s="21"/>
      <c r="S112" s="21"/>
      <c r="T112" s="8"/>
      <c r="U112" s="8"/>
    </row>
    <row r="113" spans="1:21" x14ac:dyDescent="0.2">
      <c r="A113" s="52">
        <f t="shared" si="3"/>
        <v>0</v>
      </c>
      <c r="B113" s="53" t="s">
        <v>183</v>
      </c>
      <c r="C113" s="370" t="s">
        <v>213</v>
      </c>
      <c r="D113" s="370"/>
      <c r="I113" s="8"/>
      <c r="J113" s="8"/>
      <c r="R113" s="21"/>
      <c r="S113" s="21"/>
      <c r="T113" s="8"/>
      <c r="U113" s="8"/>
    </row>
    <row r="114" spans="1:21" x14ac:dyDescent="0.2">
      <c r="A114" s="52">
        <f t="shared" si="3"/>
        <v>0</v>
      </c>
      <c r="B114" s="53" t="s">
        <v>214</v>
      </c>
      <c r="C114" s="370" t="s">
        <v>215</v>
      </c>
      <c r="D114" s="370"/>
      <c r="I114" s="8"/>
      <c r="J114" s="8"/>
      <c r="R114" s="21"/>
      <c r="S114" s="21"/>
      <c r="T114" s="8"/>
      <c r="U114" s="8"/>
    </row>
    <row r="115" spans="1:21" x14ac:dyDescent="0.2">
      <c r="A115" s="52">
        <f t="shared" si="3"/>
        <v>0</v>
      </c>
      <c r="B115" s="53" t="s">
        <v>216</v>
      </c>
      <c r="C115" s="370" t="s">
        <v>217</v>
      </c>
      <c r="D115" s="370"/>
      <c r="I115" s="8"/>
      <c r="J115" s="8"/>
      <c r="R115" s="21"/>
      <c r="S115" s="21"/>
      <c r="T115" s="8"/>
      <c r="U115" s="8"/>
    </row>
    <row r="116" spans="1:21" x14ac:dyDescent="0.2">
      <c r="A116" s="52">
        <f t="shared" si="3"/>
        <v>0</v>
      </c>
      <c r="B116" s="53" t="s">
        <v>218</v>
      </c>
      <c r="C116" s="371" t="s">
        <v>219</v>
      </c>
      <c r="D116" s="372"/>
      <c r="I116" s="8"/>
      <c r="J116" s="8"/>
      <c r="R116" s="21"/>
      <c r="S116" s="21"/>
      <c r="T116" s="8"/>
      <c r="U116" s="8"/>
    </row>
    <row r="117" spans="1:21" x14ac:dyDescent="0.2">
      <c r="A117" s="52">
        <f t="shared" si="3"/>
        <v>0</v>
      </c>
      <c r="B117" s="53" t="s">
        <v>220</v>
      </c>
      <c r="C117" s="370" t="s">
        <v>221</v>
      </c>
      <c r="D117" s="370"/>
      <c r="I117" s="8"/>
      <c r="J117" s="8"/>
    </row>
    <row r="118" spans="1:21" x14ac:dyDescent="0.2">
      <c r="A118" s="52">
        <f>COUNTIF($I$76:$I$109,B118)</f>
        <v>0</v>
      </c>
      <c r="B118" s="53" t="s">
        <v>178</v>
      </c>
      <c r="C118" s="370" t="s">
        <v>222</v>
      </c>
      <c r="D118" s="370"/>
      <c r="I118" s="8"/>
      <c r="J118" s="8"/>
    </row>
    <row r="119" spans="1:21" x14ac:dyDescent="0.2">
      <c r="A119" s="52">
        <f t="shared" si="3"/>
        <v>0</v>
      </c>
      <c r="B119" s="53" t="s">
        <v>223</v>
      </c>
      <c r="C119" s="370" t="s">
        <v>224</v>
      </c>
      <c r="D119" s="370"/>
      <c r="I119" s="8"/>
      <c r="J119" s="8"/>
    </row>
    <row r="120" spans="1:21" x14ac:dyDescent="0.2">
      <c r="A120" s="54"/>
      <c r="B120" s="55"/>
      <c r="C120" s="56"/>
      <c r="D120" s="56"/>
      <c r="I120" s="8"/>
      <c r="J120" s="8"/>
    </row>
    <row r="121" spans="1:21" x14ac:dyDescent="0.2">
      <c r="A121" s="54"/>
      <c r="B121" s="55"/>
      <c r="C121" s="56"/>
      <c r="D121" s="56"/>
      <c r="I121" s="8"/>
      <c r="J121" s="8"/>
    </row>
    <row r="122" spans="1:21" x14ac:dyDescent="0.2">
      <c r="A122" s="54"/>
      <c r="B122" s="55"/>
      <c r="C122" s="56"/>
      <c r="D122" s="56"/>
      <c r="I122" s="8"/>
      <c r="J122" s="8"/>
    </row>
    <row r="123" spans="1:21" x14ac:dyDescent="0.2">
      <c r="A123" s="54"/>
      <c r="B123" s="55"/>
      <c r="C123" s="56"/>
      <c r="D123" s="56"/>
      <c r="I123" s="8"/>
      <c r="J123" s="8"/>
    </row>
    <row r="124" spans="1:21" x14ac:dyDescent="0.2">
      <c r="A124" s="32"/>
      <c r="I124" s="8"/>
      <c r="J124" s="8"/>
    </row>
    <row r="125" spans="1:21" x14ac:dyDescent="0.2">
      <c r="A125" s="367" t="s">
        <v>225</v>
      </c>
      <c r="B125" s="368"/>
      <c r="C125" s="368"/>
      <c r="D125" s="368"/>
      <c r="I125" s="8"/>
      <c r="J125" s="8"/>
    </row>
    <row r="126" spans="1:21" x14ac:dyDescent="0.2">
      <c r="A126" s="52">
        <f>COUNTIF($J$76:$J$109,B126)</f>
        <v>0</v>
      </c>
      <c r="B126" s="52" t="s">
        <v>170</v>
      </c>
      <c r="C126" s="356" t="s">
        <v>226</v>
      </c>
      <c r="D126" s="356"/>
      <c r="I126" s="8"/>
      <c r="J126" s="8"/>
    </row>
    <row r="127" spans="1:21" x14ac:dyDescent="0.2">
      <c r="A127" s="52">
        <f t="shared" ref="A127:A138" si="4">COUNTIF($J$76:$J$109,B127)</f>
        <v>0</v>
      </c>
      <c r="B127" s="52" t="s">
        <v>191</v>
      </c>
      <c r="C127" s="356" t="s">
        <v>227</v>
      </c>
      <c r="D127" s="356"/>
      <c r="I127" s="8"/>
      <c r="J127" s="8"/>
    </row>
    <row r="128" spans="1:21" x14ac:dyDescent="0.2">
      <c r="A128" s="52">
        <f t="shared" si="4"/>
        <v>0</v>
      </c>
      <c r="B128" s="52" t="s">
        <v>179</v>
      </c>
      <c r="C128" s="356" t="s">
        <v>228</v>
      </c>
      <c r="D128" s="356"/>
      <c r="I128" s="8"/>
      <c r="J128" s="8"/>
    </row>
    <row r="129" spans="1:10" x14ac:dyDescent="0.2">
      <c r="A129" s="52">
        <f t="shared" si="4"/>
        <v>0</v>
      </c>
      <c r="B129" s="52" t="s">
        <v>229</v>
      </c>
      <c r="C129" s="356" t="s">
        <v>230</v>
      </c>
      <c r="D129" s="356"/>
      <c r="I129" s="8"/>
      <c r="J129" s="8"/>
    </row>
    <row r="130" spans="1:10" x14ac:dyDescent="0.2">
      <c r="A130" s="52">
        <f t="shared" si="4"/>
        <v>0</v>
      </c>
      <c r="B130" s="52" t="s">
        <v>174</v>
      </c>
      <c r="C130" s="356" t="s">
        <v>231</v>
      </c>
      <c r="D130" s="356"/>
      <c r="I130" s="8"/>
      <c r="J130" s="8"/>
    </row>
    <row r="131" spans="1:10" x14ac:dyDescent="0.2">
      <c r="A131" s="52">
        <f t="shared" si="4"/>
        <v>0</v>
      </c>
      <c r="B131" s="52" t="s">
        <v>232</v>
      </c>
      <c r="C131" s="356" t="s">
        <v>233</v>
      </c>
      <c r="D131" s="356"/>
      <c r="I131" s="8"/>
      <c r="J131" s="8"/>
    </row>
    <row r="132" spans="1:10" x14ac:dyDescent="0.2">
      <c r="A132" s="52">
        <f t="shared" si="4"/>
        <v>0</v>
      </c>
      <c r="B132" s="52" t="s">
        <v>187</v>
      </c>
      <c r="C132" s="356" t="s">
        <v>234</v>
      </c>
      <c r="D132" s="356"/>
      <c r="I132" s="8"/>
      <c r="J132" s="8"/>
    </row>
    <row r="133" spans="1:10" x14ac:dyDescent="0.2">
      <c r="A133" s="52">
        <f t="shared" si="4"/>
        <v>0</v>
      </c>
      <c r="B133" s="52" t="s">
        <v>235</v>
      </c>
      <c r="C133" s="356" t="s">
        <v>236</v>
      </c>
      <c r="D133" s="356"/>
      <c r="I133" s="8"/>
      <c r="J133" s="8"/>
    </row>
    <row r="134" spans="1:10" x14ac:dyDescent="0.2">
      <c r="A134" s="52">
        <f t="shared" si="4"/>
        <v>0</v>
      </c>
      <c r="B134" s="52" t="s">
        <v>185</v>
      </c>
      <c r="C134" s="356" t="s">
        <v>237</v>
      </c>
      <c r="D134" s="356"/>
      <c r="I134" s="8"/>
      <c r="J134" s="8"/>
    </row>
    <row r="135" spans="1:10" x14ac:dyDescent="0.2">
      <c r="A135" s="52">
        <f t="shared" si="4"/>
        <v>0</v>
      </c>
      <c r="B135" s="52" t="s">
        <v>238</v>
      </c>
      <c r="C135" s="356" t="s">
        <v>239</v>
      </c>
      <c r="D135" s="356"/>
      <c r="I135" s="8"/>
      <c r="J135" s="8"/>
    </row>
    <row r="136" spans="1:10" x14ac:dyDescent="0.2">
      <c r="A136" s="52">
        <f>COUNTIF($J$76:$J$109,B136)</f>
        <v>0</v>
      </c>
      <c r="B136" s="52" t="s">
        <v>240</v>
      </c>
      <c r="C136" s="356" t="s">
        <v>241</v>
      </c>
      <c r="D136" s="356"/>
      <c r="I136" s="8"/>
      <c r="J136" s="8"/>
    </row>
    <row r="137" spans="1:10" x14ac:dyDescent="0.2">
      <c r="A137" s="52">
        <f>COUNTIF($J$76:$J$109,B137)</f>
        <v>0</v>
      </c>
      <c r="B137" s="52" t="s">
        <v>242</v>
      </c>
      <c r="C137" s="356" t="s">
        <v>243</v>
      </c>
      <c r="D137" s="356"/>
      <c r="I137" s="8"/>
      <c r="J137" s="8"/>
    </row>
    <row r="138" spans="1:10" x14ac:dyDescent="0.2">
      <c r="A138" s="52">
        <f t="shared" si="4"/>
        <v>0</v>
      </c>
      <c r="B138" s="52" t="s">
        <v>244</v>
      </c>
      <c r="C138" s="356" t="s">
        <v>245</v>
      </c>
      <c r="D138" s="356"/>
      <c r="I138" s="8"/>
      <c r="J138" s="8"/>
    </row>
    <row r="139" spans="1:10" x14ac:dyDescent="0.2">
      <c r="A139" s="32"/>
      <c r="I139" s="8"/>
      <c r="J139" s="8"/>
    </row>
    <row r="140" spans="1:10" x14ac:dyDescent="0.2">
      <c r="A140" s="32"/>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ht="19" x14ac:dyDescent="0.2">
      <c r="A145" s="32"/>
      <c r="C145" s="349" t="s">
        <v>86</v>
      </c>
      <c r="D145" s="350"/>
      <c r="E145" s="350"/>
      <c r="F145" s="350"/>
      <c r="G145" s="351"/>
      <c r="I145" s="8"/>
      <c r="J145" s="8"/>
    </row>
    <row r="146" spans="1:10" ht="32" x14ac:dyDescent="0.2">
      <c r="A146" s="32"/>
      <c r="C146" s="68" t="s">
        <v>87</v>
      </c>
      <c r="D146" s="64" t="s">
        <v>88</v>
      </c>
      <c r="E146" s="64" t="s">
        <v>89</v>
      </c>
      <c r="F146" s="64" t="s">
        <v>90</v>
      </c>
      <c r="G146" s="66" t="s">
        <v>91</v>
      </c>
      <c r="I146" s="8"/>
      <c r="J146" s="8"/>
    </row>
    <row r="147" spans="1:10" x14ac:dyDescent="0.2">
      <c r="A147" s="32"/>
      <c r="C147" s="65"/>
      <c r="D147" s="65"/>
      <c r="E147" s="65"/>
      <c r="F147" s="65"/>
      <c r="G147" s="67">
        <f>SUM(B147:F147)</f>
        <v>0</v>
      </c>
      <c r="I147" s="8"/>
      <c r="J147" s="8"/>
    </row>
    <row r="148" spans="1:10" x14ac:dyDescent="0.2">
      <c r="A148" s="32"/>
      <c r="G148"/>
      <c r="I148" s="8"/>
      <c r="J148" s="8"/>
    </row>
    <row r="149" spans="1:10" x14ac:dyDescent="0.2">
      <c r="A149" s="32"/>
      <c r="I149" s="8"/>
      <c r="J149" s="8"/>
    </row>
    <row r="150" spans="1:10" x14ac:dyDescent="0.2">
      <c r="A150" s="32"/>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row>
    <row r="224" spans="1:10" x14ac:dyDescent="0.2">
      <c r="A224" s="32"/>
    </row>
    <row r="225" spans="1:1" x14ac:dyDescent="0.2">
      <c r="A225" s="32"/>
    </row>
    <row r="226" spans="1:1" x14ac:dyDescent="0.2">
      <c r="A226" s="32"/>
    </row>
    <row r="227" spans="1:1" x14ac:dyDescent="0.2">
      <c r="A227" s="32"/>
    </row>
    <row r="228" spans="1:1" x14ac:dyDescent="0.2">
      <c r="A228" s="32"/>
    </row>
    <row r="229" spans="1:1" x14ac:dyDescent="0.2">
      <c r="A229" s="32"/>
    </row>
    <row r="230" spans="1:1" x14ac:dyDescent="0.2">
      <c r="A230" s="32"/>
    </row>
    <row r="231" spans="1:1" x14ac:dyDescent="0.2">
      <c r="A231" s="32"/>
    </row>
    <row r="232" spans="1:1" x14ac:dyDescent="0.2">
      <c r="A232" s="32"/>
    </row>
    <row r="233" spans="1:1" x14ac:dyDescent="0.2">
      <c r="A233" s="32"/>
    </row>
    <row r="234" spans="1:1" x14ac:dyDescent="0.2">
      <c r="A234" s="32"/>
    </row>
    <row r="235" spans="1:1" x14ac:dyDescent="0.2">
      <c r="A235" s="32"/>
    </row>
    <row r="236" spans="1:1" x14ac:dyDescent="0.2">
      <c r="A236" s="32"/>
    </row>
    <row r="237" spans="1:1" x14ac:dyDescent="0.2">
      <c r="A237" s="32"/>
    </row>
    <row r="238" spans="1:1" x14ac:dyDescent="0.2">
      <c r="A238" s="32"/>
    </row>
    <row r="239" spans="1:1" x14ac:dyDescent="0.2">
      <c r="A239" s="32"/>
    </row>
    <row r="240" spans="1:1" x14ac:dyDescent="0.2">
      <c r="A240" s="32"/>
    </row>
    <row r="241" spans="1:1" x14ac:dyDescent="0.2">
      <c r="A241" s="32"/>
    </row>
    <row r="242" spans="1:1" x14ac:dyDescent="0.2">
      <c r="A242" s="32"/>
    </row>
    <row r="243" spans="1:1" x14ac:dyDescent="0.2">
      <c r="A243" s="32"/>
    </row>
    <row r="244" spans="1:1" x14ac:dyDescent="0.2">
      <c r="A244" s="32"/>
    </row>
    <row r="245" spans="1:1" x14ac:dyDescent="0.2">
      <c r="A245" s="32"/>
    </row>
    <row r="246" spans="1:1" x14ac:dyDescent="0.2">
      <c r="A246" s="32"/>
    </row>
    <row r="247" spans="1:1" x14ac:dyDescent="0.2">
      <c r="A247" s="32"/>
    </row>
    <row r="248" spans="1:1" x14ac:dyDescent="0.2">
      <c r="A248" s="32"/>
    </row>
  </sheetData>
  <autoFilter ref="A1:AH1" xr:uid="{00000000-0001-0000-0800-000000000000}"/>
  <mergeCells count="67">
    <mergeCell ref="T63:V63"/>
    <mergeCell ref="W63:Y63"/>
    <mergeCell ref="Z63:AB63"/>
    <mergeCell ref="AC63:AE63"/>
    <mergeCell ref="AF63:AH63"/>
    <mergeCell ref="C77:H77"/>
    <mergeCell ref="C145:G145"/>
    <mergeCell ref="C63:D63"/>
    <mergeCell ref="C101:H101"/>
    <mergeCell ref="C90:H90"/>
    <mergeCell ref="C91:H91"/>
    <mergeCell ref="C92:H92"/>
    <mergeCell ref="C93:H93"/>
    <mergeCell ref="C94:H94"/>
    <mergeCell ref="C95:H95"/>
    <mergeCell ref="C96:H96"/>
    <mergeCell ref="C97:H97"/>
    <mergeCell ref="C98:H98"/>
    <mergeCell ref="C99:H99"/>
    <mergeCell ref="C100:H100"/>
    <mergeCell ref="C114:D114"/>
    <mergeCell ref="M64:O64"/>
    <mergeCell ref="H65:I65"/>
    <mergeCell ref="A75:C75"/>
    <mergeCell ref="C76:H76"/>
    <mergeCell ref="C89:H89"/>
    <mergeCell ref="C78:H78"/>
    <mergeCell ref="C79:H79"/>
    <mergeCell ref="C80:H80"/>
    <mergeCell ref="C81:H81"/>
    <mergeCell ref="C82:H82"/>
    <mergeCell ref="C83:H83"/>
    <mergeCell ref="C84:H84"/>
    <mergeCell ref="C85:H85"/>
    <mergeCell ref="C86:H86"/>
    <mergeCell ref="C87:H87"/>
    <mergeCell ref="C88:H88"/>
    <mergeCell ref="C102:H102"/>
    <mergeCell ref="C103:H103"/>
    <mergeCell ref="C104:H104"/>
    <mergeCell ref="C105:H105"/>
    <mergeCell ref="C106:H106"/>
    <mergeCell ref="A108:D108"/>
    <mergeCell ref="C109:D109"/>
    <mergeCell ref="C110:D110"/>
    <mergeCell ref="C111:D111"/>
    <mergeCell ref="C112:D112"/>
    <mergeCell ref="C113:D113"/>
    <mergeCell ref="C131:D131"/>
    <mergeCell ref="C115:D115"/>
    <mergeCell ref="C116:D116"/>
    <mergeCell ref="C117:D117"/>
    <mergeCell ref="C119:D119"/>
    <mergeCell ref="C126:D126"/>
    <mergeCell ref="C127:D127"/>
    <mergeCell ref="C128:D128"/>
    <mergeCell ref="C129:D129"/>
    <mergeCell ref="C130:D130"/>
    <mergeCell ref="C118:D118"/>
    <mergeCell ref="A125:D125"/>
    <mergeCell ref="C132:D132"/>
    <mergeCell ref="C133:D133"/>
    <mergeCell ref="C134:D134"/>
    <mergeCell ref="C135:D135"/>
    <mergeCell ref="C138:D138"/>
    <mergeCell ref="C136:D136"/>
    <mergeCell ref="C137:D137"/>
  </mergeCells>
  <dataValidations disablePrompts="1" count="2">
    <dataValidation type="list" allowBlank="1" showInputMessage="1" showErrorMessage="1" sqref="J76:J106" xr:uid="{F19EC4BD-0CFB-4909-81F2-51B0688FCA39}">
      <formula1>$B$125:$B$138</formula1>
    </dataValidation>
    <dataValidation type="list" allowBlank="1" showInputMessage="1" showErrorMessage="1" sqref="I76:I106" xr:uid="{DA8490D9-03DE-4DD7-AF85-F55DD431231D}">
      <formula1>$B$109:$B$119</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2A097-1532-4AF6-909B-AE0258E1D6E0}">
  <sheetPr codeName="Hoja14"/>
  <dimension ref="A1:AP248"/>
  <sheetViews>
    <sheetView zoomScale="85" zoomScaleNormal="85" workbookViewId="0">
      <pane xSplit="11" ySplit="1" topLeftCell="L2"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13.5" style="1" customWidth="1"/>
    <col min="23" max="23" width="4.6640625" style="1" customWidth="1"/>
    <col min="24" max="24" width="13.5" style="1" customWidth="1"/>
    <col min="25" max="25" width="4.6640625" style="1" customWidth="1"/>
    <col min="26" max="26" width="13.5" style="1" customWidth="1"/>
    <col min="27" max="27" width="4.6640625" style="1" customWidth="1"/>
    <col min="28" max="28" width="13.5" style="1" customWidth="1"/>
    <col min="29" max="29" width="13" style="1" bestFit="1" customWidth="1"/>
    <col min="30" max="30" width="4.6640625" style="48" customWidth="1"/>
    <col min="31" max="31" width="11.5" style="48" bestFit="1" customWidth="1"/>
    <col min="32" max="32" width="16.6640625" style="48" bestFit="1" customWidth="1"/>
    <col min="33" max="33" width="4.6640625" style="1" customWidth="1"/>
    <col min="34" max="34" width="11.5" style="1" bestFit="1" customWidth="1"/>
    <col min="35" max="38" width="9.1640625" style="1"/>
    <col min="39" max="39" width="15.5" style="1" bestFit="1" customWidth="1"/>
    <col min="40" max="16384" width="11.5" style="1"/>
  </cols>
  <sheetData>
    <row r="1" spans="1:42"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125</v>
      </c>
      <c r="AO1" s="304" t="s">
        <v>255</v>
      </c>
      <c r="AP1" s="304" t="s">
        <v>257</v>
      </c>
    </row>
    <row r="2" spans="1:42" s="48" customFormat="1" x14ac:dyDescent="0.2">
      <c r="A2" s="209"/>
      <c r="B2" s="8"/>
      <c r="C2" s="8"/>
      <c r="D2" s="8"/>
      <c r="E2" s="8"/>
      <c r="F2" s="8"/>
      <c r="G2" s="8"/>
      <c r="H2" s="8"/>
      <c r="I2" s="8"/>
      <c r="J2" s="37"/>
      <c r="K2" s="19">
        <v>0</v>
      </c>
      <c r="L2" s="198" t="s">
        <v>128</v>
      </c>
      <c r="M2" s="198" t="s">
        <v>128</v>
      </c>
      <c r="N2" s="197" t="s">
        <v>128</v>
      </c>
      <c r="O2" s="195">
        <v>1</v>
      </c>
      <c r="P2" s="45" t="s">
        <v>128</v>
      </c>
      <c r="Q2" s="45" t="s">
        <v>128</v>
      </c>
      <c r="R2" s="45" t="s">
        <v>128</v>
      </c>
      <c r="S2" s="45" t="s">
        <v>128</v>
      </c>
      <c r="T2" s="45" t="s">
        <v>128</v>
      </c>
      <c r="U2" s="45" t="s">
        <v>128</v>
      </c>
      <c r="V2" s="45" t="s">
        <v>128</v>
      </c>
      <c r="W2" s="45" t="s">
        <v>128</v>
      </c>
      <c r="X2" s="45" t="s">
        <v>128</v>
      </c>
      <c r="Y2" s="45" t="s">
        <v>128</v>
      </c>
      <c r="Z2" s="45" t="s">
        <v>128</v>
      </c>
      <c r="AA2" s="45" t="s">
        <v>128</v>
      </c>
      <c r="AB2" s="45" t="s">
        <v>128</v>
      </c>
      <c r="AC2" s="107" t="s">
        <v>128</v>
      </c>
      <c r="AD2" s="107" t="s">
        <v>128</v>
      </c>
      <c r="AE2" s="107" t="s">
        <v>128</v>
      </c>
      <c r="AF2" s="107" t="s">
        <v>128</v>
      </c>
      <c r="AG2" s="107" t="s">
        <v>128</v>
      </c>
      <c r="AH2" s="107" t="s">
        <v>128</v>
      </c>
      <c r="AI2" s="228"/>
      <c r="AJ2" s="228"/>
      <c r="AK2" s="228"/>
      <c r="AL2" s="228"/>
      <c r="AM2" s="228"/>
      <c r="AN2" s="228"/>
      <c r="AO2" s="140"/>
      <c r="AP2" s="140"/>
    </row>
    <row r="3" spans="1:42" s="48" customFormat="1" x14ac:dyDescent="0.2">
      <c r="A3" s="22"/>
      <c r="B3" s="22"/>
      <c r="C3" s="22"/>
      <c r="D3" s="22"/>
      <c r="E3" s="22"/>
      <c r="F3" s="22"/>
      <c r="G3" s="22"/>
      <c r="H3" s="22"/>
      <c r="I3" s="22"/>
      <c r="J3" s="36"/>
      <c r="K3" s="19">
        <v>0</v>
      </c>
      <c r="L3" s="198" t="s">
        <v>128</v>
      </c>
      <c r="M3" s="198" t="s">
        <v>128</v>
      </c>
      <c r="N3" s="197" t="s">
        <v>128</v>
      </c>
      <c r="O3" s="195">
        <v>1</v>
      </c>
      <c r="P3" s="45" t="s">
        <v>128</v>
      </c>
      <c r="Q3" s="45" t="s">
        <v>128</v>
      </c>
      <c r="R3" s="45" t="s">
        <v>128</v>
      </c>
      <c r="S3" s="45" t="s">
        <v>128</v>
      </c>
      <c r="T3" s="45" t="s">
        <v>128</v>
      </c>
      <c r="U3" s="45" t="s">
        <v>128</v>
      </c>
      <c r="V3" s="45" t="s">
        <v>128</v>
      </c>
      <c r="W3" s="45" t="s">
        <v>128</v>
      </c>
      <c r="X3" s="45" t="s">
        <v>128</v>
      </c>
      <c r="Y3" s="45" t="s">
        <v>128</v>
      </c>
      <c r="Z3" s="45" t="s">
        <v>128</v>
      </c>
      <c r="AA3" s="45" t="s">
        <v>128</v>
      </c>
      <c r="AB3" s="45" t="s">
        <v>128</v>
      </c>
      <c r="AC3" s="107" t="s">
        <v>128</v>
      </c>
      <c r="AD3" s="107" t="s">
        <v>128</v>
      </c>
      <c r="AE3" s="107" t="s">
        <v>128</v>
      </c>
      <c r="AF3" s="107" t="s">
        <v>128</v>
      </c>
      <c r="AG3" s="107" t="s">
        <v>128</v>
      </c>
      <c r="AH3" s="107" t="s">
        <v>128</v>
      </c>
      <c r="AI3" s="228"/>
      <c r="AJ3" s="228"/>
      <c r="AK3" s="228"/>
      <c r="AL3" s="228"/>
      <c r="AM3" s="228"/>
      <c r="AN3" s="228"/>
      <c r="AO3" s="140"/>
      <c r="AP3" s="140"/>
    </row>
    <row r="4" spans="1:42" s="48" customFormat="1" x14ac:dyDescent="0.2">
      <c r="A4" s="209"/>
      <c r="B4" s="8"/>
      <c r="C4" s="8"/>
      <c r="D4" s="8"/>
      <c r="E4" s="8"/>
      <c r="F4" s="8"/>
      <c r="G4" s="8"/>
      <c r="H4" s="8"/>
      <c r="I4" s="8"/>
      <c r="J4" s="37"/>
      <c r="K4" s="19">
        <v>0</v>
      </c>
      <c r="L4" s="198" t="s">
        <v>128</v>
      </c>
      <c r="M4" s="198" t="s">
        <v>128</v>
      </c>
      <c r="N4" s="197" t="s">
        <v>128</v>
      </c>
      <c r="O4" s="195">
        <v>1</v>
      </c>
      <c r="P4" s="45" t="s">
        <v>128</v>
      </c>
      <c r="Q4" s="45" t="s">
        <v>128</v>
      </c>
      <c r="R4" s="45" t="s">
        <v>128</v>
      </c>
      <c r="S4" s="45" t="s">
        <v>128</v>
      </c>
      <c r="T4" s="45" t="s">
        <v>128</v>
      </c>
      <c r="U4" s="45" t="s">
        <v>128</v>
      </c>
      <c r="V4" s="45" t="s">
        <v>128</v>
      </c>
      <c r="W4" s="45" t="s">
        <v>128</v>
      </c>
      <c r="X4" s="45" t="s">
        <v>128</v>
      </c>
      <c r="Y4" s="45" t="s">
        <v>128</v>
      </c>
      <c r="Z4" s="45" t="s">
        <v>128</v>
      </c>
      <c r="AA4" s="45" t="s">
        <v>128</v>
      </c>
      <c r="AB4" s="45" t="s">
        <v>128</v>
      </c>
      <c r="AC4" s="107" t="s">
        <v>128</v>
      </c>
      <c r="AD4" s="107" t="s">
        <v>128</v>
      </c>
      <c r="AE4" s="107" t="s">
        <v>128</v>
      </c>
      <c r="AF4" s="107" t="s">
        <v>128</v>
      </c>
      <c r="AG4" s="107" t="s">
        <v>128</v>
      </c>
      <c r="AH4" s="107" t="s">
        <v>128</v>
      </c>
      <c r="AI4" s="228"/>
      <c r="AJ4" s="228"/>
      <c r="AK4" s="228"/>
      <c r="AL4" s="228"/>
      <c r="AM4" s="228"/>
      <c r="AN4" s="228"/>
      <c r="AO4" s="140"/>
      <c r="AP4" s="140"/>
    </row>
    <row r="5" spans="1:42" s="48" customFormat="1" x14ac:dyDescent="0.2">
      <c r="A5" s="22"/>
      <c r="B5" s="22"/>
      <c r="C5" s="22"/>
      <c r="D5" s="22"/>
      <c r="E5" s="22"/>
      <c r="F5" s="22"/>
      <c r="G5" s="22"/>
      <c r="H5" s="22"/>
      <c r="I5" s="22"/>
      <c r="J5" s="36"/>
      <c r="K5" s="19">
        <v>0</v>
      </c>
      <c r="L5" s="198" t="s">
        <v>128</v>
      </c>
      <c r="M5" s="198" t="s">
        <v>128</v>
      </c>
      <c r="N5" s="197" t="s">
        <v>128</v>
      </c>
      <c r="O5" s="195">
        <v>1</v>
      </c>
      <c r="P5" s="45" t="s">
        <v>128</v>
      </c>
      <c r="Q5" s="45" t="s">
        <v>128</v>
      </c>
      <c r="R5" s="45" t="s">
        <v>128</v>
      </c>
      <c r="S5" s="45" t="s">
        <v>128</v>
      </c>
      <c r="T5" s="45" t="s">
        <v>128</v>
      </c>
      <c r="U5" s="45" t="s">
        <v>128</v>
      </c>
      <c r="V5" s="45" t="s">
        <v>128</v>
      </c>
      <c r="W5" s="45" t="s">
        <v>128</v>
      </c>
      <c r="X5" s="45" t="s">
        <v>128</v>
      </c>
      <c r="Y5" s="45" t="s">
        <v>128</v>
      </c>
      <c r="Z5" s="45" t="s">
        <v>128</v>
      </c>
      <c r="AA5" s="45" t="s">
        <v>128</v>
      </c>
      <c r="AB5" s="45" t="s">
        <v>128</v>
      </c>
      <c r="AC5" s="107" t="s">
        <v>128</v>
      </c>
      <c r="AD5" s="107" t="s">
        <v>128</v>
      </c>
      <c r="AE5" s="107" t="s">
        <v>128</v>
      </c>
      <c r="AF5" s="107" t="s">
        <v>128</v>
      </c>
      <c r="AG5" s="107" t="s">
        <v>128</v>
      </c>
      <c r="AH5" s="107" t="s">
        <v>128</v>
      </c>
      <c r="AI5" s="228"/>
      <c r="AJ5" s="228"/>
      <c r="AK5" s="228"/>
      <c r="AL5" s="228"/>
      <c r="AM5" s="228"/>
      <c r="AN5" s="228"/>
      <c r="AO5" s="140"/>
      <c r="AP5" s="140"/>
    </row>
    <row r="6" spans="1:42" s="48" customFormat="1" x14ac:dyDescent="0.2">
      <c r="A6" s="209"/>
      <c r="B6" s="8"/>
      <c r="C6" s="8"/>
      <c r="D6" s="8"/>
      <c r="E6" s="8"/>
      <c r="F6" s="8"/>
      <c r="G6" s="8"/>
      <c r="H6" s="8"/>
      <c r="I6" s="8"/>
      <c r="J6" s="37"/>
      <c r="K6" s="19">
        <v>0</v>
      </c>
      <c r="L6" s="198" t="s">
        <v>128</v>
      </c>
      <c r="M6" s="198" t="s">
        <v>128</v>
      </c>
      <c r="N6" s="197" t="s">
        <v>128</v>
      </c>
      <c r="O6" s="195">
        <v>1</v>
      </c>
      <c r="P6" s="45" t="s">
        <v>128</v>
      </c>
      <c r="Q6" s="45" t="s">
        <v>128</v>
      </c>
      <c r="R6" s="45" t="s">
        <v>128</v>
      </c>
      <c r="S6" s="45" t="s">
        <v>128</v>
      </c>
      <c r="T6" s="45" t="s">
        <v>128</v>
      </c>
      <c r="U6" s="45" t="s">
        <v>128</v>
      </c>
      <c r="V6" s="45" t="s">
        <v>128</v>
      </c>
      <c r="W6" s="45" t="s">
        <v>128</v>
      </c>
      <c r="X6" s="45" t="s">
        <v>128</v>
      </c>
      <c r="Y6" s="45" t="s">
        <v>128</v>
      </c>
      <c r="Z6" s="45" t="s">
        <v>128</v>
      </c>
      <c r="AA6" s="45" t="s">
        <v>128</v>
      </c>
      <c r="AB6" s="45" t="s">
        <v>128</v>
      </c>
      <c r="AC6" s="107" t="s">
        <v>128</v>
      </c>
      <c r="AD6" s="107" t="s">
        <v>128</v>
      </c>
      <c r="AE6" s="107" t="s">
        <v>128</v>
      </c>
      <c r="AF6" s="107" t="s">
        <v>128</v>
      </c>
      <c r="AG6" s="107" t="s">
        <v>128</v>
      </c>
      <c r="AH6" s="107" t="s">
        <v>128</v>
      </c>
      <c r="AI6" s="228"/>
      <c r="AJ6" s="228"/>
      <c r="AK6" s="228"/>
      <c r="AL6" s="228"/>
      <c r="AM6" s="228"/>
      <c r="AN6" s="228"/>
      <c r="AO6" s="140"/>
      <c r="AP6" s="140"/>
    </row>
    <row r="7" spans="1:42" s="48" customFormat="1" x14ac:dyDescent="0.2">
      <c r="A7" s="22"/>
      <c r="B7" s="22"/>
      <c r="C7" s="22"/>
      <c r="D7" s="22"/>
      <c r="E7" s="22"/>
      <c r="F7" s="22"/>
      <c r="G7" s="22"/>
      <c r="H7" s="22"/>
      <c r="I7" s="22"/>
      <c r="J7" s="36"/>
      <c r="K7" s="19">
        <v>0</v>
      </c>
      <c r="L7" s="198" t="s">
        <v>128</v>
      </c>
      <c r="M7" s="198" t="s">
        <v>128</v>
      </c>
      <c r="N7" s="197" t="s">
        <v>128</v>
      </c>
      <c r="O7" s="195">
        <v>1</v>
      </c>
      <c r="P7" s="45" t="s">
        <v>128</v>
      </c>
      <c r="Q7" s="45" t="s">
        <v>128</v>
      </c>
      <c r="R7" s="45" t="s">
        <v>128</v>
      </c>
      <c r="S7" s="45" t="s">
        <v>128</v>
      </c>
      <c r="T7" s="45" t="s">
        <v>128</v>
      </c>
      <c r="U7" s="45" t="s">
        <v>128</v>
      </c>
      <c r="V7" s="45" t="s">
        <v>128</v>
      </c>
      <c r="W7" s="45" t="s">
        <v>128</v>
      </c>
      <c r="X7" s="45" t="s">
        <v>128</v>
      </c>
      <c r="Y7" s="45" t="s">
        <v>128</v>
      </c>
      <c r="Z7" s="45" t="s">
        <v>128</v>
      </c>
      <c r="AA7" s="45" t="s">
        <v>128</v>
      </c>
      <c r="AB7" s="45" t="s">
        <v>128</v>
      </c>
      <c r="AC7" s="107" t="s">
        <v>128</v>
      </c>
      <c r="AD7" s="107" t="s">
        <v>128</v>
      </c>
      <c r="AE7" s="107" t="s">
        <v>128</v>
      </c>
      <c r="AF7" s="107" t="s">
        <v>128</v>
      </c>
      <c r="AG7" s="107" t="s">
        <v>128</v>
      </c>
      <c r="AH7" s="107" t="s">
        <v>128</v>
      </c>
      <c r="AI7" s="228"/>
      <c r="AJ7" s="228"/>
      <c r="AK7" s="228"/>
      <c r="AL7" s="228"/>
      <c r="AM7" s="228"/>
      <c r="AN7" s="228"/>
      <c r="AO7" s="140"/>
      <c r="AP7" s="140"/>
    </row>
    <row r="8" spans="1:42" s="48" customFormat="1" x14ac:dyDescent="0.2">
      <c r="A8" s="209"/>
      <c r="B8" s="8"/>
      <c r="C8" s="8"/>
      <c r="D8" s="8"/>
      <c r="E8" s="8"/>
      <c r="F8" s="8"/>
      <c r="G8" s="8"/>
      <c r="H8" s="8"/>
      <c r="I8" s="8"/>
      <c r="J8" s="37"/>
      <c r="K8" s="19">
        <v>0</v>
      </c>
      <c r="L8" s="198" t="s">
        <v>128</v>
      </c>
      <c r="M8" s="198" t="s">
        <v>128</v>
      </c>
      <c r="N8" s="197" t="s">
        <v>128</v>
      </c>
      <c r="O8" s="195">
        <v>1</v>
      </c>
      <c r="P8" s="45" t="s">
        <v>128</v>
      </c>
      <c r="Q8" s="45" t="s">
        <v>128</v>
      </c>
      <c r="R8" s="45" t="s">
        <v>128</v>
      </c>
      <c r="S8" s="45" t="s">
        <v>128</v>
      </c>
      <c r="T8" s="45" t="s">
        <v>128</v>
      </c>
      <c r="U8" s="45" t="s">
        <v>128</v>
      </c>
      <c r="V8" s="45" t="s">
        <v>128</v>
      </c>
      <c r="W8" s="45" t="s">
        <v>128</v>
      </c>
      <c r="X8" s="45" t="s">
        <v>128</v>
      </c>
      <c r="Y8" s="45" t="s">
        <v>128</v>
      </c>
      <c r="Z8" s="45" t="s">
        <v>128</v>
      </c>
      <c r="AA8" s="45" t="s">
        <v>128</v>
      </c>
      <c r="AB8" s="45" t="s">
        <v>128</v>
      </c>
      <c r="AC8" s="107" t="s">
        <v>128</v>
      </c>
      <c r="AD8" s="107" t="s">
        <v>128</v>
      </c>
      <c r="AE8" s="107" t="s">
        <v>128</v>
      </c>
      <c r="AF8" s="107" t="s">
        <v>128</v>
      </c>
      <c r="AG8" s="107" t="s">
        <v>128</v>
      </c>
      <c r="AH8" s="107" t="s">
        <v>128</v>
      </c>
      <c r="AI8" s="228"/>
      <c r="AJ8" s="228"/>
      <c r="AK8" s="228"/>
      <c r="AL8" s="228"/>
      <c r="AM8" s="228"/>
      <c r="AN8" s="228"/>
      <c r="AO8" s="140"/>
      <c r="AP8" s="140"/>
    </row>
    <row r="9" spans="1:42" s="48" customFormat="1" x14ac:dyDescent="0.2">
      <c r="A9" s="22"/>
      <c r="B9" s="22"/>
      <c r="C9" s="22"/>
      <c r="D9" s="22"/>
      <c r="E9" s="22"/>
      <c r="F9" s="22"/>
      <c r="G9" s="22"/>
      <c r="H9" s="22"/>
      <c r="I9" s="22"/>
      <c r="J9" s="36"/>
      <c r="K9" s="19">
        <v>0</v>
      </c>
      <c r="L9" s="198" t="s">
        <v>128</v>
      </c>
      <c r="M9" s="198" t="s">
        <v>128</v>
      </c>
      <c r="N9" s="197" t="s">
        <v>128</v>
      </c>
      <c r="O9" s="195">
        <v>1</v>
      </c>
      <c r="P9" s="45" t="s">
        <v>128</v>
      </c>
      <c r="Q9" s="45" t="s">
        <v>128</v>
      </c>
      <c r="R9" s="45" t="s">
        <v>128</v>
      </c>
      <c r="S9" s="45" t="s">
        <v>128</v>
      </c>
      <c r="T9" s="45" t="s">
        <v>128</v>
      </c>
      <c r="U9" s="45" t="s">
        <v>128</v>
      </c>
      <c r="V9" s="45" t="s">
        <v>128</v>
      </c>
      <c r="W9" s="45" t="s">
        <v>128</v>
      </c>
      <c r="X9" s="45" t="s">
        <v>128</v>
      </c>
      <c r="Y9" s="45" t="s">
        <v>128</v>
      </c>
      <c r="Z9" s="45" t="s">
        <v>128</v>
      </c>
      <c r="AA9" s="45" t="s">
        <v>128</v>
      </c>
      <c r="AB9" s="45" t="s">
        <v>128</v>
      </c>
      <c r="AC9" s="107" t="s">
        <v>128</v>
      </c>
      <c r="AD9" s="107" t="s">
        <v>128</v>
      </c>
      <c r="AE9" s="107" t="s">
        <v>128</v>
      </c>
      <c r="AF9" s="107" t="s">
        <v>128</v>
      </c>
      <c r="AG9" s="107" t="s">
        <v>128</v>
      </c>
      <c r="AH9" s="107" t="s">
        <v>128</v>
      </c>
      <c r="AI9" s="228"/>
      <c r="AJ9" s="228"/>
      <c r="AK9" s="228"/>
      <c r="AL9" s="228"/>
      <c r="AM9" s="228"/>
      <c r="AN9" s="228"/>
      <c r="AO9" s="140"/>
      <c r="AP9" s="140"/>
    </row>
    <row r="10" spans="1:42" s="48" customFormat="1" x14ac:dyDescent="0.2">
      <c r="A10" s="209"/>
      <c r="B10" s="8"/>
      <c r="C10" s="8"/>
      <c r="D10" s="8"/>
      <c r="E10" s="8"/>
      <c r="F10" s="8"/>
      <c r="G10" s="8"/>
      <c r="H10" s="8"/>
      <c r="I10" s="8"/>
      <c r="J10" s="37"/>
      <c r="K10" s="19">
        <v>0</v>
      </c>
      <c r="L10" s="198" t="s">
        <v>128</v>
      </c>
      <c r="M10" s="198" t="s">
        <v>128</v>
      </c>
      <c r="N10" s="197" t="s">
        <v>128</v>
      </c>
      <c r="O10" s="195">
        <v>1</v>
      </c>
      <c r="P10" s="45" t="s">
        <v>128</v>
      </c>
      <c r="Q10" s="45" t="s">
        <v>128</v>
      </c>
      <c r="R10" s="45" t="s">
        <v>128</v>
      </c>
      <c r="S10" s="45" t="s">
        <v>128</v>
      </c>
      <c r="T10" s="45" t="s">
        <v>128</v>
      </c>
      <c r="U10" s="45" t="s">
        <v>128</v>
      </c>
      <c r="V10" s="45" t="s">
        <v>128</v>
      </c>
      <c r="W10" s="45" t="s">
        <v>128</v>
      </c>
      <c r="X10" s="45" t="s">
        <v>128</v>
      </c>
      <c r="Y10" s="45" t="s">
        <v>128</v>
      </c>
      <c r="Z10" s="45" t="s">
        <v>128</v>
      </c>
      <c r="AA10" s="45" t="s">
        <v>128</v>
      </c>
      <c r="AB10" s="45" t="s">
        <v>128</v>
      </c>
      <c r="AC10" s="107" t="s">
        <v>128</v>
      </c>
      <c r="AD10" s="107" t="s">
        <v>128</v>
      </c>
      <c r="AE10" s="107" t="s">
        <v>128</v>
      </c>
      <c r="AF10" s="107" t="s">
        <v>128</v>
      </c>
      <c r="AG10" s="107" t="s">
        <v>128</v>
      </c>
      <c r="AH10" s="107" t="s">
        <v>128</v>
      </c>
      <c r="AI10" s="228"/>
      <c r="AJ10" s="228"/>
      <c r="AK10" s="228"/>
      <c r="AL10" s="228"/>
      <c r="AM10" s="228"/>
      <c r="AN10" s="228"/>
      <c r="AO10" s="140"/>
      <c r="AP10" s="140"/>
    </row>
    <row r="11" spans="1:42" s="48" customFormat="1" x14ac:dyDescent="0.2">
      <c r="A11" s="22"/>
      <c r="B11" s="22"/>
      <c r="C11" s="22"/>
      <c r="D11" s="22"/>
      <c r="E11" s="22"/>
      <c r="F11" s="22"/>
      <c r="G11" s="22"/>
      <c r="H11" s="22"/>
      <c r="I11" s="22"/>
      <c r="J11" s="36"/>
      <c r="K11" s="19">
        <v>0</v>
      </c>
      <c r="L11" s="198" t="s">
        <v>128</v>
      </c>
      <c r="M11" s="198" t="s">
        <v>128</v>
      </c>
      <c r="N11" s="197" t="s">
        <v>128</v>
      </c>
      <c r="O11" s="195">
        <v>1</v>
      </c>
      <c r="P11" s="45" t="s">
        <v>128</v>
      </c>
      <c r="Q11" s="45" t="s">
        <v>128</v>
      </c>
      <c r="R11" s="45" t="s">
        <v>128</v>
      </c>
      <c r="S11" s="45" t="s">
        <v>128</v>
      </c>
      <c r="T11" s="45" t="s">
        <v>128</v>
      </c>
      <c r="U11" s="45" t="s">
        <v>128</v>
      </c>
      <c r="V11" s="45" t="s">
        <v>128</v>
      </c>
      <c r="W11" s="45" t="s">
        <v>128</v>
      </c>
      <c r="X11" s="45" t="s">
        <v>128</v>
      </c>
      <c r="Y11" s="45" t="s">
        <v>128</v>
      </c>
      <c r="Z11" s="45" t="s">
        <v>128</v>
      </c>
      <c r="AA11" s="45" t="s">
        <v>128</v>
      </c>
      <c r="AB11" s="45" t="s">
        <v>128</v>
      </c>
      <c r="AC11" s="107" t="s">
        <v>128</v>
      </c>
      <c r="AD11" s="107" t="s">
        <v>128</v>
      </c>
      <c r="AE11" s="107" t="s">
        <v>128</v>
      </c>
      <c r="AF11" s="107" t="s">
        <v>128</v>
      </c>
      <c r="AG11" s="107" t="s">
        <v>128</v>
      </c>
      <c r="AH11" s="107" t="s">
        <v>128</v>
      </c>
      <c r="AI11" s="228"/>
      <c r="AJ11" s="228"/>
      <c r="AK11" s="228"/>
      <c r="AL11" s="228"/>
      <c r="AM11" s="228"/>
      <c r="AN11" s="228"/>
      <c r="AO11" s="140"/>
      <c r="AP11" s="140"/>
    </row>
    <row r="12" spans="1:42" s="48" customFormat="1" x14ac:dyDescent="0.2">
      <c r="A12" s="209"/>
      <c r="B12" s="8"/>
      <c r="C12" s="8"/>
      <c r="D12" s="8"/>
      <c r="E12" s="8"/>
      <c r="F12" s="8"/>
      <c r="G12" s="8"/>
      <c r="H12" s="8"/>
      <c r="I12" s="8"/>
      <c r="J12" s="37"/>
      <c r="K12" s="19">
        <v>0</v>
      </c>
      <c r="L12" s="198" t="s">
        <v>128</v>
      </c>
      <c r="M12" s="198" t="s">
        <v>128</v>
      </c>
      <c r="N12" s="197" t="s">
        <v>128</v>
      </c>
      <c r="O12" s="195">
        <v>1</v>
      </c>
      <c r="P12" s="45" t="s">
        <v>128</v>
      </c>
      <c r="Q12" s="45" t="s">
        <v>128</v>
      </c>
      <c r="R12" s="45" t="s">
        <v>128</v>
      </c>
      <c r="S12" s="45" t="s">
        <v>128</v>
      </c>
      <c r="T12" s="45" t="s">
        <v>128</v>
      </c>
      <c r="U12" s="45" t="s">
        <v>128</v>
      </c>
      <c r="V12" s="45" t="s">
        <v>128</v>
      </c>
      <c r="W12" s="45" t="s">
        <v>128</v>
      </c>
      <c r="X12" s="45" t="s">
        <v>128</v>
      </c>
      <c r="Y12" s="45" t="s">
        <v>128</v>
      </c>
      <c r="Z12" s="45" t="s">
        <v>128</v>
      </c>
      <c r="AA12" s="45" t="s">
        <v>128</v>
      </c>
      <c r="AB12" s="45" t="s">
        <v>128</v>
      </c>
      <c r="AC12" s="107" t="s">
        <v>128</v>
      </c>
      <c r="AD12" s="107" t="s">
        <v>128</v>
      </c>
      <c r="AE12" s="107" t="s">
        <v>128</v>
      </c>
      <c r="AF12" s="107" t="s">
        <v>128</v>
      </c>
      <c r="AG12" s="107" t="s">
        <v>128</v>
      </c>
      <c r="AH12" s="107" t="s">
        <v>128</v>
      </c>
      <c r="AI12" s="228"/>
      <c r="AJ12" s="228"/>
      <c r="AK12" s="228"/>
      <c r="AL12" s="228"/>
      <c r="AM12" s="228"/>
      <c r="AN12" s="228"/>
      <c r="AO12" s="140"/>
      <c r="AP12" s="140"/>
    </row>
    <row r="13" spans="1:42" s="48" customFormat="1" x14ac:dyDescent="0.2">
      <c r="A13" s="22"/>
      <c r="B13" s="22"/>
      <c r="C13" s="22"/>
      <c r="D13" s="22"/>
      <c r="E13" s="22"/>
      <c r="F13" s="22"/>
      <c r="G13" s="22"/>
      <c r="H13" s="22"/>
      <c r="I13" s="22"/>
      <c r="J13" s="36"/>
      <c r="K13" s="19">
        <v>0</v>
      </c>
      <c r="L13" s="198" t="s">
        <v>128</v>
      </c>
      <c r="M13" s="198" t="s">
        <v>128</v>
      </c>
      <c r="N13" s="197" t="s">
        <v>128</v>
      </c>
      <c r="O13" s="195">
        <v>1</v>
      </c>
      <c r="P13" s="45" t="s">
        <v>128</v>
      </c>
      <c r="Q13" s="45" t="s">
        <v>128</v>
      </c>
      <c r="R13" s="45" t="s">
        <v>128</v>
      </c>
      <c r="S13" s="45" t="s">
        <v>128</v>
      </c>
      <c r="T13" s="45" t="s">
        <v>128</v>
      </c>
      <c r="U13" s="45" t="s">
        <v>128</v>
      </c>
      <c r="V13" s="45" t="s">
        <v>128</v>
      </c>
      <c r="W13" s="45" t="s">
        <v>128</v>
      </c>
      <c r="X13" s="45" t="s">
        <v>128</v>
      </c>
      <c r="Y13" s="45" t="s">
        <v>128</v>
      </c>
      <c r="Z13" s="45" t="s">
        <v>128</v>
      </c>
      <c r="AA13" s="45" t="s">
        <v>128</v>
      </c>
      <c r="AB13" s="45" t="s">
        <v>128</v>
      </c>
      <c r="AC13" s="107" t="s">
        <v>128</v>
      </c>
      <c r="AD13" s="107" t="s">
        <v>128</v>
      </c>
      <c r="AE13" s="107" t="s">
        <v>128</v>
      </c>
      <c r="AF13" s="107" t="s">
        <v>128</v>
      </c>
      <c r="AG13" s="107" t="s">
        <v>128</v>
      </c>
      <c r="AH13" s="107" t="s">
        <v>128</v>
      </c>
      <c r="AI13" s="228"/>
      <c r="AJ13" s="228"/>
      <c r="AK13" s="228"/>
      <c r="AL13" s="228"/>
      <c r="AM13" s="228"/>
      <c r="AN13" s="228"/>
      <c r="AO13" s="140"/>
      <c r="AP13" s="140"/>
    </row>
    <row r="14" spans="1:42" s="48" customFormat="1" x14ac:dyDescent="0.2">
      <c r="A14" s="209"/>
      <c r="B14" s="8"/>
      <c r="C14" s="8"/>
      <c r="D14" s="8"/>
      <c r="E14" s="8"/>
      <c r="F14" s="8"/>
      <c r="G14" s="8"/>
      <c r="H14" s="8"/>
      <c r="I14" s="8"/>
      <c r="J14" s="37"/>
      <c r="K14" s="19">
        <v>0</v>
      </c>
      <c r="L14" s="198" t="s">
        <v>128</v>
      </c>
      <c r="M14" s="198" t="s">
        <v>128</v>
      </c>
      <c r="N14" s="197" t="s">
        <v>128</v>
      </c>
      <c r="O14" s="195">
        <v>1</v>
      </c>
      <c r="P14" s="45" t="s">
        <v>128</v>
      </c>
      <c r="Q14" s="45" t="s">
        <v>128</v>
      </c>
      <c r="R14" s="45" t="s">
        <v>128</v>
      </c>
      <c r="S14" s="45" t="s">
        <v>128</v>
      </c>
      <c r="T14" s="45" t="s">
        <v>128</v>
      </c>
      <c r="U14" s="45" t="s">
        <v>128</v>
      </c>
      <c r="V14" s="45" t="s">
        <v>128</v>
      </c>
      <c r="W14" s="45" t="s">
        <v>128</v>
      </c>
      <c r="X14" s="45" t="s">
        <v>128</v>
      </c>
      <c r="Y14" s="45" t="s">
        <v>128</v>
      </c>
      <c r="Z14" s="45" t="s">
        <v>128</v>
      </c>
      <c r="AA14" s="45" t="s">
        <v>128</v>
      </c>
      <c r="AB14" s="45" t="s">
        <v>128</v>
      </c>
      <c r="AC14" s="107" t="s">
        <v>128</v>
      </c>
      <c r="AD14" s="107" t="s">
        <v>128</v>
      </c>
      <c r="AE14" s="107" t="s">
        <v>128</v>
      </c>
      <c r="AF14" s="107" t="s">
        <v>128</v>
      </c>
      <c r="AG14" s="107" t="s">
        <v>128</v>
      </c>
      <c r="AH14" s="107" t="s">
        <v>128</v>
      </c>
      <c r="AI14" s="228"/>
      <c r="AJ14" s="228"/>
      <c r="AK14" s="228"/>
      <c r="AL14" s="228"/>
      <c r="AM14" s="228"/>
      <c r="AN14" s="228"/>
      <c r="AO14" s="140"/>
      <c r="AP14" s="140"/>
    </row>
    <row r="15" spans="1:42" s="48" customFormat="1" x14ac:dyDescent="0.2">
      <c r="A15" s="22"/>
      <c r="B15" s="22"/>
      <c r="C15" s="22"/>
      <c r="D15" s="22"/>
      <c r="E15" s="22"/>
      <c r="F15" s="22"/>
      <c r="G15" s="22"/>
      <c r="H15" s="22"/>
      <c r="I15" s="22"/>
      <c r="J15" s="36"/>
      <c r="K15" s="19">
        <v>0</v>
      </c>
      <c r="L15" s="198" t="s">
        <v>128</v>
      </c>
      <c r="M15" s="198" t="s">
        <v>128</v>
      </c>
      <c r="N15" s="197" t="s">
        <v>128</v>
      </c>
      <c r="O15" s="195">
        <v>1</v>
      </c>
      <c r="P15" s="45" t="s">
        <v>128</v>
      </c>
      <c r="Q15" s="45" t="s">
        <v>128</v>
      </c>
      <c r="R15" s="45" t="s">
        <v>128</v>
      </c>
      <c r="S15" s="45" t="s">
        <v>128</v>
      </c>
      <c r="T15" s="45" t="s">
        <v>128</v>
      </c>
      <c r="U15" s="45" t="s">
        <v>128</v>
      </c>
      <c r="V15" s="45" t="s">
        <v>128</v>
      </c>
      <c r="W15" s="45" t="s">
        <v>128</v>
      </c>
      <c r="X15" s="45" t="s">
        <v>128</v>
      </c>
      <c r="Y15" s="45" t="s">
        <v>128</v>
      </c>
      <c r="Z15" s="45" t="s">
        <v>128</v>
      </c>
      <c r="AA15" s="45" t="s">
        <v>128</v>
      </c>
      <c r="AB15" s="45" t="s">
        <v>128</v>
      </c>
      <c r="AC15" s="107" t="s">
        <v>128</v>
      </c>
      <c r="AD15" s="107" t="s">
        <v>128</v>
      </c>
      <c r="AE15" s="107" t="s">
        <v>128</v>
      </c>
      <c r="AF15" s="107" t="s">
        <v>128</v>
      </c>
      <c r="AG15" s="107" t="s">
        <v>128</v>
      </c>
      <c r="AH15" s="107" t="s">
        <v>128</v>
      </c>
      <c r="AI15" s="228"/>
      <c r="AJ15" s="228"/>
      <c r="AK15" s="228"/>
      <c r="AL15" s="228"/>
      <c r="AM15" s="228"/>
      <c r="AN15" s="228"/>
      <c r="AO15" s="140"/>
      <c r="AP15" s="140"/>
    </row>
    <row r="16" spans="1:42" s="48" customFormat="1" x14ac:dyDescent="0.2">
      <c r="A16" s="209"/>
      <c r="B16" s="8"/>
      <c r="C16" s="8"/>
      <c r="D16" s="8"/>
      <c r="E16" s="8"/>
      <c r="F16" s="8"/>
      <c r="G16" s="8"/>
      <c r="H16" s="8"/>
      <c r="I16" s="8"/>
      <c r="J16" s="37"/>
      <c r="K16" s="19">
        <v>0</v>
      </c>
      <c r="L16" s="198" t="s">
        <v>128</v>
      </c>
      <c r="M16" s="198" t="s">
        <v>128</v>
      </c>
      <c r="N16" s="197" t="s">
        <v>128</v>
      </c>
      <c r="O16" s="195">
        <v>1</v>
      </c>
      <c r="P16" s="45" t="s">
        <v>128</v>
      </c>
      <c r="Q16" s="45" t="s">
        <v>128</v>
      </c>
      <c r="R16" s="45" t="s">
        <v>128</v>
      </c>
      <c r="S16" s="45" t="s">
        <v>128</v>
      </c>
      <c r="T16" s="45" t="s">
        <v>128</v>
      </c>
      <c r="U16" s="45" t="s">
        <v>128</v>
      </c>
      <c r="V16" s="45" t="s">
        <v>128</v>
      </c>
      <c r="W16" s="45" t="s">
        <v>128</v>
      </c>
      <c r="X16" s="45" t="s">
        <v>128</v>
      </c>
      <c r="Y16" s="45" t="s">
        <v>128</v>
      </c>
      <c r="Z16" s="45" t="s">
        <v>128</v>
      </c>
      <c r="AA16" s="45" t="s">
        <v>128</v>
      </c>
      <c r="AB16" s="45" t="s">
        <v>128</v>
      </c>
      <c r="AC16" s="107" t="s">
        <v>128</v>
      </c>
      <c r="AD16" s="107" t="s">
        <v>128</v>
      </c>
      <c r="AE16" s="107" t="s">
        <v>128</v>
      </c>
      <c r="AF16" s="107" t="s">
        <v>128</v>
      </c>
      <c r="AG16" s="107" t="s">
        <v>128</v>
      </c>
      <c r="AH16" s="107" t="s">
        <v>128</v>
      </c>
      <c r="AI16" s="228"/>
      <c r="AJ16" s="228"/>
      <c r="AK16" s="228"/>
      <c r="AL16" s="228"/>
      <c r="AM16" s="228"/>
      <c r="AN16" s="228"/>
      <c r="AO16" s="140"/>
      <c r="AP16" s="140"/>
    </row>
    <row r="17" spans="1:42" s="48" customFormat="1" x14ac:dyDescent="0.2">
      <c r="A17" s="22"/>
      <c r="B17" s="22"/>
      <c r="C17" s="22"/>
      <c r="D17" s="22"/>
      <c r="E17" s="22"/>
      <c r="F17" s="22"/>
      <c r="G17" s="22"/>
      <c r="H17" s="22"/>
      <c r="I17" s="22"/>
      <c r="J17" s="36"/>
      <c r="K17" s="19">
        <v>0</v>
      </c>
      <c r="L17" s="198" t="s">
        <v>128</v>
      </c>
      <c r="M17" s="198" t="s">
        <v>128</v>
      </c>
      <c r="N17" s="197" t="s">
        <v>128</v>
      </c>
      <c r="O17" s="195">
        <v>1</v>
      </c>
      <c r="P17" s="45" t="s">
        <v>128</v>
      </c>
      <c r="Q17" s="45" t="s">
        <v>128</v>
      </c>
      <c r="R17" s="45" t="s">
        <v>128</v>
      </c>
      <c r="S17" s="45" t="s">
        <v>128</v>
      </c>
      <c r="T17" s="45" t="s">
        <v>128</v>
      </c>
      <c r="U17" s="45" t="s">
        <v>128</v>
      </c>
      <c r="V17" s="45" t="s">
        <v>128</v>
      </c>
      <c r="W17" s="45" t="s">
        <v>128</v>
      </c>
      <c r="X17" s="45" t="s">
        <v>128</v>
      </c>
      <c r="Y17" s="45" t="s">
        <v>128</v>
      </c>
      <c r="Z17" s="45" t="s">
        <v>128</v>
      </c>
      <c r="AA17" s="45" t="s">
        <v>128</v>
      </c>
      <c r="AB17" s="45" t="s">
        <v>128</v>
      </c>
      <c r="AC17" s="107" t="s">
        <v>128</v>
      </c>
      <c r="AD17" s="107" t="s">
        <v>128</v>
      </c>
      <c r="AE17" s="107" t="s">
        <v>128</v>
      </c>
      <c r="AF17" s="107" t="s">
        <v>128</v>
      </c>
      <c r="AG17" s="107" t="s">
        <v>128</v>
      </c>
      <c r="AH17" s="107" t="s">
        <v>128</v>
      </c>
      <c r="AI17" s="228"/>
      <c r="AJ17" s="228"/>
      <c r="AK17" s="228"/>
      <c r="AL17" s="228"/>
      <c r="AM17" s="228"/>
      <c r="AN17" s="228"/>
      <c r="AO17" s="140"/>
      <c r="AP17" s="140"/>
    </row>
    <row r="18" spans="1:42" s="48" customFormat="1" x14ac:dyDescent="0.2">
      <c r="A18" s="209"/>
      <c r="B18" s="8"/>
      <c r="C18" s="8"/>
      <c r="D18" s="8"/>
      <c r="E18" s="8"/>
      <c r="F18" s="8"/>
      <c r="G18" s="8"/>
      <c r="H18" s="8"/>
      <c r="I18" s="8"/>
      <c r="J18" s="37"/>
      <c r="K18" s="19">
        <v>0</v>
      </c>
      <c r="L18" s="198" t="s">
        <v>128</v>
      </c>
      <c r="M18" s="198" t="s">
        <v>128</v>
      </c>
      <c r="N18" s="197" t="s">
        <v>128</v>
      </c>
      <c r="O18" s="195">
        <v>1</v>
      </c>
      <c r="P18" s="45" t="s">
        <v>128</v>
      </c>
      <c r="Q18" s="45" t="s">
        <v>128</v>
      </c>
      <c r="R18" s="45" t="s">
        <v>128</v>
      </c>
      <c r="S18" s="45" t="s">
        <v>128</v>
      </c>
      <c r="T18" s="45" t="s">
        <v>128</v>
      </c>
      <c r="U18" s="45" t="s">
        <v>128</v>
      </c>
      <c r="V18" s="45" t="s">
        <v>128</v>
      </c>
      <c r="W18" s="45" t="s">
        <v>128</v>
      </c>
      <c r="X18" s="45" t="s">
        <v>128</v>
      </c>
      <c r="Y18" s="45" t="s">
        <v>128</v>
      </c>
      <c r="Z18" s="45" t="s">
        <v>128</v>
      </c>
      <c r="AA18" s="45" t="s">
        <v>128</v>
      </c>
      <c r="AB18" s="45" t="s">
        <v>128</v>
      </c>
      <c r="AC18" s="107" t="s">
        <v>128</v>
      </c>
      <c r="AD18" s="107" t="s">
        <v>128</v>
      </c>
      <c r="AE18" s="107" t="s">
        <v>128</v>
      </c>
      <c r="AF18" s="107" t="s">
        <v>128</v>
      </c>
      <c r="AG18" s="107" t="s">
        <v>128</v>
      </c>
      <c r="AH18" s="107" t="s">
        <v>128</v>
      </c>
      <c r="AI18" s="228"/>
      <c r="AJ18" s="228"/>
      <c r="AK18" s="228"/>
      <c r="AL18" s="228"/>
      <c r="AM18" s="228"/>
      <c r="AN18" s="228"/>
      <c r="AO18" s="279"/>
      <c r="AP18" s="140"/>
    </row>
    <row r="19" spans="1:42" s="48" customFormat="1" x14ac:dyDescent="0.2">
      <c r="A19" s="22"/>
      <c r="B19" s="22"/>
      <c r="C19" s="22"/>
      <c r="D19" s="22"/>
      <c r="E19" s="22"/>
      <c r="F19" s="22"/>
      <c r="G19" s="22"/>
      <c r="H19" s="22"/>
      <c r="I19" s="22"/>
      <c r="J19" s="36"/>
      <c r="K19" s="19">
        <v>0</v>
      </c>
      <c r="L19" s="198" t="s">
        <v>128</v>
      </c>
      <c r="M19" s="198" t="s">
        <v>128</v>
      </c>
      <c r="N19" s="197" t="s">
        <v>128</v>
      </c>
      <c r="O19" s="195">
        <v>1</v>
      </c>
      <c r="P19" s="45" t="s">
        <v>128</v>
      </c>
      <c r="Q19" s="45" t="s">
        <v>128</v>
      </c>
      <c r="R19" s="45" t="s">
        <v>128</v>
      </c>
      <c r="S19" s="45" t="s">
        <v>128</v>
      </c>
      <c r="T19" s="45" t="s">
        <v>128</v>
      </c>
      <c r="U19" s="45" t="s">
        <v>128</v>
      </c>
      <c r="V19" s="45" t="s">
        <v>128</v>
      </c>
      <c r="W19" s="45" t="s">
        <v>128</v>
      </c>
      <c r="X19" s="45" t="s">
        <v>128</v>
      </c>
      <c r="Y19" s="45" t="s">
        <v>128</v>
      </c>
      <c r="Z19" s="45" t="s">
        <v>128</v>
      </c>
      <c r="AA19" s="45" t="s">
        <v>128</v>
      </c>
      <c r="AB19" s="45" t="s">
        <v>128</v>
      </c>
      <c r="AC19" s="107" t="s">
        <v>128</v>
      </c>
      <c r="AD19" s="107" t="s">
        <v>128</v>
      </c>
      <c r="AE19" s="107" t="s">
        <v>128</v>
      </c>
      <c r="AF19" s="107" t="s">
        <v>128</v>
      </c>
      <c r="AG19" s="107" t="s">
        <v>128</v>
      </c>
      <c r="AH19" s="107" t="s">
        <v>128</v>
      </c>
      <c r="AI19" s="228"/>
      <c r="AJ19" s="228"/>
      <c r="AK19" s="228"/>
      <c r="AL19" s="228"/>
      <c r="AM19" s="228"/>
      <c r="AN19" s="228"/>
      <c r="AO19" s="279"/>
      <c r="AP19" s="140"/>
    </row>
    <row r="20" spans="1:42" s="48" customFormat="1" x14ac:dyDescent="0.2">
      <c r="A20" s="209"/>
      <c r="B20" s="8"/>
      <c r="C20" s="8"/>
      <c r="D20" s="8"/>
      <c r="E20" s="8"/>
      <c r="F20" s="8"/>
      <c r="G20" s="8"/>
      <c r="H20" s="8"/>
      <c r="I20" s="8"/>
      <c r="J20" s="37"/>
      <c r="K20" s="19">
        <v>0</v>
      </c>
      <c r="L20" s="198" t="s">
        <v>128</v>
      </c>
      <c r="M20" s="198" t="s">
        <v>128</v>
      </c>
      <c r="N20" s="197" t="s">
        <v>128</v>
      </c>
      <c r="O20" s="195">
        <v>1</v>
      </c>
      <c r="P20" s="45" t="s">
        <v>128</v>
      </c>
      <c r="Q20" s="45" t="s">
        <v>128</v>
      </c>
      <c r="R20" s="45" t="s">
        <v>128</v>
      </c>
      <c r="S20" s="45" t="s">
        <v>128</v>
      </c>
      <c r="T20" s="45" t="s">
        <v>128</v>
      </c>
      <c r="U20" s="45" t="s">
        <v>128</v>
      </c>
      <c r="V20" s="45" t="s">
        <v>128</v>
      </c>
      <c r="W20" s="45" t="s">
        <v>128</v>
      </c>
      <c r="X20" s="45" t="s">
        <v>128</v>
      </c>
      <c r="Y20" s="45" t="s">
        <v>128</v>
      </c>
      <c r="Z20" s="45" t="s">
        <v>128</v>
      </c>
      <c r="AA20" s="45" t="s">
        <v>128</v>
      </c>
      <c r="AB20" s="45" t="s">
        <v>128</v>
      </c>
      <c r="AC20" s="107" t="s">
        <v>128</v>
      </c>
      <c r="AD20" s="107" t="s">
        <v>128</v>
      </c>
      <c r="AE20" s="107" t="s">
        <v>128</v>
      </c>
      <c r="AF20" s="107" t="s">
        <v>128</v>
      </c>
      <c r="AG20" s="107" t="s">
        <v>128</v>
      </c>
      <c r="AH20" s="107" t="s">
        <v>128</v>
      </c>
      <c r="AI20" s="228"/>
      <c r="AJ20" s="228"/>
      <c r="AK20" s="228"/>
      <c r="AL20" s="228"/>
      <c r="AM20" s="228"/>
      <c r="AN20" s="228"/>
      <c r="AO20" s="279"/>
      <c r="AP20" s="140"/>
    </row>
    <row r="21" spans="1:42" s="48" customFormat="1" x14ac:dyDescent="0.2">
      <c r="A21" s="22"/>
      <c r="B21" s="22"/>
      <c r="C21" s="22"/>
      <c r="D21" s="22"/>
      <c r="E21" s="22"/>
      <c r="F21" s="22"/>
      <c r="G21" s="22"/>
      <c r="H21" s="22"/>
      <c r="I21" s="22"/>
      <c r="J21" s="36"/>
      <c r="K21" s="19">
        <v>0</v>
      </c>
      <c r="L21" s="198" t="s">
        <v>128</v>
      </c>
      <c r="M21" s="198" t="s">
        <v>128</v>
      </c>
      <c r="N21" s="197" t="s">
        <v>128</v>
      </c>
      <c r="O21" s="195">
        <v>1</v>
      </c>
      <c r="P21" s="45" t="s">
        <v>128</v>
      </c>
      <c r="Q21" s="45" t="s">
        <v>128</v>
      </c>
      <c r="R21" s="45" t="s">
        <v>128</v>
      </c>
      <c r="S21" s="45" t="s">
        <v>128</v>
      </c>
      <c r="T21" s="45" t="s">
        <v>128</v>
      </c>
      <c r="U21" s="45" t="s">
        <v>128</v>
      </c>
      <c r="V21" s="45" t="s">
        <v>128</v>
      </c>
      <c r="W21" s="45" t="s">
        <v>128</v>
      </c>
      <c r="X21" s="45" t="s">
        <v>128</v>
      </c>
      <c r="Y21" s="45" t="s">
        <v>128</v>
      </c>
      <c r="Z21" s="45" t="s">
        <v>128</v>
      </c>
      <c r="AA21" s="45" t="s">
        <v>128</v>
      </c>
      <c r="AB21" s="45" t="s">
        <v>128</v>
      </c>
      <c r="AC21" s="107" t="s">
        <v>128</v>
      </c>
      <c r="AD21" s="107" t="s">
        <v>128</v>
      </c>
      <c r="AE21" s="107" t="s">
        <v>128</v>
      </c>
      <c r="AF21" s="107" t="s">
        <v>128</v>
      </c>
      <c r="AG21" s="107" t="s">
        <v>128</v>
      </c>
      <c r="AH21" s="107" t="s">
        <v>128</v>
      </c>
      <c r="AI21" s="228"/>
      <c r="AJ21" s="228"/>
      <c r="AK21" s="228"/>
      <c r="AL21" s="228"/>
      <c r="AM21" s="228"/>
      <c r="AN21" s="228"/>
      <c r="AO21" s="140"/>
      <c r="AP21" s="140"/>
    </row>
    <row r="22" spans="1:42" s="48" customFormat="1" x14ac:dyDescent="0.2">
      <c r="A22" s="209"/>
      <c r="B22" s="8"/>
      <c r="C22" s="8"/>
      <c r="D22" s="8"/>
      <c r="E22" s="8"/>
      <c r="F22" s="8"/>
      <c r="G22" s="8"/>
      <c r="H22" s="8"/>
      <c r="I22" s="8"/>
      <c r="J22" s="37"/>
      <c r="K22" s="19">
        <v>0</v>
      </c>
      <c r="L22" s="198" t="s">
        <v>128</v>
      </c>
      <c r="M22" s="198" t="s">
        <v>128</v>
      </c>
      <c r="N22" s="197" t="s">
        <v>128</v>
      </c>
      <c r="O22" s="195">
        <v>1</v>
      </c>
      <c r="P22" s="45" t="s">
        <v>128</v>
      </c>
      <c r="Q22" s="45" t="s">
        <v>128</v>
      </c>
      <c r="R22" s="45" t="s">
        <v>128</v>
      </c>
      <c r="S22" s="45" t="s">
        <v>128</v>
      </c>
      <c r="T22" s="45" t="s">
        <v>128</v>
      </c>
      <c r="U22" s="45" t="s">
        <v>128</v>
      </c>
      <c r="V22" s="45" t="s">
        <v>128</v>
      </c>
      <c r="W22" s="45" t="s">
        <v>128</v>
      </c>
      <c r="X22" s="45" t="s">
        <v>128</v>
      </c>
      <c r="Y22" s="45" t="s">
        <v>128</v>
      </c>
      <c r="Z22" s="45" t="s">
        <v>128</v>
      </c>
      <c r="AA22" s="45" t="s">
        <v>128</v>
      </c>
      <c r="AB22" s="45" t="s">
        <v>128</v>
      </c>
      <c r="AC22" s="107" t="s">
        <v>128</v>
      </c>
      <c r="AD22" s="107" t="s">
        <v>128</v>
      </c>
      <c r="AE22" s="107" t="s">
        <v>128</v>
      </c>
      <c r="AF22" s="107" t="s">
        <v>128</v>
      </c>
      <c r="AG22" s="107" t="s">
        <v>128</v>
      </c>
      <c r="AH22" s="107" t="s">
        <v>128</v>
      </c>
      <c r="AI22" s="228"/>
      <c r="AJ22" s="228"/>
      <c r="AK22" s="228"/>
      <c r="AL22" s="228"/>
      <c r="AM22" s="228"/>
      <c r="AN22" s="228"/>
      <c r="AO22" s="140"/>
      <c r="AP22" s="140"/>
    </row>
    <row r="23" spans="1:42" s="48" customFormat="1" x14ac:dyDescent="0.2">
      <c r="A23" s="22"/>
      <c r="B23" s="22"/>
      <c r="C23" s="22"/>
      <c r="D23" s="22"/>
      <c r="E23" s="22"/>
      <c r="F23" s="22"/>
      <c r="G23" s="22"/>
      <c r="H23" s="22"/>
      <c r="I23" s="22"/>
      <c r="J23" s="36"/>
      <c r="K23" s="19">
        <v>0</v>
      </c>
      <c r="L23" s="198" t="s">
        <v>128</v>
      </c>
      <c r="M23" s="198" t="s">
        <v>128</v>
      </c>
      <c r="N23" s="197" t="s">
        <v>128</v>
      </c>
      <c r="O23" s="195">
        <v>1</v>
      </c>
      <c r="P23" s="45" t="s">
        <v>128</v>
      </c>
      <c r="Q23" s="45" t="s">
        <v>128</v>
      </c>
      <c r="R23" s="45" t="s">
        <v>128</v>
      </c>
      <c r="S23" s="45" t="s">
        <v>128</v>
      </c>
      <c r="T23" s="45" t="s">
        <v>128</v>
      </c>
      <c r="U23" s="45" t="s">
        <v>128</v>
      </c>
      <c r="V23" s="45" t="s">
        <v>128</v>
      </c>
      <c r="W23" s="45" t="s">
        <v>128</v>
      </c>
      <c r="X23" s="45" t="s">
        <v>128</v>
      </c>
      <c r="Y23" s="45" t="s">
        <v>128</v>
      </c>
      <c r="Z23" s="45" t="s">
        <v>128</v>
      </c>
      <c r="AA23" s="45" t="s">
        <v>128</v>
      </c>
      <c r="AB23" s="45" t="s">
        <v>128</v>
      </c>
      <c r="AC23" s="107" t="s">
        <v>128</v>
      </c>
      <c r="AD23" s="107" t="s">
        <v>128</v>
      </c>
      <c r="AE23" s="107" t="s">
        <v>128</v>
      </c>
      <c r="AF23" s="107" t="s">
        <v>128</v>
      </c>
      <c r="AG23" s="107" t="s">
        <v>128</v>
      </c>
      <c r="AH23" s="107" t="s">
        <v>128</v>
      </c>
      <c r="AI23" s="228"/>
      <c r="AJ23" s="228"/>
      <c r="AK23" s="228"/>
      <c r="AL23" s="228"/>
      <c r="AM23" s="228"/>
      <c r="AN23" s="228"/>
      <c r="AO23" s="140"/>
      <c r="AP23" s="140"/>
    </row>
    <row r="24" spans="1:42" s="48" customFormat="1" x14ac:dyDescent="0.2">
      <c r="A24" s="209"/>
      <c r="B24" s="8"/>
      <c r="C24" s="8"/>
      <c r="D24" s="8"/>
      <c r="E24" s="8"/>
      <c r="F24" s="8"/>
      <c r="G24" s="8"/>
      <c r="H24" s="8"/>
      <c r="I24" s="8"/>
      <c r="J24" s="37"/>
      <c r="K24" s="19">
        <v>0</v>
      </c>
      <c r="L24" s="198" t="s">
        <v>128</v>
      </c>
      <c r="M24" s="198" t="s">
        <v>128</v>
      </c>
      <c r="N24" s="197" t="s">
        <v>128</v>
      </c>
      <c r="O24" s="195">
        <v>1</v>
      </c>
      <c r="P24" s="45" t="s">
        <v>128</v>
      </c>
      <c r="Q24" s="45" t="s">
        <v>128</v>
      </c>
      <c r="R24" s="45" t="s">
        <v>128</v>
      </c>
      <c r="S24" s="45" t="s">
        <v>128</v>
      </c>
      <c r="T24" s="45" t="s">
        <v>128</v>
      </c>
      <c r="U24" s="45" t="s">
        <v>128</v>
      </c>
      <c r="V24" s="45" t="s">
        <v>128</v>
      </c>
      <c r="W24" s="45" t="s">
        <v>128</v>
      </c>
      <c r="X24" s="45" t="s">
        <v>128</v>
      </c>
      <c r="Y24" s="45" t="s">
        <v>128</v>
      </c>
      <c r="Z24" s="45" t="s">
        <v>128</v>
      </c>
      <c r="AA24" s="45" t="s">
        <v>128</v>
      </c>
      <c r="AB24" s="45" t="s">
        <v>128</v>
      </c>
      <c r="AC24" s="107" t="s">
        <v>128</v>
      </c>
      <c r="AD24" s="107" t="s">
        <v>128</v>
      </c>
      <c r="AE24" s="107" t="s">
        <v>128</v>
      </c>
      <c r="AF24" s="107" t="s">
        <v>128</v>
      </c>
      <c r="AG24" s="107" t="s">
        <v>128</v>
      </c>
      <c r="AH24" s="107" t="s">
        <v>128</v>
      </c>
      <c r="AI24" s="228"/>
      <c r="AJ24" s="228"/>
      <c r="AK24" s="228"/>
      <c r="AL24" s="228"/>
      <c r="AM24" s="228"/>
      <c r="AN24" s="228"/>
      <c r="AO24" s="140"/>
      <c r="AP24" s="140"/>
    </row>
    <row r="25" spans="1:42" s="48" customFormat="1" x14ac:dyDescent="0.2">
      <c r="A25" s="22"/>
      <c r="B25" s="22"/>
      <c r="C25" s="22"/>
      <c r="D25" s="22"/>
      <c r="E25" s="22"/>
      <c r="F25" s="22"/>
      <c r="G25" s="22"/>
      <c r="H25" s="22"/>
      <c r="I25" s="22"/>
      <c r="J25" s="36"/>
      <c r="K25" s="19">
        <v>0</v>
      </c>
      <c r="L25" s="198" t="s">
        <v>128</v>
      </c>
      <c r="M25" s="198" t="s">
        <v>128</v>
      </c>
      <c r="N25" s="197" t="s">
        <v>128</v>
      </c>
      <c r="O25" s="195">
        <v>1</v>
      </c>
      <c r="P25" s="45" t="s">
        <v>128</v>
      </c>
      <c r="Q25" s="45" t="s">
        <v>128</v>
      </c>
      <c r="R25" s="45" t="s">
        <v>128</v>
      </c>
      <c r="S25" s="45" t="s">
        <v>128</v>
      </c>
      <c r="T25" s="45" t="s">
        <v>128</v>
      </c>
      <c r="U25" s="45" t="s">
        <v>128</v>
      </c>
      <c r="V25" s="45" t="s">
        <v>128</v>
      </c>
      <c r="W25" s="45" t="s">
        <v>128</v>
      </c>
      <c r="X25" s="45" t="s">
        <v>128</v>
      </c>
      <c r="Y25" s="45" t="s">
        <v>128</v>
      </c>
      <c r="Z25" s="45" t="s">
        <v>128</v>
      </c>
      <c r="AA25" s="45" t="s">
        <v>128</v>
      </c>
      <c r="AB25" s="45" t="s">
        <v>128</v>
      </c>
      <c r="AC25" s="107" t="s">
        <v>128</v>
      </c>
      <c r="AD25" s="107" t="s">
        <v>128</v>
      </c>
      <c r="AE25" s="107" t="s">
        <v>128</v>
      </c>
      <c r="AF25" s="107" t="s">
        <v>128</v>
      </c>
      <c r="AG25" s="107" t="s">
        <v>128</v>
      </c>
      <c r="AH25" s="107" t="s">
        <v>128</v>
      </c>
      <c r="AI25" s="228"/>
      <c r="AJ25" s="228"/>
      <c r="AK25" s="228"/>
      <c r="AL25" s="228"/>
      <c r="AM25" s="228"/>
      <c r="AN25" s="228"/>
      <c r="AO25" s="140"/>
      <c r="AP25" s="140"/>
    </row>
    <row r="26" spans="1:42" s="48" customFormat="1" x14ac:dyDescent="0.2">
      <c r="A26" s="209"/>
      <c r="B26" s="8"/>
      <c r="C26" s="8"/>
      <c r="D26" s="8"/>
      <c r="E26" s="8"/>
      <c r="F26" s="8"/>
      <c r="G26" s="8"/>
      <c r="H26" s="8"/>
      <c r="I26" s="8"/>
      <c r="J26" s="37"/>
      <c r="K26" s="19">
        <v>0</v>
      </c>
      <c r="L26" s="198" t="s">
        <v>128</v>
      </c>
      <c r="M26" s="198" t="s">
        <v>128</v>
      </c>
      <c r="N26" s="197" t="s">
        <v>128</v>
      </c>
      <c r="O26" s="195">
        <v>1</v>
      </c>
      <c r="P26" s="45" t="s">
        <v>128</v>
      </c>
      <c r="Q26" s="45" t="s">
        <v>128</v>
      </c>
      <c r="R26" s="45" t="s">
        <v>128</v>
      </c>
      <c r="S26" s="45" t="s">
        <v>128</v>
      </c>
      <c r="T26" s="45" t="s">
        <v>128</v>
      </c>
      <c r="U26" s="45" t="s">
        <v>128</v>
      </c>
      <c r="V26" s="45" t="s">
        <v>128</v>
      </c>
      <c r="W26" s="45" t="s">
        <v>128</v>
      </c>
      <c r="X26" s="45" t="s">
        <v>128</v>
      </c>
      <c r="Y26" s="45" t="s">
        <v>128</v>
      </c>
      <c r="Z26" s="45" t="s">
        <v>128</v>
      </c>
      <c r="AA26" s="45" t="s">
        <v>128</v>
      </c>
      <c r="AB26" s="45" t="s">
        <v>128</v>
      </c>
      <c r="AC26" s="107" t="s">
        <v>128</v>
      </c>
      <c r="AD26" s="107" t="s">
        <v>128</v>
      </c>
      <c r="AE26" s="107" t="s">
        <v>128</v>
      </c>
      <c r="AF26" s="107" t="s">
        <v>128</v>
      </c>
      <c r="AG26" s="107" t="s">
        <v>128</v>
      </c>
      <c r="AH26" s="107" t="s">
        <v>128</v>
      </c>
      <c r="AI26" s="228"/>
      <c r="AJ26" s="228"/>
      <c r="AK26" s="228"/>
      <c r="AL26" s="228"/>
      <c r="AM26" s="228"/>
      <c r="AN26" s="228"/>
      <c r="AO26" s="140"/>
      <c r="AP26" s="140"/>
    </row>
    <row r="27" spans="1:42" s="48" customFormat="1" x14ac:dyDescent="0.2">
      <c r="A27" s="22"/>
      <c r="B27" s="22"/>
      <c r="C27" s="22"/>
      <c r="D27" s="22"/>
      <c r="E27" s="22"/>
      <c r="F27" s="22"/>
      <c r="G27" s="22"/>
      <c r="H27" s="22"/>
      <c r="I27" s="22"/>
      <c r="J27" s="36"/>
      <c r="K27" s="19">
        <v>0</v>
      </c>
      <c r="L27" s="198" t="s">
        <v>128</v>
      </c>
      <c r="M27" s="198" t="s">
        <v>128</v>
      </c>
      <c r="N27" s="197" t="s">
        <v>128</v>
      </c>
      <c r="O27" s="195">
        <v>1</v>
      </c>
      <c r="P27" s="45" t="s">
        <v>128</v>
      </c>
      <c r="Q27" s="45" t="s">
        <v>128</v>
      </c>
      <c r="R27" s="45" t="s">
        <v>128</v>
      </c>
      <c r="S27" s="45" t="s">
        <v>128</v>
      </c>
      <c r="T27" s="45" t="s">
        <v>128</v>
      </c>
      <c r="U27" s="45" t="s">
        <v>128</v>
      </c>
      <c r="V27" s="45" t="s">
        <v>128</v>
      </c>
      <c r="W27" s="45" t="s">
        <v>128</v>
      </c>
      <c r="X27" s="45" t="s">
        <v>128</v>
      </c>
      <c r="Y27" s="45" t="s">
        <v>128</v>
      </c>
      <c r="Z27" s="45" t="s">
        <v>128</v>
      </c>
      <c r="AA27" s="45" t="s">
        <v>128</v>
      </c>
      <c r="AB27" s="45" t="s">
        <v>128</v>
      </c>
      <c r="AC27" s="107" t="s">
        <v>128</v>
      </c>
      <c r="AD27" s="107" t="s">
        <v>128</v>
      </c>
      <c r="AE27" s="107" t="s">
        <v>128</v>
      </c>
      <c r="AF27" s="107" t="s">
        <v>128</v>
      </c>
      <c r="AG27" s="107" t="s">
        <v>128</v>
      </c>
      <c r="AH27" s="107" t="s">
        <v>128</v>
      </c>
      <c r="AI27" s="228"/>
      <c r="AJ27" s="228"/>
      <c r="AK27" s="228"/>
      <c r="AL27" s="228"/>
      <c r="AM27" s="228"/>
      <c r="AN27" s="228"/>
      <c r="AO27" s="140"/>
      <c r="AP27" s="140"/>
    </row>
    <row r="28" spans="1:42" s="48" customFormat="1" x14ac:dyDescent="0.2">
      <c r="A28" s="209"/>
      <c r="B28" s="8"/>
      <c r="C28" s="8"/>
      <c r="D28" s="8"/>
      <c r="E28" s="8"/>
      <c r="F28" s="8"/>
      <c r="G28" s="8"/>
      <c r="H28" s="8"/>
      <c r="I28" s="8"/>
      <c r="J28" s="37"/>
      <c r="K28" s="19">
        <v>0</v>
      </c>
      <c r="L28" s="198" t="s">
        <v>128</v>
      </c>
      <c r="M28" s="198" t="s">
        <v>128</v>
      </c>
      <c r="N28" s="197" t="s">
        <v>128</v>
      </c>
      <c r="O28" s="195">
        <v>1</v>
      </c>
      <c r="P28" s="45" t="s">
        <v>128</v>
      </c>
      <c r="Q28" s="45" t="s">
        <v>128</v>
      </c>
      <c r="R28" s="45" t="s">
        <v>128</v>
      </c>
      <c r="S28" s="45" t="s">
        <v>128</v>
      </c>
      <c r="T28" s="45" t="s">
        <v>128</v>
      </c>
      <c r="U28" s="45" t="s">
        <v>128</v>
      </c>
      <c r="V28" s="45" t="s">
        <v>128</v>
      </c>
      <c r="W28" s="45" t="s">
        <v>128</v>
      </c>
      <c r="X28" s="45" t="s">
        <v>128</v>
      </c>
      <c r="Y28" s="45" t="s">
        <v>128</v>
      </c>
      <c r="Z28" s="45" t="s">
        <v>128</v>
      </c>
      <c r="AA28" s="45" t="s">
        <v>128</v>
      </c>
      <c r="AB28" s="45" t="s">
        <v>128</v>
      </c>
      <c r="AC28" s="107" t="s">
        <v>128</v>
      </c>
      <c r="AD28" s="107" t="s">
        <v>128</v>
      </c>
      <c r="AE28" s="107" t="s">
        <v>128</v>
      </c>
      <c r="AF28" s="107" t="s">
        <v>128</v>
      </c>
      <c r="AG28" s="107" t="s">
        <v>128</v>
      </c>
      <c r="AH28" s="107" t="s">
        <v>128</v>
      </c>
      <c r="AI28" s="228"/>
      <c r="AJ28" s="228"/>
      <c r="AK28" s="228"/>
      <c r="AL28" s="228"/>
      <c r="AM28" s="228"/>
      <c r="AN28" s="228"/>
      <c r="AO28" s="140"/>
      <c r="AP28" s="140"/>
    </row>
    <row r="29" spans="1:42" s="48" customFormat="1" x14ac:dyDescent="0.2">
      <c r="A29" s="22"/>
      <c r="B29" s="22"/>
      <c r="C29" s="22"/>
      <c r="D29" s="22"/>
      <c r="E29" s="22"/>
      <c r="F29" s="22"/>
      <c r="G29" s="22"/>
      <c r="H29" s="22"/>
      <c r="I29" s="22"/>
      <c r="J29" s="36"/>
      <c r="K29" s="19">
        <v>0</v>
      </c>
      <c r="L29" s="198" t="s">
        <v>128</v>
      </c>
      <c r="M29" s="198" t="s">
        <v>128</v>
      </c>
      <c r="N29" s="197" t="s">
        <v>128</v>
      </c>
      <c r="O29" s="195">
        <v>1</v>
      </c>
      <c r="P29" s="45" t="s">
        <v>128</v>
      </c>
      <c r="Q29" s="45" t="s">
        <v>128</v>
      </c>
      <c r="R29" s="45" t="s">
        <v>128</v>
      </c>
      <c r="S29" s="45" t="s">
        <v>128</v>
      </c>
      <c r="T29" s="45" t="s">
        <v>128</v>
      </c>
      <c r="U29" s="45" t="s">
        <v>128</v>
      </c>
      <c r="V29" s="45" t="s">
        <v>128</v>
      </c>
      <c r="W29" s="45" t="s">
        <v>128</v>
      </c>
      <c r="X29" s="45" t="s">
        <v>128</v>
      </c>
      <c r="Y29" s="45" t="s">
        <v>128</v>
      </c>
      <c r="Z29" s="45" t="s">
        <v>128</v>
      </c>
      <c r="AA29" s="45" t="s">
        <v>128</v>
      </c>
      <c r="AB29" s="45" t="s">
        <v>128</v>
      </c>
      <c r="AC29" s="107" t="s">
        <v>128</v>
      </c>
      <c r="AD29" s="107" t="s">
        <v>128</v>
      </c>
      <c r="AE29" s="107" t="s">
        <v>128</v>
      </c>
      <c r="AF29" s="107" t="s">
        <v>128</v>
      </c>
      <c r="AG29" s="107" t="s">
        <v>128</v>
      </c>
      <c r="AH29" s="107" t="s">
        <v>128</v>
      </c>
      <c r="AI29" s="228"/>
      <c r="AJ29" s="228"/>
      <c r="AK29" s="228"/>
      <c r="AL29" s="228"/>
      <c r="AM29" s="228"/>
      <c r="AN29" s="228"/>
      <c r="AO29" s="140"/>
      <c r="AP29" s="140"/>
    </row>
    <row r="30" spans="1:42" s="48" customFormat="1" x14ac:dyDescent="0.2">
      <c r="A30" s="209"/>
      <c r="B30" s="8"/>
      <c r="C30" s="8"/>
      <c r="D30" s="8"/>
      <c r="E30" s="8"/>
      <c r="F30" s="8"/>
      <c r="G30" s="8"/>
      <c r="H30" s="8"/>
      <c r="I30" s="8"/>
      <c r="J30" s="37"/>
      <c r="K30" s="19">
        <v>0</v>
      </c>
      <c r="L30" s="198" t="s">
        <v>128</v>
      </c>
      <c r="M30" s="198" t="s">
        <v>128</v>
      </c>
      <c r="N30" s="197" t="s">
        <v>128</v>
      </c>
      <c r="O30" s="195">
        <v>1</v>
      </c>
      <c r="P30" s="45" t="s">
        <v>128</v>
      </c>
      <c r="Q30" s="45" t="s">
        <v>128</v>
      </c>
      <c r="R30" s="45" t="s">
        <v>128</v>
      </c>
      <c r="S30" s="45" t="s">
        <v>128</v>
      </c>
      <c r="T30" s="45" t="s">
        <v>128</v>
      </c>
      <c r="U30" s="45" t="s">
        <v>128</v>
      </c>
      <c r="V30" s="45" t="s">
        <v>128</v>
      </c>
      <c r="W30" s="45" t="s">
        <v>128</v>
      </c>
      <c r="X30" s="45" t="s">
        <v>128</v>
      </c>
      <c r="Y30" s="45" t="s">
        <v>128</v>
      </c>
      <c r="Z30" s="45" t="s">
        <v>128</v>
      </c>
      <c r="AA30" s="45" t="s">
        <v>128</v>
      </c>
      <c r="AB30" s="45" t="s">
        <v>128</v>
      </c>
      <c r="AC30" s="107" t="s">
        <v>128</v>
      </c>
      <c r="AD30" s="107" t="s">
        <v>128</v>
      </c>
      <c r="AE30" s="107" t="s">
        <v>128</v>
      </c>
      <c r="AF30" s="107" t="s">
        <v>128</v>
      </c>
      <c r="AG30" s="107" t="s">
        <v>128</v>
      </c>
      <c r="AH30" s="107" t="s">
        <v>128</v>
      </c>
      <c r="AI30" s="228"/>
      <c r="AJ30" s="228"/>
      <c r="AK30" s="228"/>
      <c r="AL30" s="228"/>
      <c r="AM30" s="228"/>
      <c r="AN30" s="228"/>
      <c r="AO30" s="140"/>
      <c r="AP30" s="140"/>
    </row>
    <row r="31" spans="1:42" s="48" customFormat="1" x14ac:dyDescent="0.2">
      <c r="A31" s="22"/>
      <c r="B31" s="22"/>
      <c r="C31" s="22"/>
      <c r="D31" s="22"/>
      <c r="E31" s="22"/>
      <c r="F31" s="22"/>
      <c r="G31" s="22"/>
      <c r="H31" s="22"/>
      <c r="I31" s="22"/>
      <c r="J31" s="36"/>
      <c r="K31" s="19">
        <v>0</v>
      </c>
      <c r="L31" s="198" t="s">
        <v>128</v>
      </c>
      <c r="M31" s="198" t="s">
        <v>128</v>
      </c>
      <c r="N31" s="197" t="s">
        <v>128</v>
      </c>
      <c r="O31" s="195">
        <v>1</v>
      </c>
      <c r="P31" s="45" t="s">
        <v>128</v>
      </c>
      <c r="Q31" s="45" t="s">
        <v>128</v>
      </c>
      <c r="R31" s="45" t="s">
        <v>128</v>
      </c>
      <c r="S31" s="45" t="s">
        <v>128</v>
      </c>
      <c r="T31" s="45" t="s">
        <v>128</v>
      </c>
      <c r="U31" s="45" t="s">
        <v>128</v>
      </c>
      <c r="V31" s="45" t="s">
        <v>128</v>
      </c>
      <c r="W31" s="45" t="s">
        <v>128</v>
      </c>
      <c r="X31" s="45" t="s">
        <v>128</v>
      </c>
      <c r="Y31" s="45" t="s">
        <v>128</v>
      </c>
      <c r="Z31" s="45" t="s">
        <v>128</v>
      </c>
      <c r="AA31" s="45" t="s">
        <v>128</v>
      </c>
      <c r="AB31" s="45" t="s">
        <v>128</v>
      </c>
      <c r="AC31" s="107" t="s">
        <v>128</v>
      </c>
      <c r="AD31" s="107" t="s">
        <v>128</v>
      </c>
      <c r="AE31" s="107" t="s">
        <v>128</v>
      </c>
      <c r="AF31" s="107" t="s">
        <v>128</v>
      </c>
      <c r="AG31" s="107" t="s">
        <v>128</v>
      </c>
      <c r="AH31" s="107" t="s">
        <v>128</v>
      </c>
      <c r="AI31" s="228"/>
      <c r="AJ31" s="228"/>
      <c r="AK31" s="228"/>
      <c r="AL31" s="228"/>
      <c r="AM31" s="228"/>
      <c r="AN31" s="228"/>
      <c r="AO31" s="140"/>
      <c r="AP31" s="140"/>
    </row>
    <row r="32" spans="1:42" s="48" customFormat="1" x14ac:dyDescent="0.2">
      <c r="A32" s="209"/>
      <c r="B32" s="8"/>
      <c r="C32" s="8"/>
      <c r="D32" s="8"/>
      <c r="E32" s="8"/>
      <c r="F32" s="8"/>
      <c r="G32" s="8"/>
      <c r="H32" s="8"/>
      <c r="I32" s="8"/>
      <c r="J32" s="37"/>
      <c r="K32" s="19">
        <v>0</v>
      </c>
      <c r="L32" s="198" t="s">
        <v>128</v>
      </c>
      <c r="M32" s="198" t="s">
        <v>128</v>
      </c>
      <c r="N32" s="197" t="s">
        <v>128</v>
      </c>
      <c r="O32" s="195">
        <v>1</v>
      </c>
      <c r="P32" s="45" t="s">
        <v>128</v>
      </c>
      <c r="Q32" s="45" t="s">
        <v>128</v>
      </c>
      <c r="R32" s="45" t="s">
        <v>128</v>
      </c>
      <c r="S32" s="45" t="s">
        <v>128</v>
      </c>
      <c r="T32" s="45" t="s">
        <v>128</v>
      </c>
      <c r="U32" s="45" t="s">
        <v>128</v>
      </c>
      <c r="V32" s="45" t="s">
        <v>128</v>
      </c>
      <c r="W32" s="45" t="s">
        <v>128</v>
      </c>
      <c r="X32" s="45" t="s">
        <v>128</v>
      </c>
      <c r="Y32" s="45" t="s">
        <v>128</v>
      </c>
      <c r="Z32" s="45" t="s">
        <v>128</v>
      </c>
      <c r="AA32" s="45" t="s">
        <v>128</v>
      </c>
      <c r="AB32" s="45" t="s">
        <v>128</v>
      </c>
      <c r="AC32" s="107" t="s">
        <v>128</v>
      </c>
      <c r="AD32" s="107" t="s">
        <v>128</v>
      </c>
      <c r="AE32" s="107" t="s">
        <v>128</v>
      </c>
      <c r="AF32" s="107" t="s">
        <v>128</v>
      </c>
      <c r="AG32" s="107" t="s">
        <v>128</v>
      </c>
      <c r="AH32" s="107" t="s">
        <v>128</v>
      </c>
      <c r="AI32" s="228"/>
      <c r="AJ32" s="228"/>
      <c r="AK32" s="228"/>
      <c r="AL32" s="228"/>
      <c r="AM32" s="228"/>
      <c r="AN32" s="228"/>
      <c r="AO32" s="140"/>
      <c r="AP32" s="140"/>
    </row>
    <row r="33" spans="1:42" s="48" customFormat="1" x14ac:dyDescent="0.2">
      <c r="A33" s="22"/>
      <c r="B33" s="22"/>
      <c r="C33" s="22"/>
      <c r="D33" s="22"/>
      <c r="E33" s="22"/>
      <c r="F33" s="22"/>
      <c r="G33" s="22"/>
      <c r="H33" s="22"/>
      <c r="I33" s="22"/>
      <c r="J33" s="36"/>
      <c r="K33" s="19">
        <v>0</v>
      </c>
      <c r="L33" s="198" t="s">
        <v>128</v>
      </c>
      <c r="M33" s="198" t="s">
        <v>128</v>
      </c>
      <c r="N33" s="197" t="s">
        <v>128</v>
      </c>
      <c r="O33" s="195">
        <v>1</v>
      </c>
      <c r="P33" s="45" t="s">
        <v>128</v>
      </c>
      <c r="Q33" s="45" t="s">
        <v>128</v>
      </c>
      <c r="R33" s="45" t="s">
        <v>128</v>
      </c>
      <c r="S33" s="45" t="s">
        <v>128</v>
      </c>
      <c r="T33" s="45" t="s">
        <v>128</v>
      </c>
      <c r="U33" s="45" t="s">
        <v>128</v>
      </c>
      <c r="V33" s="45" t="s">
        <v>128</v>
      </c>
      <c r="W33" s="45" t="s">
        <v>128</v>
      </c>
      <c r="X33" s="45" t="s">
        <v>128</v>
      </c>
      <c r="Y33" s="45" t="s">
        <v>128</v>
      </c>
      <c r="Z33" s="45" t="s">
        <v>128</v>
      </c>
      <c r="AA33" s="45" t="s">
        <v>128</v>
      </c>
      <c r="AB33" s="45" t="s">
        <v>128</v>
      </c>
      <c r="AC33" s="107" t="s">
        <v>128</v>
      </c>
      <c r="AD33" s="107" t="s">
        <v>128</v>
      </c>
      <c r="AE33" s="107" t="s">
        <v>128</v>
      </c>
      <c r="AF33" s="107" t="s">
        <v>128</v>
      </c>
      <c r="AG33" s="107" t="s">
        <v>128</v>
      </c>
      <c r="AH33" s="107" t="s">
        <v>128</v>
      </c>
      <c r="AI33" s="228"/>
      <c r="AJ33" s="228"/>
      <c r="AK33" s="228"/>
      <c r="AL33" s="228"/>
      <c r="AM33" s="228"/>
      <c r="AN33" s="228"/>
      <c r="AO33" s="140"/>
      <c r="AP33" s="140"/>
    </row>
    <row r="34" spans="1:42" s="48" customFormat="1" x14ac:dyDescent="0.2">
      <c r="A34" s="209"/>
      <c r="B34" s="8"/>
      <c r="C34" s="8"/>
      <c r="D34" s="8"/>
      <c r="E34" s="8"/>
      <c r="F34" s="8"/>
      <c r="G34" s="8"/>
      <c r="H34" s="8"/>
      <c r="I34" s="8"/>
      <c r="J34" s="37"/>
      <c r="K34" s="19">
        <v>0</v>
      </c>
      <c r="L34" s="198" t="s">
        <v>128</v>
      </c>
      <c r="M34" s="198" t="s">
        <v>128</v>
      </c>
      <c r="N34" s="197" t="s">
        <v>128</v>
      </c>
      <c r="O34" s="195">
        <v>1</v>
      </c>
      <c r="P34" s="45" t="s">
        <v>128</v>
      </c>
      <c r="Q34" s="45" t="s">
        <v>128</v>
      </c>
      <c r="R34" s="45" t="s">
        <v>128</v>
      </c>
      <c r="S34" s="45" t="s">
        <v>128</v>
      </c>
      <c r="T34" s="45" t="s">
        <v>128</v>
      </c>
      <c r="U34" s="45" t="s">
        <v>128</v>
      </c>
      <c r="V34" s="45" t="s">
        <v>128</v>
      </c>
      <c r="W34" s="45" t="s">
        <v>128</v>
      </c>
      <c r="X34" s="45" t="s">
        <v>128</v>
      </c>
      <c r="Y34" s="45" t="s">
        <v>128</v>
      </c>
      <c r="Z34" s="45" t="s">
        <v>128</v>
      </c>
      <c r="AA34" s="45" t="s">
        <v>128</v>
      </c>
      <c r="AB34" s="45" t="s">
        <v>128</v>
      </c>
      <c r="AC34" s="107" t="s">
        <v>128</v>
      </c>
      <c r="AD34" s="107" t="s">
        <v>128</v>
      </c>
      <c r="AE34" s="107" t="s">
        <v>128</v>
      </c>
      <c r="AF34" s="107" t="s">
        <v>128</v>
      </c>
      <c r="AG34" s="107" t="s">
        <v>128</v>
      </c>
      <c r="AH34" s="107" t="s">
        <v>128</v>
      </c>
      <c r="AI34" s="228"/>
      <c r="AJ34" s="228"/>
      <c r="AK34" s="228"/>
      <c r="AL34" s="228"/>
      <c r="AM34" s="228"/>
      <c r="AN34" s="228"/>
      <c r="AO34" s="228"/>
      <c r="AP34" s="228"/>
    </row>
    <row r="35" spans="1:42" s="48" customFormat="1" x14ac:dyDescent="0.2">
      <c r="A35" s="22"/>
      <c r="B35" s="22"/>
      <c r="C35" s="22"/>
      <c r="D35" s="22"/>
      <c r="E35" s="22"/>
      <c r="F35" s="22"/>
      <c r="G35" s="22"/>
      <c r="H35" s="22"/>
      <c r="I35" s="22"/>
      <c r="J35" s="36"/>
      <c r="K35" s="19">
        <v>0</v>
      </c>
      <c r="L35" s="198" t="s">
        <v>128</v>
      </c>
      <c r="M35" s="198" t="s">
        <v>128</v>
      </c>
      <c r="N35" s="197" t="s">
        <v>128</v>
      </c>
      <c r="O35" s="195">
        <v>1</v>
      </c>
      <c r="P35" s="45" t="s">
        <v>128</v>
      </c>
      <c r="Q35" s="45" t="s">
        <v>128</v>
      </c>
      <c r="R35" s="45" t="s">
        <v>128</v>
      </c>
      <c r="S35" s="45" t="s">
        <v>128</v>
      </c>
      <c r="T35" s="45" t="s">
        <v>128</v>
      </c>
      <c r="U35" s="45" t="s">
        <v>128</v>
      </c>
      <c r="V35" s="45" t="s">
        <v>128</v>
      </c>
      <c r="W35" s="45" t="s">
        <v>128</v>
      </c>
      <c r="X35" s="45" t="s">
        <v>128</v>
      </c>
      <c r="Y35" s="45" t="s">
        <v>128</v>
      </c>
      <c r="Z35" s="45" t="s">
        <v>128</v>
      </c>
      <c r="AA35" s="45" t="s">
        <v>128</v>
      </c>
      <c r="AB35" s="45" t="s">
        <v>128</v>
      </c>
      <c r="AC35" s="107" t="s">
        <v>128</v>
      </c>
      <c r="AD35" s="107" t="s">
        <v>128</v>
      </c>
      <c r="AE35" s="107" t="s">
        <v>128</v>
      </c>
      <c r="AF35" s="107" t="s">
        <v>128</v>
      </c>
      <c r="AG35" s="107" t="s">
        <v>128</v>
      </c>
      <c r="AH35" s="107" t="s">
        <v>128</v>
      </c>
      <c r="AI35" s="228"/>
      <c r="AJ35" s="228"/>
      <c r="AK35" s="228"/>
      <c r="AL35" s="228"/>
      <c r="AM35" s="228"/>
      <c r="AN35" s="228"/>
      <c r="AO35" s="228"/>
      <c r="AP35" s="228"/>
    </row>
    <row r="36" spans="1:42" s="48" customFormat="1" x14ac:dyDescent="0.2">
      <c r="A36" s="209"/>
      <c r="B36" s="8"/>
      <c r="C36" s="8"/>
      <c r="D36" s="8"/>
      <c r="E36" s="8"/>
      <c r="F36" s="8"/>
      <c r="G36" s="8"/>
      <c r="H36" s="8"/>
      <c r="I36" s="8"/>
      <c r="J36" s="37"/>
      <c r="K36" s="19">
        <v>0</v>
      </c>
      <c r="L36" s="198" t="s">
        <v>128</v>
      </c>
      <c r="M36" s="198" t="s">
        <v>128</v>
      </c>
      <c r="N36" s="197" t="s">
        <v>128</v>
      </c>
      <c r="O36" s="195">
        <v>1</v>
      </c>
      <c r="P36" s="45" t="s">
        <v>128</v>
      </c>
      <c r="Q36" s="45" t="s">
        <v>128</v>
      </c>
      <c r="R36" s="45" t="s">
        <v>128</v>
      </c>
      <c r="S36" s="45" t="s">
        <v>128</v>
      </c>
      <c r="T36" s="45" t="s">
        <v>128</v>
      </c>
      <c r="U36" s="45" t="s">
        <v>128</v>
      </c>
      <c r="V36" s="45" t="s">
        <v>128</v>
      </c>
      <c r="W36" s="45" t="s">
        <v>128</v>
      </c>
      <c r="X36" s="45" t="s">
        <v>128</v>
      </c>
      <c r="Y36" s="45" t="s">
        <v>128</v>
      </c>
      <c r="Z36" s="45" t="s">
        <v>128</v>
      </c>
      <c r="AA36" s="45" t="s">
        <v>128</v>
      </c>
      <c r="AB36" s="45" t="s">
        <v>128</v>
      </c>
      <c r="AC36" s="107" t="s">
        <v>128</v>
      </c>
      <c r="AD36" s="107" t="s">
        <v>128</v>
      </c>
      <c r="AE36" s="107" t="s">
        <v>128</v>
      </c>
      <c r="AF36" s="107" t="s">
        <v>128</v>
      </c>
      <c r="AG36" s="107" t="s">
        <v>128</v>
      </c>
      <c r="AH36" s="107" t="s">
        <v>128</v>
      </c>
      <c r="AI36" s="228"/>
      <c r="AJ36" s="228"/>
      <c r="AK36" s="228"/>
      <c r="AL36" s="228"/>
      <c r="AM36" s="228"/>
      <c r="AN36" s="228"/>
      <c r="AO36" s="228"/>
      <c r="AP36" s="228"/>
    </row>
    <row r="37" spans="1:42" s="48" customFormat="1" x14ac:dyDescent="0.2">
      <c r="A37" s="22"/>
      <c r="B37" s="22"/>
      <c r="C37" s="22"/>
      <c r="D37" s="22"/>
      <c r="E37" s="22"/>
      <c r="F37" s="22"/>
      <c r="G37" s="22"/>
      <c r="H37" s="22"/>
      <c r="I37" s="22"/>
      <c r="J37" s="36"/>
      <c r="K37" s="19">
        <v>0</v>
      </c>
      <c r="L37" s="198" t="s">
        <v>128</v>
      </c>
      <c r="M37" s="198" t="s">
        <v>128</v>
      </c>
      <c r="N37" s="197" t="s">
        <v>128</v>
      </c>
      <c r="O37" s="195">
        <v>1</v>
      </c>
      <c r="P37" s="45" t="s">
        <v>128</v>
      </c>
      <c r="Q37" s="45" t="s">
        <v>128</v>
      </c>
      <c r="R37" s="45" t="s">
        <v>128</v>
      </c>
      <c r="S37" s="45" t="s">
        <v>128</v>
      </c>
      <c r="T37" s="45" t="s">
        <v>128</v>
      </c>
      <c r="U37" s="45" t="s">
        <v>128</v>
      </c>
      <c r="V37" s="45" t="s">
        <v>128</v>
      </c>
      <c r="W37" s="45" t="s">
        <v>128</v>
      </c>
      <c r="X37" s="45" t="s">
        <v>128</v>
      </c>
      <c r="Y37" s="45" t="s">
        <v>128</v>
      </c>
      <c r="Z37" s="45" t="s">
        <v>128</v>
      </c>
      <c r="AA37" s="45" t="s">
        <v>128</v>
      </c>
      <c r="AB37" s="45" t="s">
        <v>128</v>
      </c>
      <c r="AC37" s="107" t="s">
        <v>128</v>
      </c>
      <c r="AD37" s="107" t="s">
        <v>128</v>
      </c>
      <c r="AE37" s="107" t="s">
        <v>128</v>
      </c>
      <c r="AF37" s="107" t="s">
        <v>128</v>
      </c>
      <c r="AG37" s="107" t="s">
        <v>128</v>
      </c>
      <c r="AH37" s="107" t="s">
        <v>128</v>
      </c>
      <c r="AI37" s="228"/>
      <c r="AJ37" s="228"/>
      <c r="AK37" s="228"/>
      <c r="AL37" s="228"/>
      <c r="AM37" s="228"/>
      <c r="AN37" s="228"/>
      <c r="AO37" s="228"/>
      <c r="AP37" s="228"/>
    </row>
    <row r="38" spans="1:42" s="48" customFormat="1" x14ac:dyDescent="0.15">
      <c r="A38" s="209"/>
      <c r="B38" s="8"/>
      <c r="C38" s="8"/>
      <c r="D38" s="8"/>
      <c r="E38" s="8"/>
      <c r="F38" s="8"/>
      <c r="G38" s="8"/>
      <c r="H38" s="8"/>
      <c r="I38" s="8"/>
      <c r="J38" s="37"/>
      <c r="K38" s="19">
        <v>0</v>
      </c>
      <c r="L38" s="198" t="s">
        <v>128</v>
      </c>
      <c r="M38" s="198" t="s">
        <v>128</v>
      </c>
      <c r="N38" s="197" t="s">
        <v>128</v>
      </c>
      <c r="O38" s="195">
        <v>1</v>
      </c>
      <c r="P38" s="45" t="s">
        <v>128</v>
      </c>
      <c r="Q38" s="45" t="s">
        <v>128</v>
      </c>
      <c r="R38" s="45" t="s">
        <v>128</v>
      </c>
      <c r="S38" s="45" t="s">
        <v>128</v>
      </c>
      <c r="T38" s="45" t="s">
        <v>128</v>
      </c>
      <c r="U38" s="45" t="s">
        <v>128</v>
      </c>
      <c r="V38" s="45" t="s">
        <v>128</v>
      </c>
      <c r="W38" s="45" t="s">
        <v>128</v>
      </c>
      <c r="X38" s="45" t="s">
        <v>128</v>
      </c>
      <c r="Y38" s="45" t="s">
        <v>128</v>
      </c>
      <c r="Z38" s="45" t="s">
        <v>128</v>
      </c>
      <c r="AA38" s="45" t="s">
        <v>128</v>
      </c>
      <c r="AB38" s="45" t="s">
        <v>128</v>
      </c>
      <c r="AC38" s="107" t="s">
        <v>128</v>
      </c>
      <c r="AD38" s="107" t="s">
        <v>128</v>
      </c>
      <c r="AE38" s="107" t="s">
        <v>128</v>
      </c>
      <c r="AF38" s="107" t="s">
        <v>128</v>
      </c>
      <c r="AG38" s="107" t="s">
        <v>128</v>
      </c>
      <c r="AH38" s="107" t="s">
        <v>128</v>
      </c>
      <c r="AI38" s="205"/>
      <c r="AJ38" s="140"/>
      <c r="AK38" s="305"/>
      <c r="AL38" s="306"/>
      <c r="AM38" s="228"/>
      <c r="AN38" s="140"/>
      <c r="AO38" s="140"/>
      <c r="AP38" s="140"/>
    </row>
    <row r="39" spans="1:42" s="48" customFormat="1" x14ac:dyDescent="0.2">
      <c r="A39" s="22"/>
      <c r="B39" s="22"/>
      <c r="C39" s="22"/>
      <c r="D39" s="22"/>
      <c r="E39" s="22"/>
      <c r="F39" s="22"/>
      <c r="G39" s="22"/>
      <c r="H39" s="22"/>
      <c r="I39" s="22"/>
      <c r="J39" s="36"/>
      <c r="K39" s="19">
        <v>0</v>
      </c>
      <c r="L39" s="198" t="s">
        <v>128</v>
      </c>
      <c r="M39" s="198" t="s">
        <v>128</v>
      </c>
      <c r="N39" s="197" t="s">
        <v>128</v>
      </c>
      <c r="O39" s="195">
        <v>1</v>
      </c>
      <c r="P39" s="45" t="s">
        <v>128</v>
      </c>
      <c r="Q39" s="45" t="s">
        <v>128</v>
      </c>
      <c r="R39" s="45" t="s">
        <v>128</v>
      </c>
      <c r="S39" s="45" t="s">
        <v>128</v>
      </c>
      <c r="T39" s="45" t="s">
        <v>128</v>
      </c>
      <c r="U39" s="45" t="s">
        <v>128</v>
      </c>
      <c r="V39" s="45" t="s">
        <v>128</v>
      </c>
      <c r="W39" s="45" t="s">
        <v>128</v>
      </c>
      <c r="X39" s="45" t="s">
        <v>128</v>
      </c>
      <c r="Y39" s="45" t="s">
        <v>128</v>
      </c>
      <c r="Z39" s="45" t="s">
        <v>128</v>
      </c>
      <c r="AA39" s="45" t="s">
        <v>128</v>
      </c>
      <c r="AB39" s="45" t="s">
        <v>128</v>
      </c>
      <c r="AC39" s="107" t="s">
        <v>128</v>
      </c>
      <c r="AD39" s="107" t="s">
        <v>128</v>
      </c>
      <c r="AE39" s="107" t="s">
        <v>128</v>
      </c>
      <c r="AF39" s="107" t="s">
        <v>128</v>
      </c>
      <c r="AG39" s="107" t="s">
        <v>128</v>
      </c>
      <c r="AH39" s="107" t="s">
        <v>128</v>
      </c>
      <c r="AI39" s="228"/>
      <c r="AJ39" s="228"/>
      <c r="AK39" s="228"/>
      <c r="AL39" s="228"/>
      <c r="AM39" s="228"/>
      <c r="AN39" s="140"/>
      <c r="AO39" s="228"/>
      <c r="AP39" s="228"/>
    </row>
    <row r="40" spans="1:42" s="48" customFormat="1" x14ac:dyDescent="0.2">
      <c r="A40" s="209"/>
      <c r="B40" s="8"/>
      <c r="C40" s="8"/>
      <c r="D40" s="8"/>
      <c r="E40" s="8"/>
      <c r="F40" s="8"/>
      <c r="G40" s="8"/>
      <c r="H40" s="8"/>
      <c r="I40" s="8"/>
      <c r="J40" s="37"/>
      <c r="K40" s="19">
        <v>0</v>
      </c>
      <c r="L40" s="198" t="s">
        <v>128</v>
      </c>
      <c r="M40" s="198" t="s">
        <v>128</v>
      </c>
      <c r="N40" s="197" t="s">
        <v>128</v>
      </c>
      <c r="O40" s="195">
        <v>1</v>
      </c>
      <c r="P40" s="45" t="s">
        <v>128</v>
      </c>
      <c r="Q40" s="45" t="s">
        <v>128</v>
      </c>
      <c r="R40" s="45" t="s">
        <v>128</v>
      </c>
      <c r="S40" s="45" t="s">
        <v>128</v>
      </c>
      <c r="T40" s="45" t="s">
        <v>128</v>
      </c>
      <c r="U40" s="45" t="s">
        <v>128</v>
      </c>
      <c r="V40" s="45" t="s">
        <v>128</v>
      </c>
      <c r="W40" s="45" t="s">
        <v>128</v>
      </c>
      <c r="X40" s="45" t="s">
        <v>128</v>
      </c>
      <c r="Y40" s="45" t="s">
        <v>128</v>
      </c>
      <c r="Z40" s="45" t="s">
        <v>128</v>
      </c>
      <c r="AA40" s="45" t="s">
        <v>128</v>
      </c>
      <c r="AB40" s="45" t="s">
        <v>128</v>
      </c>
      <c r="AC40" s="107" t="s">
        <v>128</v>
      </c>
      <c r="AD40" s="107" t="s">
        <v>128</v>
      </c>
      <c r="AE40" s="107" t="s">
        <v>128</v>
      </c>
      <c r="AF40" s="107" t="s">
        <v>128</v>
      </c>
      <c r="AG40" s="107" t="s">
        <v>128</v>
      </c>
      <c r="AH40" s="107" t="s">
        <v>128</v>
      </c>
      <c r="AI40" s="228"/>
      <c r="AJ40" s="228"/>
      <c r="AK40" s="228"/>
      <c r="AL40" s="228"/>
      <c r="AM40" s="228"/>
      <c r="AN40" s="140"/>
      <c r="AO40" s="228"/>
      <c r="AP40" s="228"/>
    </row>
    <row r="41" spans="1:42" s="48" customFormat="1" x14ac:dyDescent="0.15">
      <c r="A41" s="22"/>
      <c r="B41" s="22"/>
      <c r="C41" s="22"/>
      <c r="D41" s="22"/>
      <c r="E41" s="22"/>
      <c r="F41" s="22"/>
      <c r="G41" s="22"/>
      <c r="H41" s="22"/>
      <c r="I41" s="22"/>
      <c r="J41" s="36"/>
      <c r="K41" s="19">
        <v>0</v>
      </c>
      <c r="L41" s="198" t="s">
        <v>128</v>
      </c>
      <c r="M41" s="198" t="s">
        <v>128</v>
      </c>
      <c r="N41" s="197" t="s">
        <v>128</v>
      </c>
      <c r="O41" s="195">
        <v>1</v>
      </c>
      <c r="P41" s="45" t="s">
        <v>128</v>
      </c>
      <c r="Q41" s="45" t="s">
        <v>128</v>
      </c>
      <c r="R41" s="45" t="s">
        <v>128</v>
      </c>
      <c r="S41" s="45" t="s">
        <v>128</v>
      </c>
      <c r="T41" s="45" t="s">
        <v>128</v>
      </c>
      <c r="U41" s="45" t="s">
        <v>128</v>
      </c>
      <c r="V41" s="45" t="s">
        <v>128</v>
      </c>
      <c r="W41" s="45" t="s">
        <v>128</v>
      </c>
      <c r="X41" s="45" t="s">
        <v>128</v>
      </c>
      <c r="Y41" s="45" t="s">
        <v>128</v>
      </c>
      <c r="Z41" s="45" t="s">
        <v>128</v>
      </c>
      <c r="AA41" s="45" t="s">
        <v>128</v>
      </c>
      <c r="AB41" s="45" t="s">
        <v>128</v>
      </c>
      <c r="AC41" s="107" t="s">
        <v>128</v>
      </c>
      <c r="AD41" s="107" t="s">
        <v>128</v>
      </c>
      <c r="AE41" s="107" t="s">
        <v>128</v>
      </c>
      <c r="AF41" s="107" t="s">
        <v>128</v>
      </c>
      <c r="AG41" s="107" t="s">
        <v>128</v>
      </c>
      <c r="AH41" s="107" t="s">
        <v>128</v>
      </c>
      <c r="AI41" s="205"/>
      <c r="AJ41" s="140"/>
      <c r="AK41" s="305"/>
      <c r="AL41" s="306"/>
      <c r="AM41" s="228"/>
      <c r="AN41" s="140"/>
      <c r="AO41" s="140"/>
      <c r="AP41" s="140"/>
    </row>
    <row r="42" spans="1:42" s="48" customFormat="1" x14ac:dyDescent="0.2">
      <c r="A42" s="209"/>
      <c r="B42" s="8"/>
      <c r="C42" s="8"/>
      <c r="D42" s="8"/>
      <c r="E42" s="8"/>
      <c r="F42" s="8"/>
      <c r="G42" s="8"/>
      <c r="H42" s="8"/>
      <c r="I42" s="8"/>
      <c r="J42" s="37"/>
      <c r="K42" s="19">
        <v>0</v>
      </c>
      <c r="L42" s="198" t="s">
        <v>128</v>
      </c>
      <c r="M42" s="198" t="s">
        <v>128</v>
      </c>
      <c r="N42" s="197" t="s">
        <v>128</v>
      </c>
      <c r="O42" s="195">
        <v>1</v>
      </c>
      <c r="P42" s="45" t="s">
        <v>128</v>
      </c>
      <c r="Q42" s="45" t="s">
        <v>128</v>
      </c>
      <c r="R42" s="45" t="s">
        <v>128</v>
      </c>
      <c r="S42" s="45" t="s">
        <v>128</v>
      </c>
      <c r="T42" s="45" t="s">
        <v>128</v>
      </c>
      <c r="U42" s="45" t="s">
        <v>128</v>
      </c>
      <c r="V42" s="45" t="s">
        <v>128</v>
      </c>
      <c r="W42" s="45" t="s">
        <v>128</v>
      </c>
      <c r="X42" s="45" t="s">
        <v>128</v>
      </c>
      <c r="Y42" s="45" t="s">
        <v>128</v>
      </c>
      <c r="Z42" s="45" t="s">
        <v>128</v>
      </c>
      <c r="AA42" s="45" t="s">
        <v>128</v>
      </c>
      <c r="AB42" s="45" t="s">
        <v>128</v>
      </c>
      <c r="AC42" s="107" t="s">
        <v>128</v>
      </c>
      <c r="AD42" s="107" t="s">
        <v>128</v>
      </c>
      <c r="AE42" s="107" t="s">
        <v>128</v>
      </c>
      <c r="AF42" s="107" t="s">
        <v>128</v>
      </c>
      <c r="AG42" s="107" t="s">
        <v>128</v>
      </c>
      <c r="AH42" s="107" t="s">
        <v>128</v>
      </c>
      <c r="AI42" s="228"/>
      <c r="AJ42" s="140"/>
      <c r="AK42" s="228"/>
      <c r="AL42" s="228"/>
      <c r="AM42" s="228"/>
      <c r="AN42" s="140"/>
      <c r="AO42" s="228"/>
      <c r="AP42" s="228"/>
    </row>
    <row r="43" spans="1:42" s="48" customFormat="1" x14ac:dyDescent="0.15">
      <c r="A43" s="22"/>
      <c r="B43" s="22"/>
      <c r="C43" s="22"/>
      <c r="D43" s="22"/>
      <c r="E43" s="22"/>
      <c r="F43" s="22"/>
      <c r="G43" s="22"/>
      <c r="H43" s="22"/>
      <c r="I43" s="22"/>
      <c r="J43" s="36"/>
      <c r="K43" s="19">
        <v>0</v>
      </c>
      <c r="L43" s="198" t="s">
        <v>128</v>
      </c>
      <c r="M43" s="198" t="s">
        <v>128</v>
      </c>
      <c r="N43" s="197" t="s">
        <v>128</v>
      </c>
      <c r="O43" s="195">
        <v>1</v>
      </c>
      <c r="P43" s="45" t="s">
        <v>128</v>
      </c>
      <c r="Q43" s="45" t="s">
        <v>128</v>
      </c>
      <c r="R43" s="45" t="s">
        <v>128</v>
      </c>
      <c r="S43" s="45" t="s">
        <v>128</v>
      </c>
      <c r="T43" s="45" t="s">
        <v>128</v>
      </c>
      <c r="U43" s="45" t="s">
        <v>128</v>
      </c>
      <c r="V43" s="45" t="s">
        <v>128</v>
      </c>
      <c r="W43" s="45" t="s">
        <v>128</v>
      </c>
      <c r="X43" s="45" t="s">
        <v>128</v>
      </c>
      <c r="Y43" s="45" t="s">
        <v>128</v>
      </c>
      <c r="Z43" s="45" t="s">
        <v>128</v>
      </c>
      <c r="AA43" s="45" t="s">
        <v>128</v>
      </c>
      <c r="AB43" s="45" t="s">
        <v>128</v>
      </c>
      <c r="AC43" s="107" t="s">
        <v>128</v>
      </c>
      <c r="AD43" s="107" t="s">
        <v>128</v>
      </c>
      <c r="AE43" s="107" t="s">
        <v>128</v>
      </c>
      <c r="AF43" s="107" t="s">
        <v>128</v>
      </c>
      <c r="AG43" s="107" t="s">
        <v>128</v>
      </c>
      <c r="AH43" s="107" t="s">
        <v>128</v>
      </c>
      <c r="AI43" s="280"/>
      <c r="AJ43" s="274"/>
      <c r="AK43" s="307"/>
      <c r="AL43" s="308"/>
      <c r="AM43" s="273"/>
      <c r="AN43" s="274"/>
      <c r="AO43" s="274"/>
      <c r="AP43" s="274"/>
    </row>
    <row r="44" spans="1:42" s="48" customFormat="1" x14ac:dyDescent="0.2">
      <c r="A44" s="209"/>
      <c r="B44" s="8"/>
      <c r="C44" s="8"/>
      <c r="D44" s="8"/>
      <c r="E44" s="8"/>
      <c r="F44" s="8"/>
      <c r="G44" s="8"/>
      <c r="H44" s="8"/>
      <c r="I44" s="8"/>
      <c r="J44" s="37"/>
      <c r="K44" s="19">
        <v>0</v>
      </c>
      <c r="L44" s="198" t="s">
        <v>128</v>
      </c>
      <c r="M44" s="198" t="s">
        <v>128</v>
      </c>
      <c r="N44" s="197" t="s">
        <v>128</v>
      </c>
      <c r="O44" s="195">
        <v>1</v>
      </c>
      <c r="P44" s="45" t="s">
        <v>128</v>
      </c>
      <c r="Q44" s="45" t="s">
        <v>128</v>
      </c>
      <c r="R44" s="45" t="s">
        <v>128</v>
      </c>
      <c r="S44" s="45" t="s">
        <v>128</v>
      </c>
      <c r="T44" s="45" t="s">
        <v>128</v>
      </c>
      <c r="U44" s="45" t="s">
        <v>128</v>
      </c>
      <c r="V44" s="45" t="s">
        <v>128</v>
      </c>
      <c r="W44" s="45" t="s">
        <v>128</v>
      </c>
      <c r="X44" s="45" t="s">
        <v>128</v>
      </c>
      <c r="Y44" s="45" t="s">
        <v>128</v>
      </c>
      <c r="Z44" s="45" t="s">
        <v>128</v>
      </c>
      <c r="AA44" s="45" t="s">
        <v>128</v>
      </c>
      <c r="AB44" s="45" t="s">
        <v>128</v>
      </c>
      <c r="AC44" s="107" t="s">
        <v>128</v>
      </c>
      <c r="AD44" s="107" t="s">
        <v>128</v>
      </c>
      <c r="AE44" s="107" t="s">
        <v>128</v>
      </c>
      <c r="AF44" s="107" t="s">
        <v>128</v>
      </c>
      <c r="AG44" s="107" t="s">
        <v>128</v>
      </c>
      <c r="AH44" s="107" t="s">
        <v>128</v>
      </c>
      <c r="AI44" s="228"/>
      <c r="AJ44" s="228"/>
      <c r="AK44" s="228"/>
      <c r="AL44" s="228"/>
      <c r="AM44" s="228"/>
      <c r="AN44" s="228"/>
      <c r="AO44" s="228"/>
      <c r="AP44" s="228"/>
    </row>
    <row r="45" spans="1:42" s="48" customFormat="1" x14ac:dyDescent="0.2">
      <c r="A45" s="22"/>
      <c r="B45" s="22"/>
      <c r="C45" s="22"/>
      <c r="D45" s="22"/>
      <c r="E45" s="22"/>
      <c r="F45" s="22"/>
      <c r="G45" s="22"/>
      <c r="H45" s="22"/>
      <c r="I45" s="22"/>
      <c r="J45" s="36"/>
      <c r="K45" s="19">
        <v>0</v>
      </c>
      <c r="L45" s="198" t="s">
        <v>128</v>
      </c>
      <c r="M45" s="198" t="s">
        <v>128</v>
      </c>
      <c r="N45" s="197" t="s">
        <v>128</v>
      </c>
      <c r="O45" s="195">
        <v>1</v>
      </c>
      <c r="P45" s="45" t="s">
        <v>128</v>
      </c>
      <c r="Q45" s="45" t="s">
        <v>128</v>
      </c>
      <c r="R45" s="45" t="s">
        <v>128</v>
      </c>
      <c r="S45" s="45" t="s">
        <v>128</v>
      </c>
      <c r="T45" s="45" t="s">
        <v>128</v>
      </c>
      <c r="U45" s="45" t="s">
        <v>128</v>
      </c>
      <c r="V45" s="45" t="s">
        <v>128</v>
      </c>
      <c r="W45" s="45" t="s">
        <v>128</v>
      </c>
      <c r="X45" s="45" t="s">
        <v>128</v>
      </c>
      <c r="Y45" s="45" t="s">
        <v>128</v>
      </c>
      <c r="Z45" s="45" t="s">
        <v>128</v>
      </c>
      <c r="AA45" s="45" t="s">
        <v>128</v>
      </c>
      <c r="AB45" s="45" t="s">
        <v>128</v>
      </c>
      <c r="AC45" s="107" t="s">
        <v>128</v>
      </c>
      <c r="AD45" s="107" t="s">
        <v>128</v>
      </c>
      <c r="AE45" s="107" t="s">
        <v>128</v>
      </c>
      <c r="AF45" s="107" t="s">
        <v>128</v>
      </c>
      <c r="AG45" s="107" t="s">
        <v>128</v>
      </c>
      <c r="AH45" s="107" t="s">
        <v>128</v>
      </c>
      <c r="AI45" s="228"/>
      <c r="AJ45" s="228"/>
      <c r="AK45" s="228"/>
      <c r="AL45" s="228"/>
      <c r="AM45" s="228"/>
      <c r="AN45" s="228"/>
      <c r="AO45" s="228"/>
      <c r="AP45" s="228"/>
    </row>
    <row r="46" spans="1:42" s="48" customFormat="1" x14ac:dyDescent="0.2">
      <c r="A46" s="209"/>
      <c r="B46" s="8"/>
      <c r="C46" s="8"/>
      <c r="D46" s="8"/>
      <c r="E46" s="8"/>
      <c r="F46" s="8"/>
      <c r="G46" s="8"/>
      <c r="H46" s="8"/>
      <c r="I46" s="8"/>
      <c r="J46" s="37"/>
      <c r="K46" s="19">
        <v>0</v>
      </c>
      <c r="L46" s="198" t="s">
        <v>128</v>
      </c>
      <c r="M46" s="198" t="s">
        <v>128</v>
      </c>
      <c r="N46" s="197" t="s">
        <v>128</v>
      </c>
      <c r="O46" s="195">
        <v>1</v>
      </c>
      <c r="P46" s="45" t="s">
        <v>128</v>
      </c>
      <c r="Q46" s="45" t="s">
        <v>128</v>
      </c>
      <c r="R46" s="45" t="s">
        <v>128</v>
      </c>
      <c r="S46" s="45" t="s">
        <v>128</v>
      </c>
      <c r="T46" s="45" t="s">
        <v>128</v>
      </c>
      <c r="U46" s="45" t="s">
        <v>128</v>
      </c>
      <c r="V46" s="45" t="s">
        <v>128</v>
      </c>
      <c r="W46" s="45" t="s">
        <v>128</v>
      </c>
      <c r="X46" s="45" t="s">
        <v>128</v>
      </c>
      <c r="Y46" s="45" t="s">
        <v>128</v>
      </c>
      <c r="Z46" s="45" t="s">
        <v>128</v>
      </c>
      <c r="AA46" s="45" t="s">
        <v>128</v>
      </c>
      <c r="AB46" s="45" t="s">
        <v>128</v>
      </c>
      <c r="AC46" s="107" t="s">
        <v>128</v>
      </c>
      <c r="AD46" s="107" t="s">
        <v>128</v>
      </c>
      <c r="AE46" s="107" t="s">
        <v>128</v>
      </c>
      <c r="AF46" s="107" t="s">
        <v>128</v>
      </c>
      <c r="AG46" s="107" t="s">
        <v>128</v>
      </c>
      <c r="AH46" s="107" t="s">
        <v>128</v>
      </c>
      <c r="AI46" s="228"/>
      <c r="AJ46" s="228"/>
      <c r="AK46" s="228"/>
      <c r="AL46" s="228"/>
      <c r="AM46" s="228"/>
      <c r="AN46" s="228"/>
      <c r="AO46" s="228"/>
      <c r="AP46" s="228"/>
    </row>
    <row r="47" spans="1:42" s="48" customFormat="1" x14ac:dyDescent="0.2">
      <c r="A47" s="22"/>
      <c r="B47" s="22"/>
      <c r="C47" s="22"/>
      <c r="D47" s="22"/>
      <c r="E47" s="22"/>
      <c r="F47" s="22"/>
      <c r="G47" s="22"/>
      <c r="H47" s="22"/>
      <c r="I47" s="22"/>
      <c r="J47" s="36"/>
      <c r="K47" s="19">
        <v>0</v>
      </c>
      <c r="L47" s="198" t="s">
        <v>128</v>
      </c>
      <c r="M47" s="198" t="s">
        <v>128</v>
      </c>
      <c r="N47" s="197" t="s">
        <v>128</v>
      </c>
      <c r="O47" s="195">
        <v>1</v>
      </c>
      <c r="P47" s="45" t="s">
        <v>128</v>
      </c>
      <c r="Q47" s="45" t="s">
        <v>128</v>
      </c>
      <c r="R47" s="45" t="s">
        <v>128</v>
      </c>
      <c r="S47" s="45" t="s">
        <v>128</v>
      </c>
      <c r="T47" s="45" t="s">
        <v>128</v>
      </c>
      <c r="U47" s="45" t="s">
        <v>128</v>
      </c>
      <c r="V47" s="45" t="s">
        <v>128</v>
      </c>
      <c r="W47" s="45" t="s">
        <v>128</v>
      </c>
      <c r="X47" s="45" t="s">
        <v>128</v>
      </c>
      <c r="Y47" s="45" t="s">
        <v>128</v>
      </c>
      <c r="Z47" s="45" t="s">
        <v>128</v>
      </c>
      <c r="AA47" s="45" t="s">
        <v>128</v>
      </c>
      <c r="AB47" s="45" t="s">
        <v>128</v>
      </c>
      <c r="AC47" s="107" t="s">
        <v>128</v>
      </c>
      <c r="AD47" s="107" t="s">
        <v>128</v>
      </c>
      <c r="AE47" s="107" t="s">
        <v>128</v>
      </c>
      <c r="AF47" s="107" t="s">
        <v>128</v>
      </c>
      <c r="AG47" s="107" t="s">
        <v>128</v>
      </c>
      <c r="AH47" s="107" t="s">
        <v>128</v>
      </c>
      <c r="AI47" s="228"/>
      <c r="AJ47" s="228"/>
      <c r="AK47" s="228"/>
      <c r="AL47" s="228"/>
      <c r="AM47" s="228"/>
      <c r="AN47" s="228"/>
      <c r="AO47" s="228"/>
      <c r="AP47" s="228"/>
    </row>
    <row r="48" spans="1:42" s="48" customFormat="1" x14ac:dyDescent="0.2">
      <c r="A48" s="209"/>
      <c r="B48" s="8"/>
      <c r="C48" s="8"/>
      <c r="D48" s="8"/>
      <c r="E48" s="8"/>
      <c r="F48" s="8"/>
      <c r="G48" s="8"/>
      <c r="H48" s="8"/>
      <c r="I48" s="8"/>
      <c r="J48" s="37"/>
      <c r="K48" s="19">
        <v>0</v>
      </c>
      <c r="L48" s="198" t="s">
        <v>128</v>
      </c>
      <c r="M48" s="198" t="s">
        <v>128</v>
      </c>
      <c r="N48" s="197" t="s">
        <v>128</v>
      </c>
      <c r="O48" s="195">
        <v>1</v>
      </c>
      <c r="P48" s="45" t="s">
        <v>128</v>
      </c>
      <c r="Q48" s="45" t="s">
        <v>128</v>
      </c>
      <c r="R48" s="45" t="s">
        <v>128</v>
      </c>
      <c r="S48" s="45" t="s">
        <v>128</v>
      </c>
      <c r="T48" s="45" t="s">
        <v>128</v>
      </c>
      <c r="U48" s="45" t="s">
        <v>128</v>
      </c>
      <c r="V48" s="45" t="s">
        <v>128</v>
      </c>
      <c r="W48" s="45" t="s">
        <v>128</v>
      </c>
      <c r="X48" s="45" t="s">
        <v>128</v>
      </c>
      <c r="Y48" s="45" t="s">
        <v>128</v>
      </c>
      <c r="Z48" s="45" t="s">
        <v>128</v>
      </c>
      <c r="AA48" s="45" t="s">
        <v>128</v>
      </c>
      <c r="AB48" s="45" t="s">
        <v>128</v>
      </c>
      <c r="AC48" s="107" t="s">
        <v>128</v>
      </c>
      <c r="AD48" s="107" t="s">
        <v>128</v>
      </c>
      <c r="AE48" s="107" t="s">
        <v>128</v>
      </c>
      <c r="AF48" s="107" t="s">
        <v>128</v>
      </c>
      <c r="AG48" s="107" t="s">
        <v>128</v>
      </c>
      <c r="AH48" s="107" t="s">
        <v>128</v>
      </c>
      <c r="AI48" s="228"/>
      <c r="AJ48" s="228"/>
      <c r="AK48" s="228"/>
      <c r="AL48" s="228"/>
      <c r="AM48" s="228"/>
      <c r="AN48" s="228"/>
      <c r="AO48" s="228"/>
      <c r="AP48" s="228"/>
    </row>
    <row r="49" spans="1:42" s="48" customFormat="1" x14ac:dyDescent="0.2">
      <c r="A49" s="22"/>
      <c r="B49" s="22"/>
      <c r="C49" s="22"/>
      <c r="D49" s="22"/>
      <c r="E49" s="22"/>
      <c r="F49" s="22"/>
      <c r="G49" s="22"/>
      <c r="H49" s="22"/>
      <c r="I49" s="22"/>
      <c r="J49" s="36"/>
      <c r="K49" s="19">
        <v>0</v>
      </c>
      <c r="L49" s="198" t="s">
        <v>128</v>
      </c>
      <c r="M49" s="198" t="s">
        <v>128</v>
      </c>
      <c r="N49" s="197" t="s">
        <v>128</v>
      </c>
      <c r="O49" s="195">
        <v>1</v>
      </c>
      <c r="P49" s="45" t="s">
        <v>128</v>
      </c>
      <c r="Q49" s="45" t="s">
        <v>128</v>
      </c>
      <c r="R49" s="45" t="s">
        <v>128</v>
      </c>
      <c r="S49" s="45" t="s">
        <v>128</v>
      </c>
      <c r="T49" s="45" t="s">
        <v>128</v>
      </c>
      <c r="U49" s="45" t="s">
        <v>128</v>
      </c>
      <c r="V49" s="45" t="s">
        <v>128</v>
      </c>
      <c r="W49" s="45" t="s">
        <v>128</v>
      </c>
      <c r="X49" s="45" t="s">
        <v>128</v>
      </c>
      <c r="Y49" s="45" t="s">
        <v>128</v>
      </c>
      <c r="Z49" s="45" t="s">
        <v>128</v>
      </c>
      <c r="AA49" s="45" t="s">
        <v>128</v>
      </c>
      <c r="AB49" s="45" t="s">
        <v>128</v>
      </c>
      <c r="AC49" s="107" t="s">
        <v>128</v>
      </c>
      <c r="AD49" s="107" t="s">
        <v>128</v>
      </c>
      <c r="AE49" s="107" t="s">
        <v>128</v>
      </c>
      <c r="AF49" s="107" t="s">
        <v>128</v>
      </c>
      <c r="AG49" s="107" t="s">
        <v>128</v>
      </c>
      <c r="AH49" s="107" t="s">
        <v>128</v>
      </c>
      <c r="AI49" s="228"/>
      <c r="AJ49" s="228"/>
      <c r="AK49" s="228"/>
      <c r="AL49" s="228"/>
      <c r="AM49" s="228"/>
      <c r="AN49" s="228"/>
      <c r="AO49" s="228"/>
      <c r="AP49" s="228"/>
    </row>
    <row r="50" spans="1:42" s="48" customFormat="1" x14ac:dyDescent="0.2">
      <c r="A50" s="209"/>
      <c r="B50" s="8"/>
      <c r="C50" s="8"/>
      <c r="D50" s="8"/>
      <c r="E50" s="8"/>
      <c r="F50" s="8"/>
      <c r="G50" s="8"/>
      <c r="H50" s="8"/>
      <c r="I50" s="8"/>
      <c r="J50" s="37"/>
      <c r="K50" s="19">
        <v>0</v>
      </c>
      <c r="L50" s="198" t="s">
        <v>128</v>
      </c>
      <c r="M50" s="198" t="s">
        <v>128</v>
      </c>
      <c r="N50" s="197" t="s">
        <v>128</v>
      </c>
      <c r="O50" s="195">
        <v>1</v>
      </c>
      <c r="P50" s="45" t="s">
        <v>128</v>
      </c>
      <c r="Q50" s="45" t="s">
        <v>128</v>
      </c>
      <c r="R50" s="45" t="s">
        <v>128</v>
      </c>
      <c r="S50" s="45" t="s">
        <v>128</v>
      </c>
      <c r="T50" s="45" t="s">
        <v>128</v>
      </c>
      <c r="U50" s="45" t="s">
        <v>128</v>
      </c>
      <c r="V50" s="45" t="s">
        <v>128</v>
      </c>
      <c r="W50" s="45" t="s">
        <v>128</v>
      </c>
      <c r="X50" s="45" t="s">
        <v>128</v>
      </c>
      <c r="Y50" s="45" t="s">
        <v>128</v>
      </c>
      <c r="Z50" s="45" t="s">
        <v>128</v>
      </c>
      <c r="AA50" s="45" t="s">
        <v>128</v>
      </c>
      <c r="AB50" s="45" t="s">
        <v>128</v>
      </c>
      <c r="AC50" s="107" t="s">
        <v>128</v>
      </c>
      <c r="AD50" s="107" t="s">
        <v>128</v>
      </c>
      <c r="AE50" s="107" t="s">
        <v>128</v>
      </c>
      <c r="AF50" s="107" t="s">
        <v>128</v>
      </c>
      <c r="AG50" s="107" t="s">
        <v>128</v>
      </c>
      <c r="AH50" s="107" t="s">
        <v>128</v>
      </c>
      <c r="AI50" s="228"/>
      <c r="AJ50" s="228"/>
      <c r="AK50" s="228"/>
      <c r="AL50" s="228"/>
      <c r="AM50" s="228"/>
      <c r="AN50" s="228"/>
      <c r="AO50" s="228"/>
      <c r="AP50" s="228"/>
    </row>
    <row r="51" spans="1:42" s="48" customFormat="1" x14ac:dyDescent="0.2">
      <c r="A51" s="22"/>
      <c r="B51" s="22"/>
      <c r="C51" s="22"/>
      <c r="D51" s="22"/>
      <c r="E51" s="22"/>
      <c r="F51" s="22"/>
      <c r="G51" s="22"/>
      <c r="H51" s="22"/>
      <c r="I51" s="22"/>
      <c r="J51" s="36"/>
      <c r="K51" s="19">
        <v>0</v>
      </c>
      <c r="L51" s="198" t="s">
        <v>128</v>
      </c>
      <c r="M51" s="198" t="s">
        <v>128</v>
      </c>
      <c r="N51" s="197" t="s">
        <v>128</v>
      </c>
      <c r="O51" s="195">
        <v>1</v>
      </c>
      <c r="P51" s="45" t="s">
        <v>128</v>
      </c>
      <c r="Q51" s="45" t="s">
        <v>128</v>
      </c>
      <c r="R51" s="45" t="s">
        <v>128</v>
      </c>
      <c r="S51" s="45" t="s">
        <v>128</v>
      </c>
      <c r="T51" s="45" t="s">
        <v>128</v>
      </c>
      <c r="U51" s="45" t="s">
        <v>128</v>
      </c>
      <c r="V51" s="45" t="s">
        <v>128</v>
      </c>
      <c r="W51" s="45" t="s">
        <v>128</v>
      </c>
      <c r="X51" s="45" t="s">
        <v>128</v>
      </c>
      <c r="Y51" s="45" t="s">
        <v>128</v>
      </c>
      <c r="Z51" s="45" t="s">
        <v>128</v>
      </c>
      <c r="AA51" s="45" t="s">
        <v>128</v>
      </c>
      <c r="AB51" s="45" t="s">
        <v>128</v>
      </c>
      <c r="AC51" s="107" t="s">
        <v>128</v>
      </c>
      <c r="AD51" s="107" t="s">
        <v>128</v>
      </c>
      <c r="AE51" s="107" t="s">
        <v>128</v>
      </c>
      <c r="AF51" s="107" t="s">
        <v>128</v>
      </c>
      <c r="AG51" s="107" t="s">
        <v>128</v>
      </c>
      <c r="AH51" s="107" t="s">
        <v>128</v>
      </c>
      <c r="AI51" s="228"/>
      <c r="AJ51" s="228"/>
      <c r="AK51" s="228"/>
      <c r="AL51" s="228"/>
      <c r="AM51" s="228"/>
      <c r="AN51" s="228"/>
      <c r="AO51" s="228"/>
      <c r="AP51" s="228"/>
    </row>
    <row r="52" spans="1:42" s="48" customFormat="1" x14ac:dyDescent="0.2">
      <c r="A52" s="209"/>
      <c r="B52" s="8"/>
      <c r="C52" s="8"/>
      <c r="D52" s="8"/>
      <c r="E52" s="8"/>
      <c r="F52" s="8"/>
      <c r="G52" s="8"/>
      <c r="H52" s="8"/>
      <c r="I52" s="8"/>
      <c r="J52" s="37"/>
      <c r="K52" s="19">
        <v>0</v>
      </c>
      <c r="L52" s="198" t="s">
        <v>128</v>
      </c>
      <c r="M52" s="198" t="s">
        <v>128</v>
      </c>
      <c r="N52" s="197" t="s">
        <v>128</v>
      </c>
      <c r="O52" s="195">
        <v>1</v>
      </c>
      <c r="P52" s="45" t="s">
        <v>128</v>
      </c>
      <c r="Q52" s="45" t="s">
        <v>128</v>
      </c>
      <c r="R52" s="45" t="s">
        <v>128</v>
      </c>
      <c r="S52" s="45" t="s">
        <v>128</v>
      </c>
      <c r="T52" s="45" t="s">
        <v>128</v>
      </c>
      <c r="U52" s="45" t="s">
        <v>128</v>
      </c>
      <c r="V52" s="45" t="s">
        <v>128</v>
      </c>
      <c r="W52" s="45" t="s">
        <v>128</v>
      </c>
      <c r="X52" s="45" t="s">
        <v>128</v>
      </c>
      <c r="Y52" s="45" t="s">
        <v>128</v>
      </c>
      <c r="Z52" s="45" t="s">
        <v>128</v>
      </c>
      <c r="AA52" s="45" t="s">
        <v>128</v>
      </c>
      <c r="AB52" s="45" t="s">
        <v>128</v>
      </c>
      <c r="AC52" s="107" t="s">
        <v>128</v>
      </c>
      <c r="AD52" s="107" t="s">
        <v>128</v>
      </c>
      <c r="AE52" s="107" t="s">
        <v>128</v>
      </c>
      <c r="AF52" s="107" t="s">
        <v>128</v>
      </c>
      <c r="AG52" s="107" t="s">
        <v>128</v>
      </c>
      <c r="AH52" s="107" t="s">
        <v>128</v>
      </c>
      <c r="AI52" s="228"/>
      <c r="AJ52" s="228"/>
      <c r="AK52" s="228"/>
      <c r="AL52" s="228"/>
      <c r="AM52" s="228"/>
      <c r="AN52" s="228"/>
      <c r="AO52" s="228"/>
      <c r="AP52" s="228"/>
    </row>
    <row r="53" spans="1:42" s="48" customFormat="1" x14ac:dyDescent="0.2">
      <c r="A53" s="22"/>
      <c r="B53" s="22"/>
      <c r="C53" s="22"/>
      <c r="D53" s="22"/>
      <c r="E53" s="22"/>
      <c r="F53" s="22"/>
      <c r="G53" s="22"/>
      <c r="H53" s="22"/>
      <c r="I53" s="22"/>
      <c r="J53" s="36"/>
      <c r="K53" s="19">
        <v>0</v>
      </c>
      <c r="L53" s="198" t="s">
        <v>128</v>
      </c>
      <c r="M53" s="198" t="s">
        <v>128</v>
      </c>
      <c r="N53" s="197" t="s">
        <v>128</v>
      </c>
      <c r="O53" s="195">
        <v>1</v>
      </c>
      <c r="P53" s="45" t="s">
        <v>128</v>
      </c>
      <c r="Q53" s="45" t="s">
        <v>128</v>
      </c>
      <c r="R53" s="45" t="s">
        <v>128</v>
      </c>
      <c r="S53" s="45" t="s">
        <v>128</v>
      </c>
      <c r="T53" s="45" t="s">
        <v>128</v>
      </c>
      <c r="U53" s="45" t="s">
        <v>128</v>
      </c>
      <c r="V53" s="45" t="s">
        <v>128</v>
      </c>
      <c r="W53" s="45" t="s">
        <v>128</v>
      </c>
      <c r="X53" s="45" t="s">
        <v>128</v>
      </c>
      <c r="Y53" s="45" t="s">
        <v>128</v>
      </c>
      <c r="Z53" s="45" t="s">
        <v>128</v>
      </c>
      <c r="AA53" s="45" t="s">
        <v>128</v>
      </c>
      <c r="AB53" s="45" t="s">
        <v>128</v>
      </c>
      <c r="AC53" s="107" t="s">
        <v>128</v>
      </c>
      <c r="AD53" s="107" t="s">
        <v>128</v>
      </c>
      <c r="AE53" s="107" t="s">
        <v>128</v>
      </c>
      <c r="AF53" s="107" t="s">
        <v>128</v>
      </c>
      <c r="AG53" s="107" t="s">
        <v>128</v>
      </c>
      <c r="AH53" s="107" t="s">
        <v>128</v>
      </c>
      <c r="AI53" s="228"/>
      <c r="AJ53" s="228"/>
      <c r="AK53" s="228"/>
      <c r="AL53" s="228"/>
      <c r="AM53" s="228"/>
      <c r="AN53" s="228"/>
      <c r="AO53" s="228"/>
      <c r="AP53" s="228"/>
    </row>
    <row r="54" spans="1:42" s="48" customFormat="1" x14ac:dyDescent="0.2">
      <c r="A54" s="209"/>
      <c r="B54" s="8"/>
      <c r="C54" s="8"/>
      <c r="D54" s="8"/>
      <c r="E54" s="8"/>
      <c r="F54" s="8"/>
      <c r="G54" s="8"/>
      <c r="H54" s="8"/>
      <c r="I54" s="8"/>
      <c r="J54" s="37"/>
      <c r="K54" s="19">
        <v>0</v>
      </c>
      <c r="L54" s="198" t="s">
        <v>128</v>
      </c>
      <c r="M54" s="198" t="s">
        <v>128</v>
      </c>
      <c r="N54" s="197" t="s">
        <v>128</v>
      </c>
      <c r="O54" s="195">
        <v>1</v>
      </c>
      <c r="P54" s="45" t="s">
        <v>128</v>
      </c>
      <c r="Q54" s="45" t="s">
        <v>128</v>
      </c>
      <c r="R54" s="45" t="s">
        <v>128</v>
      </c>
      <c r="S54" s="45" t="s">
        <v>128</v>
      </c>
      <c r="T54" s="45" t="s">
        <v>128</v>
      </c>
      <c r="U54" s="45" t="s">
        <v>128</v>
      </c>
      <c r="V54" s="45" t="s">
        <v>128</v>
      </c>
      <c r="W54" s="45" t="s">
        <v>128</v>
      </c>
      <c r="X54" s="45" t="s">
        <v>128</v>
      </c>
      <c r="Y54" s="45" t="s">
        <v>128</v>
      </c>
      <c r="Z54" s="45" t="s">
        <v>128</v>
      </c>
      <c r="AA54" s="45" t="s">
        <v>128</v>
      </c>
      <c r="AB54" s="45" t="s">
        <v>128</v>
      </c>
      <c r="AC54" s="107" t="s">
        <v>128</v>
      </c>
      <c r="AD54" s="107" t="s">
        <v>128</v>
      </c>
      <c r="AE54" s="107" t="s">
        <v>128</v>
      </c>
      <c r="AF54" s="107" t="s">
        <v>128</v>
      </c>
      <c r="AG54" s="107" t="s">
        <v>128</v>
      </c>
      <c r="AH54" s="107" t="s">
        <v>128</v>
      </c>
      <c r="AI54" s="228"/>
      <c r="AJ54" s="228"/>
      <c r="AK54" s="228"/>
      <c r="AL54" s="228"/>
      <c r="AM54" s="228"/>
      <c r="AN54" s="228"/>
      <c r="AO54" s="228"/>
      <c r="AP54" s="228"/>
    </row>
    <row r="55" spans="1:42" s="48" customFormat="1" x14ac:dyDescent="0.2">
      <c r="A55" s="22"/>
      <c r="B55" s="22"/>
      <c r="C55" s="22"/>
      <c r="D55" s="22"/>
      <c r="E55" s="22"/>
      <c r="F55" s="22"/>
      <c r="G55" s="22"/>
      <c r="H55" s="22"/>
      <c r="I55" s="22"/>
      <c r="J55" s="36"/>
      <c r="K55" s="19">
        <v>0</v>
      </c>
      <c r="L55" s="198" t="s">
        <v>128</v>
      </c>
      <c r="M55" s="198" t="s">
        <v>128</v>
      </c>
      <c r="N55" s="197" t="s">
        <v>128</v>
      </c>
      <c r="O55" s="195">
        <v>1</v>
      </c>
      <c r="P55" s="45" t="s">
        <v>128</v>
      </c>
      <c r="Q55" s="45" t="s">
        <v>128</v>
      </c>
      <c r="R55" s="45" t="s">
        <v>128</v>
      </c>
      <c r="S55" s="45" t="s">
        <v>128</v>
      </c>
      <c r="T55" s="45" t="s">
        <v>128</v>
      </c>
      <c r="U55" s="45" t="s">
        <v>128</v>
      </c>
      <c r="V55" s="45" t="s">
        <v>128</v>
      </c>
      <c r="W55" s="45" t="s">
        <v>128</v>
      </c>
      <c r="X55" s="45" t="s">
        <v>128</v>
      </c>
      <c r="Y55" s="45" t="s">
        <v>128</v>
      </c>
      <c r="Z55" s="45" t="s">
        <v>128</v>
      </c>
      <c r="AA55" s="45" t="s">
        <v>128</v>
      </c>
      <c r="AB55" s="45" t="s">
        <v>128</v>
      </c>
      <c r="AC55" s="107" t="s">
        <v>128</v>
      </c>
      <c r="AD55" s="107" t="s">
        <v>128</v>
      </c>
      <c r="AE55" s="107" t="s">
        <v>128</v>
      </c>
      <c r="AF55" s="107" t="s">
        <v>128</v>
      </c>
      <c r="AG55" s="107" t="s">
        <v>128</v>
      </c>
      <c r="AH55" s="107" t="s">
        <v>128</v>
      </c>
      <c r="AI55" s="228"/>
      <c r="AJ55" s="228"/>
      <c r="AK55" s="228"/>
      <c r="AL55" s="228"/>
      <c r="AM55" s="228"/>
      <c r="AN55" s="228"/>
      <c r="AO55" s="228"/>
      <c r="AP55" s="228"/>
    </row>
    <row r="56" spans="1:42" s="48" customFormat="1" x14ac:dyDescent="0.2">
      <c r="A56" s="209"/>
      <c r="B56" s="8"/>
      <c r="C56" s="8"/>
      <c r="D56" s="8"/>
      <c r="E56" s="8"/>
      <c r="F56" s="8"/>
      <c r="G56" s="8"/>
      <c r="H56" s="8"/>
      <c r="I56" s="8"/>
      <c r="J56" s="37"/>
      <c r="K56" s="19">
        <v>0</v>
      </c>
      <c r="L56" s="198" t="s">
        <v>128</v>
      </c>
      <c r="M56" s="198" t="s">
        <v>128</v>
      </c>
      <c r="N56" s="197" t="s">
        <v>128</v>
      </c>
      <c r="O56" s="195">
        <v>1</v>
      </c>
      <c r="P56" s="45" t="s">
        <v>128</v>
      </c>
      <c r="Q56" s="45" t="s">
        <v>128</v>
      </c>
      <c r="R56" s="45" t="s">
        <v>128</v>
      </c>
      <c r="S56" s="45" t="s">
        <v>128</v>
      </c>
      <c r="T56" s="45" t="s">
        <v>128</v>
      </c>
      <c r="U56" s="45" t="s">
        <v>128</v>
      </c>
      <c r="V56" s="45" t="s">
        <v>128</v>
      </c>
      <c r="W56" s="45" t="s">
        <v>128</v>
      </c>
      <c r="X56" s="45" t="s">
        <v>128</v>
      </c>
      <c r="Y56" s="45" t="s">
        <v>128</v>
      </c>
      <c r="Z56" s="45" t="s">
        <v>128</v>
      </c>
      <c r="AA56" s="45" t="s">
        <v>128</v>
      </c>
      <c r="AB56" s="45" t="s">
        <v>128</v>
      </c>
      <c r="AC56" s="107" t="s">
        <v>128</v>
      </c>
      <c r="AD56" s="107" t="s">
        <v>128</v>
      </c>
      <c r="AE56" s="107" t="s">
        <v>128</v>
      </c>
      <c r="AF56" s="107" t="s">
        <v>128</v>
      </c>
      <c r="AG56" s="107" t="s">
        <v>128</v>
      </c>
      <c r="AH56" s="107" t="s">
        <v>128</v>
      </c>
      <c r="AI56" s="228"/>
      <c r="AJ56" s="228"/>
      <c r="AK56" s="228"/>
      <c r="AL56" s="228"/>
      <c r="AM56" s="228"/>
      <c r="AN56" s="228"/>
      <c r="AO56" s="228"/>
      <c r="AP56" s="228"/>
    </row>
    <row r="57" spans="1:42" s="48" customFormat="1" x14ac:dyDescent="0.2">
      <c r="A57" s="22"/>
      <c r="B57" s="22"/>
      <c r="C57" s="22"/>
      <c r="D57" s="22"/>
      <c r="E57" s="22"/>
      <c r="F57" s="22"/>
      <c r="G57" s="22"/>
      <c r="H57" s="22"/>
      <c r="I57" s="22"/>
      <c r="J57" s="36"/>
      <c r="K57" s="19">
        <v>0</v>
      </c>
      <c r="L57" s="198" t="s">
        <v>128</v>
      </c>
      <c r="M57" s="198" t="s">
        <v>128</v>
      </c>
      <c r="N57" s="197" t="s">
        <v>128</v>
      </c>
      <c r="O57" s="195">
        <v>1</v>
      </c>
      <c r="P57" s="45" t="s">
        <v>128</v>
      </c>
      <c r="Q57" s="45" t="s">
        <v>128</v>
      </c>
      <c r="R57" s="45" t="s">
        <v>128</v>
      </c>
      <c r="S57" s="45" t="s">
        <v>128</v>
      </c>
      <c r="T57" s="45" t="s">
        <v>128</v>
      </c>
      <c r="U57" s="45" t="s">
        <v>128</v>
      </c>
      <c r="V57" s="45" t="s">
        <v>128</v>
      </c>
      <c r="W57" s="45" t="s">
        <v>128</v>
      </c>
      <c r="X57" s="45" t="s">
        <v>128</v>
      </c>
      <c r="Y57" s="45" t="s">
        <v>128</v>
      </c>
      <c r="Z57" s="45" t="s">
        <v>128</v>
      </c>
      <c r="AA57" s="45" t="s">
        <v>128</v>
      </c>
      <c r="AB57" s="45" t="s">
        <v>128</v>
      </c>
      <c r="AC57" s="107" t="s">
        <v>128</v>
      </c>
      <c r="AD57" s="107" t="s">
        <v>128</v>
      </c>
      <c r="AE57" s="107" t="s">
        <v>128</v>
      </c>
      <c r="AF57" s="107" t="s">
        <v>128</v>
      </c>
      <c r="AG57" s="107" t="s">
        <v>128</v>
      </c>
      <c r="AH57" s="107" t="s">
        <v>128</v>
      </c>
      <c r="AI57" s="228"/>
      <c r="AJ57" s="228"/>
      <c r="AK57" s="228"/>
      <c r="AL57" s="228"/>
      <c r="AM57" s="228"/>
      <c r="AN57" s="228"/>
      <c r="AO57" s="228"/>
      <c r="AP57" s="228"/>
    </row>
    <row r="58" spans="1:42" s="48" customFormat="1" x14ac:dyDescent="0.2">
      <c r="A58" s="209"/>
      <c r="B58" s="8"/>
      <c r="C58" s="8"/>
      <c r="D58" s="8"/>
      <c r="E58" s="8"/>
      <c r="F58" s="8"/>
      <c r="G58" s="8"/>
      <c r="H58" s="8"/>
      <c r="I58" s="8"/>
      <c r="J58" s="37"/>
      <c r="K58" s="19">
        <v>0</v>
      </c>
      <c r="L58" s="198" t="s">
        <v>128</v>
      </c>
      <c r="M58" s="198" t="s">
        <v>128</v>
      </c>
      <c r="N58" s="197" t="s">
        <v>128</v>
      </c>
      <c r="O58" s="195">
        <v>1</v>
      </c>
      <c r="P58" s="45" t="s">
        <v>128</v>
      </c>
      <c r="Q58" s="45" t="s">
        <v>128</v>
      </c>
      <c r="R58" s="45" t="s">
        <v>128</v>
      </c>
      <c r="S58" s="45" t="s">
        <v>128</v>
      </c>
      <c r="T58" s="45" t="s">
        <v>128</v>
      </c>
      <c r="U58" s="45" t="s">
        <v>128</v>
      </c>
      <c r="V58" s="45" t="s">
        <v>128</v>
      </c>
      <c r="W58" s="45" t="s">
        <v>128</v>
      </c>
      <c r="X58" s="45" t="s">
        <v>128</v>
      </c>
      <c r="Y58" s="45" t="s">
        <v>128</v>
      </c>
      <c r="Z58" s="45" t="s">
        <v>128</v>
      </c>
      <c r="AA58" s="45" t="s">
        <v>128</v>
      </c>
      <c r="AB58" s="45" t="s">
        <v>128</v>
      </c>
      <c r="AC58" s="107" t="s">
        <v>128</v>
      </c>
      <c r="AD58" s="107" t="s">
        <v>128</v>
      </c>
      <c r="AE58" s="107" t="s">
        <v>128</v>
      </c>
      <c r="AF58" s="107" t="s">
        <v>128</v>
      </c>
      <c r="AG58" s="107" t="s">
        <v>128</v>
      </c>
      <c r="AH58" s="107" t="s">
        <v>128</v>
      </c>
      <c r="AI58" s="228"/>
      <c r="AJ58" s="228"/>
      <c r="AK58" s="228"/>
      <c r="AL58" s="228"/>
      <c r="AM58" s="228"/>
      <c r="AN58" s="228"/>
      <c r="AO58" s="228"/>
      <c r="AP58" s="228"/>
    </row>
    <row r="59" spans="1:42" s="48" customFormat="1" x14ac:dyDescent="0.2">
      <c r="A59" s="22"/>
      <c r="B59" s="22"/>
      <c r="C59" s="22"/>
      <c r="D59" s="22"/>
      <c r="E59" s="22"/>
      <c r="F59" s="22"/>
      <c r="G59" s="22"/>
      <c r="H59" s="22"/>
      <c r="I59" s="22"/>
      <c r="J59" s="36"/>
      <c r="K59" s="19">
        <v>0</v>
      </c>
      <c r="L59" s="198" t="s">
        <v>128</v>
      </c>
      <c r="M59" s="198" t="s">
        <v>128</v>
      </c>
      <c r="N59" s="197" t="s">
        <v>128</v>
      </c>
      <c r="O59" s="195">
        <v>1</v>
      </c>
      <c r="P59" s="45" t="s">
        <v>128</v>
      </c>
      <c r="Q59" s="45" t="s">
        <v>128</v>
      </c>
      <c r="R59" s="45" t="s">
        <v>128</v>
      </c>
      <c r="S59" s="45" t="s">
        <v>128</v>
      </c>
      <c r="T59" s="45" t="s">
        <v>128</v>
      </c>
      <c r="U59" s="45" t="s">
        <v>128</v>
      </c>
      <c r="V59" s="45" t="s">
        <v>128</v>
      </c>
      <c r="W59" s="45" t="s">
        <v>128</v>
      </c>
      <c r="X59" s="45" t="s">
        <v>128</v>
      </c>
      <c r="Y59" s="45" t="s">
        <v>128</v>
      </c>
      <c r="Z59" s="45" t="s">
        <v>128</v>
      </c>
      <c r="AA59" s="45" t="s">
        <v>128</v>
      </c>
      <c r="AB59" s="45" t="s">
        <v>128</v>
      </c>
      <c r="AC59" s="107" t="s">
        <v>128</v>
      </c>
      <c r="AD59" s="107" t="s">
        <v>128</v>
      </c>
      <c r="AE59" s="107" t="s">
        <v>128</v>
      </c>
      <c r="AF59" s="107" t="s">
        <v>128</v>
      </c>
      <c r="AG59" s="107" t="s">
        <v>128</v>
      </c>
      <c r="AH59" s="107" t="s">
        <v>128</v>
      </c>
      <c r="AI59" s="228"/>
      <c r="AJ59" s="228"/>
      <c r="AK59" s="228"/>
      <c r="AL59" s="228"/>
      <c r="AM59" s="228"/>
      <c r="AN59" s="228"/>
      <c r="AO59" s="228"/>
      <c r="AP59" s="228"/>
    </row>
    <row r="60" spans="1:42" s="48" customFormat="1" x14ac:dyDescent="0.2">
      <c r="A60" s="209"/>
      <c r="B60" s="8"/>
      <c r="C60" s="8"/>
      <c r="D60" s="8"/>
      <c r="E60" s="8"/>
      <c r="F60" s="8"/>
      <c r="G60" s="8"/>
      <c r="H60" s="8"/>
      <c r="I60" s="8"/>
      <c r="J60" s="37"/>
      <c r="K60" s="19">
        <v>0</v>
      </c>
      <c r="L60" s="198" t="s">
        <v>128</v>
      </c>
      <c r="M60" s="198" t="s">
        <v>128</v>
      </c>
      <c r="N60" s="197" t="s">
        <v>128</v>
      </c>
      <c r="O60" s="195">
        <v>1</v>
      </c>
      <c r="P60" s="45" t="s">
        <v>128</v>
      </c>
      <c r="Q60" s="45" t="s">
        <v>128</v>
      </c>
      <c r="R60" s="45" t="s">
        <v>128</v>
      </c>
      <c r="S60" s="45" t="s">
        <v>128</v>
      </c>
      <c r="T60" s="45" t="s">
        <v>128</v>
      </c>
      <c r="U60" s="45" t="s">
        <v>128</v>
      </c>
      <c r="V60" s="45" t="s">
        <v>128</v>
      </c>
      <c r="W60" s="45" t="s">
        <v>128</v>
      </c>
      <c r="X60" s="45" t="s">
        <v>128</v>
      </c>
      <c r="Y60" s="45" t="s">
        <v>128</v>
      </c>
      <c r="Z60" s="45" t="s">
        <v>128</v>
      </c>
      <c r="AA60" s="45" t="s">
        <v>128</v>
      </c>
      <c r="AB60" s="45" t="s">
        <v>128</v>
      </c>
      <c r="AC60" s="107" t="s">
        <v>128</v>
      </c>
      <c r="AD60" s="107" t="s">
        <v>128</v>
      </c>
      <c r="AE60" s="107" t="s">
        <v>128</v>
      </c>
      <c r="AF60" s="107" t="s">
        <v>128</v>
      </c>
      <c r="AG60" s="107" t="s">
        <v>128</v>
      </c>
      <c r="AH60" s="107" t="s">
        <v>128</v>
      </c>
      <c r="AI60" s="228"/>
      <c r="AJ60" s="228"/>
      <c r="AK60" s="228"/>
      <c r="AL60" s="228"/>
      <c r="AM60" s="228"/>
      <c r="AN60" s="228"/>
      <c r="AO60" s="228"/>
      <c r="AP60" s="228"/>
    </row>
    <row r="61" spans="1:42" s="48" customFormat="1" x14ac:dyDescent="0.2">
      <c r="A61" s="22"/>
      <c r="B61" s="22"/>
      <c r="C61" s="22"/>
      <c r="D61" s="22"/>
      <c r="E61" s="22"/>
      <c r="F61" s="22"/>
      <c r="G61" s="22"/>
      <c r="H61" s="22"/>
      <c r="I61" s="22"/>
      <c r="J61" s="36"/>
      <c r="K61" s="19">
        <v>0</v>
      </c>
      <c r="L61" s="198" t="s">
        <v>128</v>
      </c>
      <c r="M61" s="198" t="s">
        <v>128</v>
      </c>
      <c r="N61" s="197" t="s">
        <v>128</v>
      </c>
      <c r="O61" s="195">
        <v>1</v>
      </c>
      <c r="P61" s="45" t="s">
        <v>128</v>
      </c>
      <c r="Q61" s="45" t="s">
        <v>128</v>
      </c>
      <c r="R61" s="45" t="s">
        <v>128</v>
      </c>
      <c r="S61" s="45" t="s">
        <v>128</v>
      </c>
      <c r="T61" s="45" t="s">
        <v>128</v>
      </c>
      <c r="U61" s="45" t="s">
        <v>128</v>
      </c>
      <c r="V61" s="45" t="s">
        <v>128</v>
      </c>
      <c r="W61" s="45" t="s">
        <v>128</v>
      </c>
      <c r="X61" s="45" t="s">
        <v>128</v>
      </c>
      <c r="Y61" s="45" t="s">
        <v>128</v>
      </c>
      <c r="Z61" s="45" t="s">
        <v>128</v>
      </c>
      <c r="AA61" s="45" t="s">
        <v>128</v>
      </c>
      <c r="AB61" s="45" t="s">
        <v>128</v>
      </c>
      <c r="AC61" s="107" t="s">
        <v>128</v>
      </c>
      <c r="AD61" s="107" t="s">
        <v>128</v>
      </c>
      <c r="AE61" s="107" t="s">
        <v>128</v>
      </c>
      <c r="AF61" s="107" t="s">
        <v>128</v>
      </c>
      <c r="AG61" s="107" t="s">
        <v>128</v>
      </c>
      <c r="AH61" s="107" t="s">
        <v>128</v>
      </c>
      <c r="AI61" s="228"/>
      <c r="AJ61" s="228"/>
      <c r="AK61" s="228"/>
      <c r="AL61" s="228"/>
      <c r="AM61" s="228"/>
      <c r="AN61" s="228"/>
      <c r="AO61" s="228"/>
      <c r="AP61" s="228"/>
    </row>
    <row r="62" spans="1:42" x14ac:dyDescent="0.2">
      <c r="A62" s="209"/>
      <c r="C62" s="8"/>
      <c r="D62" s="8"/>
      <c r="E62" s="8"/>
      <c r="F62" s="8"/>
      <c r="G62" s="8"/>
      <c r="H62" s="8"/>
      <c r="I62" s="8"/>
      <c r="J62" s="37"/>
      <c r="K62" s="19"/>
      <c r="L62" s="33"/>
      <c r="M62" s="19"/>
      <c r="N62"/>
      <c r="O62"/>
      <c r="P62"/>
      <c r="Q62"/>
      <c r="R62"/>
      <c r="S62"/>
      <c r="T62"/>
      <c r="U62"/>
      <c r="V62"/>
      <c r="W62"/>
      <c r="X62"/>
      <c r="Y62"/>
      <c r="Z62"/>
      <c r="AA62"/>
      <c r="AB62"/>
      <c r="AC62"/>
    </row>
    <row r="63" spans="1:42" s="8" customFormat="1" x14ac:dyDescent="0.2">
      <c r="C63" s="366" t="s">
        <v>83</v>
      </c>
      <c r="D63" s="366"/>
      <c r="E63" s="43" t="s">
        <v>4</v>
      </c>
      <c r="F63" s="1"/>
      <c r="G63" s="1"/>
      <c r="H63" s="285" t="s">
        <v>741</v>
      </c>
      <c r="I63" s="30">
        <f>SUM(O2:O61)</f>
        <v>60</v>
      </c>
      <c r="J63" s="20">
        <f>SUM(J2:J61)</f>
        <v>0</v>
      </c>
      <c r="K63" s="24">
        <f>SUM(P63:AH63)</f>
        <v>1</v>
      </c>
      <c r="L63" s="1"/>
      <c r="M63" s="1"/>
      <c r="N63" s="21"/>
      <c r="P63" s="271">
        <v>0.03</v>
      </c>
      <c r="Q63" s="209"/>
      <c r="R63" s="271">
        <v>0.1</v>
      </c>
      <c r="S63" s="209"/>
      <c r="T63" s="436">
        <v>0.3</v>
      </c>
      <c r="U63" s="438"/>
      <c r="V63" s="438"/>
      <c r="W63" s="436">
        <v>0.3</v>
      </c>
      <c r="X63" s="438"/>
      <c r="Y63" s="438"/>
      <c r="Z63" s="436">
        <v>0.1</v>
      </c>
      <c r="AA63" s="438"/>
      <c r="AB63" s="438"/>
      <c r="AC63" s="436">
        <v>0.12</v>
      </c>
      <c r="AD63" s="438"/>
      <c r="AE63" s="438"/>
      <c r="AF63" s="436">
        <v>0.05</v>
      </c>
      <c r="AG63" s="438"/>
      <c r="AH63" s="438"/>
    </row>
    <row r="64" spans="1:42" x14ac:dyDescent="0.2">
      <c r="C64" s="23" t="s">
        <v>24</v>
      </c>
      <c r="D64" s="8">
        <f t="shared" ref="D64:D70" si="0">SUMIF($E$2:$E$61,C64,$O$2:$O$61)</f>
        <v>0</v>
      </c>
      <c r="E64" s="23" t="s">
        <v>29</v>
      </c>
      <c r="F64" s="8">
        <f>SUMIF($C$2:$C$61,E64,$O$2:$O$61)</f>
        <v>0</v>
      </c>
      <c r="M64" s="360" t="s">
        <v>406</v>
      </c>
      <c r="N64" s="360"/>
      <c r="O64" s="360"/>
    </row>
    <row r="65" spans="1:32" s="8" customFormat="1" x14ac:dyDescent="0.2">
      <c r="C65" s="23" t="s">
        <v>66</v>
      </c>
      <c r="D65" s="8">
        <f t="shared" si="0"/>
        <v>0</v>
      </c>
      <c r="E65" s="23" t="s">
        <v>22</v>
      </c>
      <c r="F65" s="8">
        <f t="shared" ref="F65:F66" si="1">SUMIF($C$2:$C$61,E65,$O$2:$O$61)</f>
        <v>0</v>
      </c>
      <c r="G65" s="1"/>
      <c r="H65" s="348" t="s">
        <v>75</v>
      </c>
      <c r="I65" s="348"/>
      <c r="J65" s="20">
        <f>SUMIF(K2:K61,K65,J2:J61)</f>
        <v>0</v>
      </c>
      <c r="K65" s="24">
        <v>1</v>
      </c>
      <c r="L65" s="1"/>
      <c r="M65" s="48"/>
      <c r="N65" s="43">
        <f>SUMIF($K$2:$K$61,K65,$O$2:$O$61)</f>
        <v>0</v>
      </c>
      <c r="O65" s="43"/>
      <c r="P65" s="1"/>
      <c r="Q65" s="1"/>
      <c r="R65" s="1"/>
      <c r="S65" s="1"/>
      <c r="T65" s="1"/>
      <c r="U65" s="1"/>
      <c r="V65" s="1"/>
      <c r="W65" s="1"/>
      <c r="X65" s="1"/>
      <c r="Y65" s="1"/>
      <c r="Z65" s="1"/>
      <c r="AA65" s="1"/>
      <c r="AB65" s="1"/>
      <c r="AC65" s="1"/>
      <c r="AD65" s="43"/>
      <c r="AE65" s="43"/>
      <c r="AF65" s="43"/>
    </row>
    <row r="66" spans="1:32" s="8" customFormat="1" x14ac:dyDescent="0.2">
      <c r="C66" s="1" t="s">
        <v>34</v>
      </c>
      <c r="D66" s="8">
        <f t="shared" si="0"/>
        <v>0</v>
      </c>
      <c r="E66" s="1" t="s">
        <v>735</v>
      </c>
      <c r="F66" s="8">
        <f t="shared" si="1"/>
        <v>0</v>
      </c>
      <c r="G66" s="1"/>
      <c r="H66" s="1" t="s">
        <v>76</v>
      </c>
      <c r="I66" s="39" t="s">
        <v>734</v>
      </c>
      <c r="J66" s="20">
        <f>SUMIF($L$2:$L$61,K66,$J$2:$J$61)</f>
        <v>0</v>
      </c>
      <c r="K66" s="25">
        <v>1</v>
      </c>
      <c r="L66" s="1"/>
      <c r="M66" s="1"/>
      <c r="N66" s="21"/>
      <c r="P66" s="1"/>
      <c r="Q66" s="1"/>
      <c r="R66" s="1"/>
      <c r="S66" s="1"/>
      <c r="T66" s="1"/>
      <c r="U66" s="1"/>
      <c r="V66" s="1"/>
      <c r="W66" s="1"/>
      <c r="X66" s="1"/>
      <c r="Y66" s="1"/>
      <c r="Z66" s="1"/>
      <c r="AA66" s="1"/>
      <c r="AB66" s="1"/>
      <c r="AC66" s="1"/>
      <c r="AD66" s="43"/>
      <c r="AE66" s="43"/>
      <c r="AF66" s="43"/>
    </row>
    <row r="67" spans="1:32" s="8" customFormat="1" x14ac:dyDescent="0.2">
      <c r="C67" s="23" t="s">
        <v>31</v>
      </c>
      <c r="D67" s="8">
        <f t="shared" si="0"/>
        <v>0</v>
      </c>
      <c r="E67" s="1"/>
      <c r="F67" s="1"/>
      <c r="G67" s="1"/>
      <c r="H67" s="1" t="s">
        <v>76</v>
      </c>
      <c r="I67" s="39" t="s">
        <v>742</v>
      </c>
      <c r="J67" s="20">
        <f>SUMIF($L$2:$L$61,K67,$J$2:$J$61)</f>
        <v>0</v>
      </c>
      <c r="K67" s="25">
        <v>2</v>
      </c>
      <c r="L67" s="1"/>
      <c r="M67" s="1"/>
      <c r="N67" s="21"/>
      <c r="P67" s="1"/>
      <c r="Q67" s="1"/>
      <c r="R67" s="1"/>
      <c r="S67" s="1"/>
      <c r="T67" s="1"/>
      <c r="U67" s="1"/>
      <c r="V67" s="1"/>
      <c r="W67" s="1"/>
      <c r="X67" s="1"/>
      <c r="Y67" s="1"/>
      <c r="Z67" s="1"/>
      <c r="AA67" s="1"/>
      <c r="AB67" s="1"/>
      <c r="AC67" s="1"/>
      <c r="AD67" s="43"/>
      <c r="AE67" s="43"/>
      <c r="AF67" s="43"/>
    </row>
    <row r="68" spans="1:32" s="8" customFormat="1" x14ac:dyDescent="0.2">
      <c r="C68" s="23" t="s">
        <v>85</v>
      </c>
      <c r="D68" s="8">
        <f t="shared" si="0"/>
        <v>0</v>
      </c>
      <c r="E68" s="1"/>
      <c r="F68" s="1"/>
      <c r="G68" s="1"/>
      <c r="H68" s="1" t="s">
        <v>76</v>
      </c>
      <c r="I68" s="39" t="s">
        <v>743</v>
      </c>
      <c r="J68" s="20">
        <f>SUMIF($L$2:$L$61,K68,$J$2:$J$61)</f>
        <v>0</v>
      </c>
      <c r="K68" s="25">
        <v>3</v>
      </c>
      <c r="L68" s="1"/>
      <c r="M68" s="1"/>
      <c r="N68" s="21"/>
      <c r="P68" s="1"/>
      <c r="Q68" s="1"/>
      <c r="R68" s="1"/>
      <c r="S68" s="1"/>
      <c r="T68" s="1"/>
      <c r="U68" s="1"/>
      <c r="V68" s="1"/>
      <c r="W68" s="1"/>
      <c r="X68" s="1"/>
      <c r="Y68" s="1"/>
      <c r="Z68" s="1"/>
      <c r="AA68" s="1"/>
      <c r="AB68" s="1"/>
      <c r="AC68" s="1"/>
      <c r="AD68" s="43"/>
      <c r="AE68" s="43"/>
      <c r="AF68" s="43"/>
    </row>
    <row r="69" spans="1:32" s="8" customFormat="1" x14ac:dyDescent="0.2">
      <c r="C69" s="23" t="s">
        <v>46</v>
      </c>
      <c r="D69" s="8">
        <f t="shared" si="0"/>
        <v>0</v>
      </c>
      <c r="E69" s="1"/>
      <c r="F69" s="1"/>
      <c r="G69" s="1"/>
      <c r="H69" s="1" t="s">
        <v>76</v>
      </c>
      <c r="I69" s="39" t="s">
        <v>744</v>
      </c>
      <c r="J69" s="20">
        <f>SUMIF($L$2:$L$61,K69,$J$2:$J$61)</f>
        <v>0</v>
      </c>
      <c r="K69" s="25">
        <v>4</v>
      </c>
      <c r="L69" s="1"/>
      <c r="M69" s="1"/>
      <c r="N69" s="21"/>
      <c r="P69" s="1"/>
      <c r="Q69" s="1"/>
      <c r="R69" s="1"/>
      <c r="S69" s="1"/>
      <c r="T69" s="1"/>
      <c r="U69" s="1"/>
      <c r="V69" s="1"/>
      <c r="W69" s="1"/>
      <c r="X69" s="1"/>
      <c r="Y69" s="1"/>
      <c r="Z69" s="1"/>
      <c r="AA69" s="1"/>
      <c r="AB69" s="1"/>
      <c r="AC69" s="1"/>
      <c r="AD69" s="43"/>
      <c r="AE69" s="43"/>
      <c r="AF69" s="43"/>
    </row>
    <row r="70" spans="1:32" x14ac:dyDescent="0.2">
      <c r="C70" s="23" t="s">
        <v>38</v>
      </c>
      <c r="D70" s="8">
        <f t="shared" si="0"/>
        <v>0</v>
      </c>
      <c r="H70" s="1" t="s">
        <v>76</v>
      </c>
      <c r="I70" s="39" t="s">
        <v>745</v>
      </c>
      <c r="J70" s="20">
        <f>SUMIF($L$2:$L$61,K70,$J$2:$J$61)</f>
        <v>0</v>
      </c>
      <c r="K70" s="25">
        <v>5</v>
      </c>
    </row>
    <row r="72" spans="1:32" x14ac:dyDescent="0.2">
      <c r="C72" s="23"/>
      <c r="D72" s="8"/>
    </row>
    <row r="73" spans="1:32" x14ac:dyDescent="0.2">
      <c r="L73" s="33"/>
    </row>
    <row r="74" spans="1:32" x14ac:dyDescent="0.2">
      <c r="C74" s="3" t="s">
        <v>157</v>
      </c>
      <c r="D74" s="8">
        <f>SUM(D64:D73)</f>
        <v>0</v>
      </c>
      <c r="E74" s="3" t="s">
        <v>157</v>
      </c>
      <c r="F74" s="8">
        <f>SUM(F64:F73)</f>
        <v>0</v>
      </c>
    </row>
    <row r="75" spans="1:32" s="57" customFormat="1" ht="29.25" customHeight="1" x14ac:dyDescent="0.2">
      <c r="A75" s="383" t="s">
        <v>158</v>
      </c>
      <c r="B75" s="383"/>
      <c r="C75" s="383"/>
      <c r="I75" s="58" t="s">
        <v>159</v>
      </c>
      <c r="J75" s="58" t="s">
        <v>160</v>
      </c>
      <c r="N75" s="59"/>
      <c r="O75" s="7"/>
      <c r="AD75" s="60"/>
      <c r="AE75" s="60"/>
      <c r="AF75" s="60"/>
    </row>
    <row r="76" spans="1:32" x14ac:dyDescent="0.2">
      <c r="A76" s="286">
        <v>44896</v>
      </c>
      <c r="B76" s="287" t="s">
        <v>163</v>
      </c>
      <c r="C76" s="353"/>
      <c r="D76" s="353"/>
      <c r="E76" s="353"/>
      <c r="F76" s="353"/>
      <c r="G76" s="353"/>
      <c r="H76" s="353"/>
      <c r="I76" s="51"/>
      <c r="J76" s="51"/>
    </row>
    <row r="77" spans="1:32" x14ac:dyDescent="0.2">
      <c r="A77" s="49">
        <f>+A76+1</f>
        <v>44897</v>
      </c>
      <c r="B77" s="50" t="s">
        <v>164</v>
      </c>
      <c r="C77" s="353"/>
      <c r="D77" s="353"/>
      <c r="E77" s="353"/>
      <c r="F77" s="353"/>
      <c r="G77" s="353"/>
      <c r="H77" s="353"/>
      <c r="I77" s="51"/>
      <c r="J77" s="51"/>
    </row>
    <row r="78" spans="1:32" x14ac:dyDescent="0.2">
      <c r="A78" s="49">
        <f t="shared" ref="A78:A106" si="2">+A77+1</f>
        <v>44898</v>
      </c>
      <c r="B78" s="50" t="s">
        <v>165</v>
      </c>
      <c r="C78" s="353"/>
      <c r="D78" s="353"/>
      <c r="E78" s="353"/>
      <c r="F78" s="353"/>
      <c r="G78" s="353"/>
      <c r="H78" s="353"/>
      <c r="I78" s="51"/>
      <c r="J78" s="51"/>
    </row>
    <row r="79" spans="1:32" x14ac:dyDescent="0.2">
      <c r="A79" s="49">
        <f t="shared" si="2"/>
        <v>44899</v>
      </c>
      <c r="B79" s="50" t="s">
        <v>166</v>
      </c>
      <c r="C79" s="353"/>
      <c r="D79" s="353"/>
      <c r="E79" s="353"/>
      <c r="F79" s="353"/>
      <c r="G79" s="353"/>
      <c r="H79" s="353"/>
      <c r="I79" s="51"/>
      <c r="J79" s="51"/>
    </row>
    <row r="80" spans="1:32" x14ac:dyDescent="0.2">
      <c r="A80" s="49">
        <f t="shared" si="2"/>
        <v>44900</v>
      </c>
      <c r="B80" s="50" t="s">
        <v>167</v>
      </c>
      <c r="C80" s="353"/>
      <c r="D80" s="353"/>
      <c r="E80" s="353"/>
      <c r="F80" s="353"/>
      <c r="G80" s="353"/>
      <c r="H80" s="353"/>
      <c r="I80" s="51"/>
      <c r="J80" s="51"/>
    </row>
    <row r="81" spans="1:10" x14ac:dyDescent="0.2">
      <c r="A81" s="49">
        <f t="shared" si="2"/>
        <v>44901</v>
      </c>
      <c r="B81" s="50" t="s">
        <v>161</v>
      </c>
      <c r="C81" s="353"/>
      <c r="D81" s="353"/>
      <c r="E81" s="353"/>
      <c r="F81" s="353"/>
      <c r="G81" s="353"/>
      <c r="H81" s="353"/>
      <c r="I81" s="51"/>
      <c r="J81" s="51"/>
    </row>
    <row r="82" spans="1:10" x14ac:dyDescent="0.2">
      <c r="A82" s="49">
        <f t="shared" si="2"/>
        <v>44902</v>
      </c>
      <c r="B82" s="50" t="s">
        <v>162</v>
      </c>
      <c r="C82" s="353"/>
      <c r="D82" s="353"/>
      <c r="E82" s="353"/>
      <c r="F82" s="353"/>
      <c r="G82" s="353"/>
      <c r="H82" s="353"/>
      <c r="I82" s="51"/>
      <c r="J82" s="51"/>
    </row>
    <row r="83" spans="1:10" x14ac:dyDescent="0.2">
      <c r="A83" s="61">
        <f t="shared" si="2"/>
        <v>44903</v>
      </c>
      <c r="B83" s="62" t="s">
        <v>163</v>
      </c>
      <c r="C83" s="429"/>
      <c r="D83" s="429"/>
      <c r="E83" s="429"/>
      <c r="F83" s="429"/>
      <c r="G83" s="429"/>
      <c r="H83" s="429"/>
      <c r="I83" s="63"/>
      <c r="J83" s="63"/>
    </row>
    <row r="84" spans="1:10" x14ac:dyDescent="0.2">
      <c r="A84" s="49">
        <f t="shared" si="2"/>
        <v>44904</v>
      </c>
      <c r="B84" s="50" t="s">
        <v>164</v>
      </c>
      <c r="C84" s="353"/>
      <c r="D84" s="353"/>
      <c r="E84" s="353"/>
      <c r="F84" s="353"/>
      <c r="G84" s="353"/>
      <c r="H84" s="353"/>
      <c r="I84" s="51"/>
      <c r="J84" s="51"/>
    </row>
    <row r="85" spans="1:10" x14ac:dyDescent="0.2">
      <c r="A85" s="49">
        <f t="shared" si="2"/>
        <v>44905</v>
      </c>
      <c r="B85" s="50" t="s">
        <v>165</v>
      </c>
      <c r="C85" s="353"/>
      <c r="D85" s="353"/>
      <c r="E85" s="353"/>
      <c r="F85" s="353"/>
      <c r="G85" s="353"/>
      <c r="H85" s="353"/>
      <c r="I85" s="51"/>
      <c r="J85" s="51"/>
    </row>
    <row r="86" spans="1:10" x14ac:dyDescent="0.2">
      <c r="A86" s="49">
        <f t="shared" si="2"/>
        <v>44906</v>
      </c>
      <c r="B86" s="50" t="s">
        <v>166</v>
      </c>
      <c r="C86" s="353"/>
      <c r="D86" s="353"/>
      <c r="E86" s="353"/>
      <c r="F86" s="353"/>
      <c r="G86" s="353"/>
      <c r="H86" s="353"/>
      <c r="I86" s="51"/>
      <c r="J86" s="51"/>
    </row>
    <row r="87" spans="1:10" x14ac:dyDescent="0.2">
      <c r="A87" s="49">
        <f t="shared" si="2"/>
        <v>44907</v>
      </c>
      <c r="B87" s="50" t="s">
        <v>167</v>
      </c>
      <c r="C87" s="353"/>
      <c r="D87" s="353"/>
      <c r="E87" s="353"/>
      <c r="F87" s="353"/>
      <c r="G87" s="353"/>
      <c r="H87" s="353"/>
      <c r="I87" s="51"/>
      <c r="J87" s="51"/>
    </row>
    <row r="88" spans="1:10" x14ac:dyDescent="0.2">
      <c r="A88" s="49">
        <f t="shared" si="2"/>
        <v>44908</v>
      </c>
      <c r="B88" s="50" t="s">
        <v>161</v>
      </c>
      <c r="C88" s="353"/>
      <c r="D88" s="353"/>
      <c r="E88" s="353"/>
      <c r="F88" s="353"/>
      <c r="G88" s="353"/>
      <c r="H88" s="353"/>
      <c r="I88" s="51"/>
      <c r="J88" s="51"/>
    </row>
    <row r="89" spans="1:10" x14ac:dyDescent="0.2">
      <c r="A89" s="49">
        <f t="shared" si="2"/>
        <v>44909</v>
      </c>
      <c r="B89" s="50" t="s">
        <v>162</v>
      </c>
      <c r="C89" s="353"/>
      <c r="D89" s="353"/>
      <c r="E89" s="353"/>
      <c r="F89" s="353"/>
      <c r="G89" s="353"/>
      <c r="H89" s="353"/>
      <c r="I89" s="51"/>
      <c r="J89" s="51"/>
    </row>
    <row r="90" spans="1:10" x14ac:dyDescent="0.2">
      <c r="A90" s="49">
        <f t="shared" si="2"/>
        <v>44910</v>
      </c>
      <c r="B90" s="50" t="s">
        <v>163</v>
      </c>
      <c r="C90" s="353"/>
      <c r="D90" s="353"/>
      <c r="E90" s="353"/>
      <c r="F90" s="353"/>
      <c r="G90" s="353"/>
      <c r="H90" s="353"/>
      <c r="I90" s="51"/>
      <c r="J90" s="51"/>
    </row>
    <row r="91" spans="1:10" x14ac:dyDescent="0.2">
      <c r="A91" s="49">
        <f t="shared" si="2"/>
        <v>44911</v>
      </c>
      <c r="B91" s="50" t="s">
        <v>164</v>
      </c>
      <c r="C91" s="353"/>
      <c r="D91" s="353"/>
      <c r="E91" s="353"/>
      <c r="F91" s="353"/>
      <c r="G91" s="353"/>
      <c r="H91" s="353"/>
      <c r="I91" s="51"/>
      <c r="J91" s="51"/>
    </row>
    <row r="92" spans="1:10" x14ac:dyDescent="0.2">
      <c r="A92" s="49">
        <f t="shared" si="2"/>
        <v>44912</v>
      </c>
      <c r="B92" s="50" t="s">
        <v>165</v>
      </c>
      <c r="C92" s="353"/>
      <c r="D92" s="353"/>
      <c r="E92" s="353"/>
      <c r="F92" s="353"/>
      <c r="G92" s="353"/>
      <c r="H92" s="353"/>
      <c r="I92" s="51"/>
      <c r="J92" s="51"/>
    </row>
    <row r="93" spans="1:10" x14ac:dyDescent="0.2">
      <c r="A93" s="49">
        <f t="shared" si="2"/>
        <v>44913</v>
      </c>
      <c r="B93" s="50" t="s">
        <v>166</v>
      </c>
      <c r="C93" s="353"/>
      <c r="D93" s="353"/>
      <c r="E93" s="353"/>
      <c r="F93" s="353"/>
      <c r="G93" s="353"/>
      <c r="H93" s="353"/>
      <c r="I93" s="51"/>
      <c r="J93" s="51"/>
    </row>
    <row r="94" spans="1:10" x14ac:dyDescent="0.2">
      <c r="A94" s="49">
        <f t="shared" si="2"/>
        <v>44914</v>
      </c>
      <c r="B94" s="50" t="s">
        <v>167</v>
      </c>
      <c r="C94" s="353"/>
      <c r="D94" s="353"/>
      <c r="E94" s="353"/>
      <c r="F94" s="353"/>
      <c r="G94" s="353"/>
      <c r="H94" s="353"/>
      <c r="I94" s="51"/>
      <c r="J94" s="51"/>
    </row>
    <row r="95" spans="1:10" x14ac:dyDescent="0.2">
      <c r="A95" s="49">
        <f t="shared" si="2"/>
        <v>44915</v>
      </c>
      <c r="B95" s="50" t="s">
        <v>161</v>
      </c>
      <c r="C95" s="353"/>
      <c r="D95" s="353"/>
      <c r="E95" s="353"/>
      <c r="F95" s="353"/>
      <c r="G95" s="353"/>
      <c r="H95" s="353"/>
      <c r="I95" s="51"/>
      <c r="J95" s="51"/>
    </row>
    <row r="96" spans="1:10" x14ac:dyDescent="0.2">
      <c r="A96" s="49">
        <f t="shared" si="2"/>
        <v>44916</v>
      </c>
      <c r="B96" s="50" t="s">
        <v>162</v>
      </c>
      <c r="C96" s="353"/>
      <c r="D96" s="353"/>
      <c r="E96" s="353"/>
      <c r="F96" s="353"/>
      <c r="G96" s="353"/>
      <c r="H96" s="353"/>
      <c r="I96" s="51"/>
      <c r="J96" s="51"/>
    </row>
    <row r="97" spans="1:21" x14ac:dyDescent="0.2">
      <c r="A97" s="49">
        <f t="shared" si="2"/>
        <v>44917</v>
      </c>
      <c r="B97" s="50" t="s">
        <v>163</v>
      </c>
      <c r="C97" s="353"/>
      <c r="D97" s="353"/>
      <c r="E97" s="353"/>
      <c r="F97" s="353"/>
      <c r="G97" s="353"/>
      <c r="H97" s="353"/>
      <c r="I97" s="51"/>
      <c r="J97" s="51"/>
    </row>
    <row r="98" spans="1:21" x14ac:dyDescent="0.2">
      <c r="A98" s="49">
        <f t="shared" si="2"/>
        <v>44918</v>
      </c>
      <c r="B98" s="50" t="s">
        <v>164</v>
      </c>
      <c r="C98" s="353"/>
      <c r="D98" s="353"/>
      <c r="E98" s="353"/>
      <c r="F98" s="353"/>
      <c r="G98" s="353"/>
      <c r="H98" s="353"/>
      <c r="I98" s="51"/>
      <c r="J98" s="51"/>
    </row>
    <row r="99" spans="1:21" x14ac:dyDescent="0.2">
      <c r="A99" s="49">
        <f t="shared" si="2"/>
        <v>44919</v>
      </c>
      <c r="B99" s="50" t="s">
        <v>165</v>
      </c>
      <c r="C99" s="353"/>
      <c r="D99" s="353"/>
      <c r="E99" s="353"/>
      <c r="F99" s="353"/>
      <c r="G99" s="353"/>
      <c r="H99" s="353"/>
      <c r="I99" s="51"/>
      <c r="J99" s="51"/>
    </row>
    <row r="100" spans="1:21" x14ac:dyDescent="0.2">
      <c r="A100" s="61">
        <f t="shared" si="2"/>
        <v>44920</v>
      </c>
      <c r="B100" s="62" t="s">
        <v>166</v>
      </c>
      <c r="C100" s="429"/>
      <c r="D100" s="429"/>
      <c r="E100" s="429"/>
      <c r="F100" s="429"/>
      <c r="G100" s="429"/>
      <c r="H100" s="429"/>
      <c r="I100" s="63"/>
      <c r="J100" s="63"/>
    </row>
    <row r="101" spans="1:21" x14ac:dyDescent="0.2">
      <c r="A101" s="49">
        <f t="shared" si="2"/>
        <v>44921</v>
      </c>
      <c r="B101" s="50" t="s">
        <v>167</v>
      </c>
      <c r="C101" s="353"/>
      <c r="D101" s="353"/>
      <c r="E101" s="353"/>
      <c r="F101" s="353"/>
      <c r="G101" s="353"/>
      <c r="H101" s="353"/>
      <c r="I101" s="51"/>
      <c r="J101" s="51"/>
    </row>
    <row r="102" spans="1:21" x14ac:dyDescent="0.2">
      <c r="A102" s="49">
        <f t="shared" si="2"/>
        <v>44922</v>
      </c>
      <c r="B102" s="50" t="s">
        <v>161</v>
      </c>
      <c r="C102" s="353"/>
      <c r="D102" s="353"/>
      <c r="E102" s="353"/>
      <c r="F102" s="353"/>
      <c r="G102" s="353"/>
      <c r="H102" s="353"/>
      <c r="I102" s="51"/>
      <c r="J102" s="51"/>
    </row>
    <row r="103" spans="1:21" x14ac:dyDescent="0.2">
      <c r="A103" s="49">
        <f t="shared" si="2"/>
        <v>44923</v>
      </c>
      <c r="B103" s="50" t="s">
        <v>162</v>
      </c>
      <c r="C103" s="353"/>
      <c r="D103" s="353"/>
      <c r="E103" s="353"/>
      <c r="F103" s="353"/>
      <c r="G103" s="353"/>
      <c r="H103" s="353"/>
      <c r="I103" s="51"/>
      <c r="J103" s="51"/>
    </row>
    <row r="104" spans="1:21" x14ac:dyDescent="0.2">
      <c r="A104" s="49">
        <f t="shared" si="2"/>
        <v>44924</v>
      </c>
      <c r="B104" s="50" t="s">
        <v>163</v>
      </c>
      <c r="C104" s="353"/>
      <c r="D104" s="353"/>
      <c r="E104" s="353"/>
      <c r="F104" s="353"/>
      <c r="G104" s="353"/>
      <c r="H104" s="353"/>
      <c r="I104" s="51"/>
      <c r="J104" s="51"/>
    </row>
    <row r="105" spans="1:21" x14ac:dyDescent="0.2">
      <c r="A105" s="49">
        <f t="shared" si="2"/>
        <v>44925</v>
      </c>
      <c r="B105" s="50" t="s">
        <v>164</v>
      </c>
      <c r="C105" s="353"/>
      <c r="D105" s="353"/>
      <c r="E105" s="353"/>
      <c r="F105" s="353"/>
      <c r="G105" s="353"/>
      <c r="H105" s="353"/>
      <c r="I105" s="51"/>
      <c r="J105" s="51"/>
    </row>
    <row r="106" spans="1:21" x14ac:dyDescent="0.2">
      <c r="A106" s="49">
        <f t="shared" si="2"/>
        <v>44926</v>
      </c>
      <c r="B106" s="50" t="s">
        <v>165</v>
      </c>
      <c r="C106" s="353"/>
      <c r="D106" s="353"/>
      <c r="E106" s="353"/>
      <c r="F106" s="353"/>
      <c r="G106" s="353"/>
      <c r="H106" s="353"/>
      <c r="I106" s="51"/>
      <c r="J106" s="51"/>
    </row>
    <row r="107" spans="1:21" x14ac:dyDescent="0.2">
      <c r="A107" s="32"/>
      <c r="I107" s="8"/>
      <c r="J107" s="8"/>
      <c r="R107" s="21"/>
      <c r="S107" s="21"/>
      <c r="T107" s="8"/>
      <c r="U107" s="8"/>
    </row>
    <row r="108" spans="1:21" x14ac:dyDescent="0.2">
      <c r="A108" s="367" t="s">
        <v>207</v>
      </c>
      <c r="B108" s="368"/>
      <c r="C108" s="368"/>
      <c r="D108" s="368"/>
      <c r="I108" s="8"/>
      <c r="J108" s="8"/>
      <c r="R108" s="21"/>
      <c r="S108" s="21"/>
      <c r="T108" s="8"/>
      <c r="U108" s="8"/>
    </row>
    <row r="109" spans="1:21" x14ac:dyDescent="0.2">
      <c r="A109" s="52">
        <f>COUNTIF($I$76:$I$109,B109)</f>
        <v>0</v>
      </c>
      <c r="B109" s="53" t="s">
        <v>208</v>
      </c>
      <c r="C109" s="370" t="s">
        <v>209</v>
      </c>
      <c r="D109" s="370"/>
      <c r="I109" s="8"/>
      <c r="J109" s="8"/>
      <c r="R109" s="21"/>
      <c r="S109" s="21"/>
      <c r="T109" s="8"/>
      <c r="U109" s="8"/>
    </row>
    <row r="110" spans="1:21" x14ac:dyDescent="0.2">
      <c r="A110" s="52">
        <f t="shared" ref="A110:A119" si="3">COUNTIF($I$76:$I$109,B110)</f>
        <v>0</v>
      </c>
      <c r="B110" s="53" t="s">
        <v>172</v>
      </c>
      <c r="C110" s="370" t="s">
        <v>210</v>
      </c>
      <c r="D110" s="370"/>
      <c r="I110" s="8"/>
      <c r="J110" s="8"/>
      <c r="R110" s="21"/>
      <c r="S110" s="21"/>
      <c r="T110" s="8"/>
      <c r="U110" s="8"/>
    </row>
    <row r="111" spans="1:21" x14ac:dyDescent="0.2">
      <c r="A111" s="52">
        <f t="shared" si="3"/>
        <v>0</v>
      </c>
      <c r="B111" s="53" t="s">
        <v>169</v>
      </c>
      <c r="C111" s="370" t="s">
        <v>211</v>
      </c>
      <c r="D111" s="370"/>
      <c r="I111" s="8"/>
      <c r="J111" s="8"/>
      <c r="R111" s="21"/>
      <c r="S111" s="21"/>
      <c r="T111" s="8"/>
      <c r="U111" s="8"/>
    </row>
    <row r="112" spans="1:21" x14ac:dyDescent="0.2">
      <c r="A112" s="52">
        <f t="shared" si="3"/>
        <v>0</v>
      </c>
      <c r="B112" s="53" t="s">
        <v>181</v>
      </c>
      <c r="C112" s="370" t="s">
        <v>212</v>
      </c>
      <c r="D112" s="370"/>
      <c r="I112" s="8"/>
      <c r="J112" s="8"/>
      <c r="R112" s="21"/>
      <c r="S112" s="21"/>
      <c r="T112" s="8"/>
      <c r="U112" s="8"/>
    </row>
    <row r="113" spans="1:21" x14ac:dyDescent="0.2">
      <c r="A113" s="52">
        <f t="shared" si="3"/>
        <v>0</v>
      </c>
      <c r="B113" s="53" t="s">
        <v>183</v>
      </c>
      <c r="C113" s="370" t="s">
        <v>213</v>
      </c>
      <c r="D113" s="370"/>
      <c r="I113" s="8"/>
      <c r="J113" s="8"/>
      <c r="R113" s="21"/>
      <c r="S113" s="21"/>
      <c r="T113" s="8"/>
      <c r="U113" s="8"/>
    </row>
    <row r="114" spans="1:21" x14ac:dyDescent="0.2">
      <c r="A114" s="52">
        <f t="shared" si="3"/>
        <v>0</v>
      </c>
      <c r="B114" s="53" t="s">
        <v>214</v>
      </c>
      <c r="C114" s="370" t="s">
        <v>215</v>
      </c>
      <c r="D114" s="370"/>
      <c r="I114" s="8"/>
      <c r="J114" s="8"/>
      <c r="R114" s="21"/>
      <c r="S114" s="21"/>
      <c r="T114" s="8"/>
      <c r="U114" s="8"/>
    </row>
    <row r="115" spans="1:21" x14ac:dyDescent="0.2">
      <c r="A115" s="52">
        <f t="shared" si="3"/>
        <v>0</v>
      </c>
      <c r="B115" s="53" t="s">
        <v>216</v>
      </c>
      <c r="C115" s="370" t="s">
        <v>217</v>
      </c>
      <c r="D115" s="370"/>
      <c r="I115" s="8"/>
      <c r="J115" s="8"/>
      <c r="R115" s="21"/>
      <c r="S115" s="21"/>
      <c r="T115" s="8"/>
      <c r="U115" s="8"/>
    </row>
    <row r="116" spans="1:21" x14ac:dyDescent="0.2">
      <c r="A116" s="52">
        <f t="shared" si="3"/>
        <v>0</v>
      </c>
      <c r="B116" s="53" t="s">
        <v>218</v>
      </c>
      <c r="C116" s="371" t="s">
        <v>219</v>
      </c>
      <c r="D116" s="372"/>
      <c r="I116" s="8"/>
      <c r="J116" s="8"/>
      <c r="R116" s="21"/>
      <c r="S116" s="21"/>
      <c r="T116" s="8"/>
      <c r="U116" s="8"/>
    </row>
    <row r="117" spans="1:21" x14ac:dyDescent="0.2">
      <c r="A117" s="52">
        <f t="shared" si="3"/>
        <v>0</v>
      </c>
      <c r="B117" s="53" t="s">
        <v>220</v>
      </c>
      <c r="C117" s="370" t="s">
        <v>221</v>
      </c>
      <c r="D117" s="370"/>
      <c r="I117" s="8"/>
      <c r="J117" s="8"/>
    </row>
    <row r="118" spans="1:21" x14ac:dyDescent="0.2">
      <c r="A118" s="52">
        <f>COUNTIF($I$76:$I$109,B118)</f>
        <v>0</v>
      </c>
      <c r="B118" s="53" t="s">
        <v>178</v>
      </c>
      <c r="C118" s="370" t="s">
        <v>222</v>
      </c>
      <c r="D118" s="370"/>
      <c r="I118" s="8"/>
      <c r="J118" s="8"/>
    </row>
    <row r="119" spans="1:21" x14ac:dyDescent="0.2">
      <c r="A119" s="52">
        <f t="shared" si="3"/>
        <v>0</v>
      </c>
      <c r="B119" s="53" t="s">
        <v>223</v>
      </c>
      <c r="C119" s="370" t="s">
        <v>224</v>
      </c>
      <c r="D119" s="370"/>
      <c r="I119" s="8"/>
      <c r="J119" s="8"/>
    </row>
    <row r="120" spans="1:21" x14ac:dyDescent="0.2">
      <c r="A120" s="54"/>
      <c r="B120" s="55"/>
      <c r="C120" s="56"/>
      <c r="D120" s="56"/>
      <c r="I120" s="8"/>
      <c r="J120" s="8"/>
    </row>
    <row r="121" spans="1:21" x14ac:dyDescent="0.2">
      <c r="A121" s="54"/>
      <c r="B121" s="55"/>
      <c r="C121" s="56"/>
      <c r="D121" s="56"/>
      <c r="I121" s="8"/>
      <c r="J121" s="8"/>
    </row>
    <row r="122" spans="1:21" x14ac:dyDescent="0.2">
      <c r="A122" s="54"/>
      <c r="B122" s="55"/>
      <c r="C122" s="56"/>
      <c r="D122" s="56"/>
      <c r="I122" s="8"/>
      <c r="J122" s="8"/>
    </row>
    <row r="123" spans="1:21" x14ac:dyDescent="0.2">
      <c r="A123" s="54"/>
      <c r="B123" s="55"/>
      <c r="C123" s="56"/>
      <c r="D123" s="56"/>
      <c r="I123" s="8"/>
      <c r="J123" s="8"/>
    </row>
    <row r="124" spans="1:21" x14ac:dyDescent="0.2">
      <c r="A124" s="32"/>
      <c r="I124" s="8"/>
      <c r="J124" s="8"/>
    </row>
    <row r="125" spans="1:21" x14ac:dyDescent="0.2">
      <c r="A125" s="367" t="s">
        <v>225</v>
      </c>
      <c r="B125" s="368"/>
      <c r="C125" s="368"/>
      <c r="D125" s="368"/>
      <c r="I125" s="8"/>
      <c r="J125" s="8"/>
    </row>
    <row r="126" spans="1:21" x14ac:dyDescent="0.2">
      <c r="A126" s="52">
        <f>COUNTIF($J$76:$J$109,B126)</f>
        <v>0</v>
      </c>
      <c r="B126" s="52" t="s">
        <v>170</v>
      </c>
      <c r="C126" s="356" t="s">
        <v>226</v>
      </c>
      <c r="D126" s="356"/>
      <c r="I126" s="8"/>
      <c r="J126" s="8"/>
    </row>
    <row r="127" spans="1:21" x14ac:dyDescent="0.2">
      <c r="A127" s="52">
        <f t="shared" ref="A127:A138" si="4">COUNTIF($J$76:$J$109,B127)</f>
        <v>0</v>
      </c>
      <c r="B127" s="52" t="s">
        <v>191</v>
      </c>
      <c r="C127" s="356" t="s">
        <v>227</v>
      </c>
      <c r="D127" s="356"/>
      <c r="I127" s="8"/>
      <c r="J127" s="8"/>
    </row>
    <row r="128" spans="1:21" x14ac:dyDescent="0.2">
      <c r="A128" s="52">
        <f t="shared" si="4"/>
        <v>0</v>
      </c>
      <c r="B128" s="52" t="s">
        <v>179</v>
      </c>
      <c r="C128" s="356" t="s">
        <v>228</v>
      </c>
      <c r="D128" s="356"/>
      <c r="I128" s="8"/>
      <c r="J128" s="8"/>
    </row>
    <row r="129" spans="1:10" x14ac:dyDescent="0.2">
      <c r="A129" s="52">
        <f t="shared" si="4"/>
        <v>0</v>
      </c>
      <c r="B129" s="52" t="s">
        <v>229</v>
      </c>
      <c r="C129" s="356" t="s">
        <v>230</v>
      </c>
      <c r="D129" s="356"/>
      <c r="I129" s="8"/>
      <c r="J129" s="8"/>
    </row>
    <row r="130" spans="1:10" x14ac:dyDescent="0.2">
      <c r="A130" s="52">
        <f t="shared" si="4"/>
        <v>0</v>
      </c>
      <c r="B130" s="52" t="s">
        <v>174</v>
      </c>
      <c r="C130" s="356" t="s">
        <v>231</v>
      </c>
      <c r="D130" s="356"/>
      <c r="I130" s="8"/>
      <c r="J130" s="8"/>
    </row>
    <row r="131" spans="1:10" x14ac:dyDescent="0.2">
      <c r="A131" s="52">
        <f t="shared" si="4"/>
        <v>0</v>
      </c>
      <c r="B131" s="52" t="s">
        <v>232</v>
      </c>
      <c r="C131" s="356" t="s">
        <v>233</v>
      </c>
      <c r="D131" s="356"/>
      <c r="I131" s="8"/>
      <c r="J131" s="8"/>
    </row>
    <row r="132" spans="1:10" x14ac:dyDescent="0.2">
      <c r="A132" s="52">
        <f t="shared" si="4"/>
        <v>0</v>
      </c>
      <c r="B132" s="52" t="s">
        <v>187</v>
      </c>
      <c r="C132" s="356" t="s">
        <v>234</v>
      </c>
      <c r="D132" s="356"/>
      <c r="I132" s="8"/>
      <c r="J132" s="8"/>
    </row>
    <row r="133" spans="1:10" x14ac:dyDescent="0.2">
      <c r="A133" s="52">
        <f t="shared" si="4"/>
        <v>0</v>
      </c>
      <c r="B133" s="52" t="s">
        <v>235</v>
      </c>
      <c r="C133" s="356" t="s">
        <v>236</v>
      </c>
      <c r="D133" s="356"/>
      <c r="I133" s="8"/>
      <c r="J133" s="8"/>
    </row>
    <row r="134" spans="1:10" x14ac:dyDescent="0.2">
      <c r="A134" s="52">
        <f t="shared" si="4"/>
        <v>0</v>
      </c>
      <c r="B134" s="52" t="s">
        <v>185</v>
      </c>
      <c r="C134" s="356" t="s">
        <v>237</v>
      </c>
      <c r="D134" s="356"/>
      <c r="I134" s="8"/>
      <c r="J134" s="8"/>
    </row>
    <row r="135" spans="1:10" x14ac:dyDescent="0.2">
      <c r="A135" s="52">
        <f t="shared" si="4"/>
        <v>0</v>
      </c>
      <c r="B135" s="52" t="s">
        <v>238</v>
      </c>
      <c r="C135" s="356" t="s">
        <v>239</v>
      </c>
      <c r="D135" s="356"/>
      <c r="I135" s="8"/>
      <c r="J135" s="8"/>
    </row>
    <row r="136" spans="1:10" x14ac:dyDescent="0.2">
      <c r="A136" s="52">
        <f>COUNTIF($J$76:$J$109,B136)</f>
        <v>0</v>
      </c>
      <c r="B136" s="52" t="s">
        <v>240</v>
      </c>
      <c r="C136" s="356" t="s">
        <v>241</v>
      </c>
      <c r="D136" s="356"/>
      <c r="I136" s="8"/>
      <c r="J136" s="8"/>
    </row>
    <row r="137" spans="1:10" x14ac:dyDescent="0.2">
      <c r="A137" s="52">
        <f>COUNTIF($J$76:$J$109,B137)</f>
        <v>0</v>
      </c>
      <c r="B137" s="52" t="s">
        <v>242</v>
      </c>
      <c r="C137" s="356" t="s">
        <v>243</v>
      </c>
      <c r="D137" s="356"/>
      <c r="I137" s="8"/>
      <c r="J137" s="8"/>
    </row>
    <row r="138" spans="1:10" x14ac:dyDescent="0.2">
      <c r="A138" s="52">
        <f t="shared" si="4"/>
        <v>0</v>
      </c>
      <c r="B138" s="52" t="s">
        <v>244</v>
      </c>
      <c r="C138" s="356" t="s">
        <v>245</v>
      </c>
      <c r="D138" s="356"/>
      <c r="I138" s="8"/>
      <c r="J138" s="8"/>
    </row>
    <row r="139" spans="1:10" x14ac:dyDescent="0.2">
      <c r="A139" s="32"/>
      <c r="I139" s="8"/>
      <c r="J139" s="8"/>
    </row>
    <row r="140" spans="1:10" x14ac:dyDescent="0.2">
      <c r="A140" s="32"/>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ht="19" x14ac:dyDescent="0.2">
      <c r="A145" s="32"/>
      <c r="C145" s="349" t="s">
        <v>86</v>
      </c>
      <c r="D145" s="350"/>
      <c r="E145" s="350"/>
      <c r="F145" s="350"/>
      <c r="G145" s="351"/>
      <c r="I145" s="8"/>
      <c r="J145" s="8"/>
    </row>
    <row r="146" spans="1:10" ht="32" x14ac:dyDescent="0.2">
      <c r="A146" s="32"/>
      <c r="C146" s="68" t="s">
        <v>87</v>
      </c>
      <c r="D146" s="64" t="s">
        <v>88</v>
      </c>
      <c r="E146" s="64" t="s">
        <v>89</v>
      </c>
      <c r="F146" s="64" t="s">
        <v>90</v>
      </c>
      <c r="G146" s="66" t="s">
        <v>91</v>
      </c>
      <c r="I146" s="8"/>
      <c r="J146" s="8"/>
    </row>
    <row r="147" spans="1:10" x14ac:dyDescent="0.2">
      <c r="A147" s="32"/>
      <c r="C147" s="65"/>
      <c r="D147" s="65"/>
      <c r="E147" s="65"/>
      <c r="F147" s="65"/>
      <c r="G147" s="67">
        <f>SUM(B147:F147)</f>
        <v>0</v>
      </c>
      <c r="I147" s="8"/>
      <c r="J147" s="8"/>
    </row>
    <row r="148" spans="1:10" x14ac:dyDescent="0.2">
      <c r="A148" s="32"/>
      <c r="G148"/>
      <c r="I148" s="8"/>
      <c r="J148" s="8"/>
    </row>
    <row r="149" spans="1:10" x14ac:dyDescent="0.2">
      <c r="A149" s="32"/>
      <c r="I149" s="8"/>
      <c r="J149" s="8"/>
    </row>
    <row r="150" spans="1:10" x14ac:dyDescent="0.2">
      <c r="A150" s="32"/>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row>
    <row r="224" spans="1:10" x14ac:dyDescent="0.2">
      <c r="A224" s="32"/>
    </row>
    <row r="225" spans="1:1" x14ac:dyDescent="0.2">
      <c r="A225" s="32"/>
    </row>
    <row r="226" spans="1:1" x14ac:dyDescent="0.2">
      <c r="A226" s="32"/>
    </row>
    <row r="227" spans="1:1" x14ac:dyDescent="0.2">
      <c r="A227" s="32"/>
    </row>
    <row r="228" spans="1:1" x14ac:dyDescent="0.2">
      <c r="A228" s="32"/>
    </row>
    <row r="229" spans="1:1" x14ac:dyDescent="0.2">
      <c r="A229" s="32"/>
    </row>
    <row r="230" spans="1:1" x14ac:dyDescent="0.2">
      <c r="A230" s="32"/>
    </row>
    <row r="231" spans="1:1" x14ac:dyDescent="0.2">
      <c r="A231" s="32"/>
    </row>
    <row r="232" spans="1:1" x14ac:dyDescent="0.2">
      <c r="A232" s="32"/>
    </row>
    <row r="233" spans="1:1" x14ac:dyDescent="0.2">
      <c r="A233" s="32"/>
    </row>
    <row r="234" spans="1:1" x14ac:dyDescent="0.2">
      <c r="A234" s="32"/>
    </row>
    <row r="235" spans="1:1" x14ac:dyDescent="0.2">
      <c r="A235" s="32"/>
    </row>
    <row r="236" spans="1:1" x14ac:dyDescent="0.2">
      <c r="A236" s="32"/>
    </row>
    <row r="237" spans="1:1" x14ac:dyDescent="0.2">
      <c r="A237" s="32"/>
    </row>
    <row r="238" spans="1:1" x14ac:dyDescent="0.2">
      <c r="A238" s="32"/>
    </row>
    <row r="239" spans="1:1" x14ac:dyDescent="0.2">
      <c r="A239" s="32"/>
    </row>
    <row r="240" spans="1:1" x14ac:dyDescent="0.2">
      <c r="A240" s="32"/>
    </row>
    <row r="241" spans="1:1" x14ac:dyDescent="0.2">
      <c r="A241" s="32"/>
    </row>
    <row r="242" spans="1:1" x14ac:dyDescent="0.2">
      <c r="A242" s="32"/>
    </row>
    <row r="243" spans="1:1" x14ac:dyDescent="0.2">
      <c r="A243" s="32"/>
    </row>
    <row r="244" spans="1:1" x14ac:dyDescent="0.2">
      <c r="A244" s="32"/>
    </row>
    <row r="245" spans="1:1" x14ac:dyDescent="0.2">
      <c r="A245" s="32"/>
    </row>
    <row r="246" spans="1:1" x14ac:dyDescent="0.2">
      <c r="A246" s="32"/>
    </row>
    <row r="247" spans="1:1" x14ac:dyDescent="0.2">
      <c r="A247" s="32"/>
    </row>
    <row r="248" spans="1:1" x14ac:dyDescent="0.2">
      <c r="A248" s="32"/>
    </row>
  </sheetData>
  <autoFilter ref="A1:AH1" xr:uid="{00000000-0001-0000-0800-000000000000}"/>
  <mergeCells count="67">
    <mergeCell ref="AC63:AE63"/>
    <mergeCell ref="AF63:AH63"/>
    <mergeCell ref="C78:H78"/>
    <mergeCell ref="C63:D63"/>
    <mergeCell ref="T63:V63"/>
    <mergeCell ref="W63:Y63"/>
    <mergeCell ref="Z63:AB63"/>
    <mergeCell ref="M64:O64"/>
    <mergeCell ref="H65:I65"/>
    <mergeCell ref="A75:C75"/>
    <mergeCell ref="C76:H76"/>
    <mergeCell ref="C77:H77"/>
    <mergeCell ref="C90:H90"/>
    <mergeCell ref="C79:H79"/>
    <mergeCell ref="C80:H80"/>
    <mergeCell ref="C81:H81"/>
    <mergeCell ref="C82:H82"/>
    <mergeCell ref="C83:H83"/>
    <mergeCell ref="C84:H84"/>
    <mergeCell ref="C85:H85"/>
    <mergeCell ref="C86:H86"/>
    <mergeCell ref="C87:H87"/>
    <mergeCell ref="C88:H88"/>
    <mergeCell ref="C89:H89"/>
    <mergeCell ref="C102:H102"/>
    <mergeCell ref="C91:H91"/>
    <mergeCell ref="C92:H92"/>
    <mergeCell ref="C93:H93"/>
    <mergeCell ref="C94:H94"/>
    <mergeCell ref="C95:H95"/>
    <mergeCell ref="C96:H96"/>
    <mergeCell ref="C97:H97"/>
    <mergeCell ref="C98:H98"/>
    <mergeCell ref="C99:H99"/>
    <mergeCell ref="C100:H100"/>
    <mergeCell ref="C101:H101"/>
    <mergeCell ref="C115:D115"/>
    <mergeCell ref="C103:H103"/>
    <mergeCell ref="C104:H104"/>
    <mergeCell ref="C105:H105"/>
    <mergeCell ref="C106:H106"/>
    <mergeCell ref="A108:D108"/>
    <mergeCell ref="C109:D109"/>
    <mergeCell ref="C110:D110"/>
    <mergeCell ref="C111:D111"/>
    <mergeCell ref="C112:D112"/>
    <mergeCell ref="C113:D113"/>
    <mergeCell ref="C114:D114"/>
    <mergeCell ref="C132:D132"/>
    <mergeCell ref="C116:D116"/>
    <mergeCell ref="C117:D117"/>
    <mergeCell ref="C118:D118"/>
    <mergeCell ref="C119:D119"/>
    <mergeCell ref="A125:D125"/>
    <mergeCell ref="C126:D126"/>
    <mergeCell ref="C127:D127"/>
    <mergeCell ref="C128:D128"/>
    <mergeCell ref="C129:D129"/>
    <mergeCell ref="C130:D130"/>
    <mergeCell ref="C131:D131"/>
    <mergeCell ref="C145:G145"/>
    <mergeCell ref="C133:D133"/>
    <mergeCell ref="C134:D134"/>
    <mergeCell ref="C135:D135"/>
    <mergeCell ref="C136:D136"/>
    <mergeCell ref="C137:D137"/>
    <mergeCell ref="C138:D138"/>
  </mergeCells>
  <dataValidations count="2">
    <dataValidation type="list" allowBlank="1" showInputMessage="1" showErrorMessage="1" sqref="J76:J106" xr:uid="{C47AA562-91B1-41C3-B0B1-8F1F5FBED8AB}">
      <formula1>$B$125:$B$138</formula1>
    </dataValidation>
    <dataValidation type="list" allowBlank="1" showInputMessage="1" showErrorMessage="1" sqref="I76:I106" xr:uid="{6E2779EA-D5C9-42FC-B1BC-BBF73EF6F0D3}">
      <formula1>$B$109:$B$119</formula1>
    </dataValidation>
  </dataValidation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88666-7F29-4E89-8219-3AFDE194BD18}">
  <sheetPr codeName="Hoja15">
    <tabColor rgb="FFFF0000"/>
  </sheetPr>
  <dimension ref="A1:AP211"/>
  <sheetViews>
    <sheetView zoomScale="85" zoomScaleNormal="85" workbookViewId="0">
      <pane xSplit="11" ySplit="1" topLeftCell="L6"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32.1640625" style="1" customWidth="1"/>
    <col min="5" max="5" width="23" style="1" customWidth="1"/>
    <col min="6" max="6" width="26.83203125" style="1" customWidth="1"/>
    <col min="7" max="7" width="11.5" style="1" customWidth="1"/>
    <col min="8" max="8" width="23" style="1" customWidth="1"/>
    <col min="9" max="9" width="14.5" style="1" customWidth="1"/>
    <col min="10" max="10" width="15.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13.5" style="1" customWidth="1"/>
    <col min="23" max="23" width="11.1640625" style="1" bestFit="1" customWidth="1"/>
    <col min="24" max="24" width="5.5" style="1" customWidth="1"/>
    <col min="25" max="25" width="12.1640625" style="1" bestFit="1" customWidth="1"/>
    <col min="26" max="26" width="13.5" style="1" customWidth="1"/>
    <col min="27" max="27" width="4.6640625" style="1" customWidth="1"/>
    <col min="28" max="28" width="13.5" style="1" customWidth="1"/>
    <col min="29" max="29" width="13" style="1" bestFit="1" customWidth="1"/>
    <col min="30" max="30" width="4.6640625" style="48" customWidth="1"/>
    <col min="31" max="31" width="11.5" style="48" bestFit="1" customWidth="1"/>
    <col min="32" max="32" width="16.6640625" style="48" bestFit="1" customWidth="1"/>
    <col min="33" max="33" width="4.6640625" style="1" customWidth="1"/>
    <col min="34" max="34" width="11.5" style="1" bestFit="1" customWidth="1"/>
    <col min="35" max="38" width="9.1640625" style="1"/>
    <col min="39" max="39" width="15.5" style="1" bestFit="1" customWidth="1"/>
    <col min="40" max="16384" width="11.5" style="1"/>
  </cols>
  <sheetData>
    <row r="1" spans="1:42"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125</v>
      </c>
      <c r="AO1" s="304" t="s">
        <v>255</v>
      </c>
      <c r="AP1" s="304" t="s">
        <v>257</v>
      </c>
    </row>
    <row r="2" spans="1:42" s="48" customFormat="1" x14ac:dyDescent="0.2">
      <c r="A2" s="206" t="s">
        <v>354</v>
      </c>
      <c r="B2" s="26">
        <v>1456</v>
      </c>
      <c r="C2" s="26" t="s">
        <v>29</v>
      </c>
      <c r="D2" s="26" t="s">
        <v>746</v>
      </c>
      <c r="E2" s="26" t="s">
        <v>34</v>
      </c>
      <c r="F2" s="26" t="s">
        <v>747</v>
      </c>
      <c r="G2" s="26" t="s">
        <v>44</v>
      </c>
      <c r="H2" s="26" t="s">
        <v>128</v>
      </c>
      <c r="I2" s="26" t="s">
        <v>128</v>
      </c>
      <c r="J2" s="230">
        <v>7000000</v>
      </c>
      <c r="K2" s="201">
        <v>1</v>
      </c>
      <c r="L2" s="215">
        <v>3</v>
      </c>
      <c r="M2" s="215" t="s">
        <v>27</v>
      </c>
      <c r="N2" s="196">
        <v>44998</v>
      </c>
      <c r="O2" s="195">
        <v>1</v>
      </c>
      <c r="P2" s="45" t="s">
        <v>27</v>
      </c>
      <c r="Q2" s="45" t="s">
        <v>128</v>
      </c>
      <c r="R2" s="45" t="s">
        <v>27</v>
      </c>
      <c r="S2" s="45" t="s">
        <v>128</v>
      </c>
      <c r="T2" s="45" t="s">
        <v>27</v>
      </c>
      <c r="U2" s="45" t="s">
        <v>128</v>
      </c>
      <c r="V2" s="45" t="s">
        <v>128</v>
      </c>
      <c r="W2" s="45" t="s">
        <v>27</v>
      </c>
      <c r="X2" s="45" t="s">
        <v>128</v>
      </c>
      <c r="Y2" s="45" t="s">
        <v>128</v>
      </c>
      <c r="Z2" s="45" t="s">
        <v>27</v>
      </c>
      <c r="AA2" s="45" t="s">
        <v>128</v>
      </c>
      <c r="AB2" s="45" t="s">
        <v>128</v>
      </c>
      <c r="AC2" s="45" t="s">
        <v>27</v>
      </c>
      <c r="AD2" s="107" t="s">
        <v>128</v>
      </c>
      <c r="AE2" s="107" t="s">
        <v>128</v>
      </c>
      <c r="AF2" s="45" t="s">
        <v>27</v>
      </c>
      <c r="AG2" s="107" t="s">
        <v>128</v>
      </c>
      <c r="AH2" s="107" t="s">
        <v>128</v>
      </c>
      <c r="AI2" s="228"/>
      <c r="AJ2" s="228"/>
      <c r="AK2" s="228"/>
      <c r="AL2" s="228"/>
      <c r="AM2" s="228"/>
      <c r="AN2" s="228"/>
      <c r="AO2" s="140"/>
      <c r="AP2" s="140"/>
    </row>
    <row r="3" spans="1:42" s="48" customFormat="1" x14ac:dyDescent="0.2">
      <c r="A3" s="206" t="s">
        <v>354</v>
      </c>
      <c r="B3" s="26">
        <v>1332</v>
      </c>
      <c r="C3" s="26" t="s">
        <v>735</v>
      </c>
      <c r="D3" s="26" t="s">
        <v>748</v>
      </c>
      <c r="E3" s="26" t="s">
        <v>24</v>
      </c>
      <c r="F3" s="26" t="s">
        <v>749</v>
      </c>
      <c r="G3" s="26" t="s">
        <v>44</v>
      </c>
      <c r="H3" s="26" t="s">
        <v>128</v>
      </c>
      <c r="I3" s="26" t="s">
        <v>128</v>
      </c>
      <c r="J3" s="230">
        <v>26500000</v>
      </c>
      <c r="K3" s="201">
        <v>1</v>
      </c>
      <c r="L3" s="215">
        <v>3</v>
      </c>
      <c r="M3" s="215" t="s">
        <v>27</v>
      </c>
      <c r="N3" s="196">
        <v>44999</v>
      </c>
      <c r="O3" s="195">
        <v>1</v>
      </c>
      <c r="P3" s="45" t="s">
        <v>27</v>
      </c>
      <c r="Q3" s="45" t="s">
        <v>128</v>
      </c>
      <c r="R3" s="45" t="s">
        <v>27</v>
      </c>
      <c r="S3" s="45" t="s">
        <v>128</v>
      </c>
      <c r="T3" s="45" t="s">
        <v>27</v>
      </c>
      <c r="U3" s="45" t="s">
        <v>128</v>
      </c>
      <c r="V3" s="45" t="s">
        <v>128</v>
      </c>
      <c r="W3" s="45" t="s">
        <v>27</v>
      </c>
      <c r="X3" s="45" t="s">
        <v>128</v>
      </c>
      <c r="Y3" s="45" t="s">
        <v>128</v>
      </c>
      <c r="Z3" s="45" t="s">
        <v>27</v>
      </c>
      <c r="AA3" s="45" t="s">
        <v>128</v>
      </c>
      <c r="AB3" s="45" t="s">
        <v>128</v>
      </c>
      <c r="AC3" s="45" t="s">
        <v>27</v>
      </c>
      <c r="AD3" s="107" t="s">
        <v>128</v>
      </c>
      <c r="AE3" s="107" t="s">
        <v>128</v>
      </c>
      <c r="AF3" s="45" t="s">
        <v>27</v>
      </c>
      <c r="AG3" s="107" t="s">
        <v>128</v>
      </c>
      <c r="AH3" s="107" t="s">
        <v>128</v>
      </c>
      <c r="AI3" s="228"/>
      <c r="AJ3" s="228"/>
      <c r="AK3" s="228"/>
      <c r="AL3" s="228"/>
      <c r="AM3" s="228"/>
      <c r="AN3" s="228"/>
      <c r="AO3" s="140"/>
      <c r="AP3" s="140"/>
    </row>
    <row r="4" spans="1:42" s="48" customFormat="1" x14ac:dyDescent="0.2">
      <c r="A4" s="206" t="s">
        <v>354</v>
      </c>
      <c r="B4" s="26">
        <v>1380</v>
      </c>
      <c r="C4" s="26" t="s">
        <v>735</v>
      </c>
      <c r="D4" s="26" t="s">
        <v>748</v>
      </c>
      <c r="E4" s="26" t="s">
        <v>24</v>
      </c>
      <c r="F4" s="26" t="s">
        <v>749</v>
      </c>
      <c r="G4" s="26" t="s">
        <v>44</v>
      </c>
      <c r="H4" s="26" t="s">
        <v>128</v>
      </c>
      <c r="I4" s="26" t="s">
        <v>128</v>
      </c>
      <c r="J4" s="230">
        <v>26500000</v>
      </c>
      <c r="K4" s="201">
        <v>1</v>
      </c>
      <c r="L4" s="215">
        <v>3</v>
      </c>
      <c r="M4" s="215" t="s">
        <v>27</v>
      </c>
      <c r="N4" s="196">
        <v>44999</v>
      </c>
      <c r="O4" s="195">
        <v>1</v>
      </c>
      <c r="P4" s="45" t="s">
        <v>27</v>
      </c>
      <c r="Q4" s="45" t="s">
        <v>128</v>
      </c>
      <c r="R4" s="45" t="s">
        <v>27</v>
      </c>
      <c r="S4" s="45" t="s">
        <v>128</v>
      </c>
      <c r="T4" s="45" t="s">
        <v>27</v>
      </c>
      <c r="U4" s="45" t="s">
        <v>128</v>
      </c>
      <c r="V4" s="45" t="s">
        <v>128</v>
      </c>
      <c r="W4" s="45" t="s">
        <v>27</v>
      </c>
      <c r="X4" s="45" t="s">
        <v>128</v>
      </c>
      <c r="Y4" s="45" t="s">
        <v>128</v>
      </c>
      <c r="Z4" s="45" t="s">
        <v>27</v>
      </c>
      <c r="AA4" s="45" t="s">
        <v>128</v>
      </c>
      <c r="AB4" s="45" t="s">
        <v>128</v>
      </c>
      <c r="AC4" s="45" t="s">
        <v>27</v>
      </c>
      <c r="AD4" s="107" t="s">
        <v>128</v>
      </c>
      <c r="AE4" s="107" t="s">
        <v>128</v>
      </c>
      <c r="AF4" s="45" t="s">
        <v>27</v>
      </c>
      <c r="AG4" s="107" t="s">
        <v>128</v>
      </c>
      <c r="AH4" s="107" t="s">
        <v>128</v>
      </c>
      <c r="AI4" s="228"/>
      <c r="AJ4" s="228"/>
      <c r="AK4" s="228"/>
      <c r="AL4" s="228"/>
      <c r="AM4" s="228"/>
      <c r="AN4" s="228"/>
      <c r="AO4" s="140"/>
      <c r="AP4" s="140"/>
    </row>
    <row r="5" spans="1:42" s="48" customFormat="1" x14ac:dyDescent="0.2">
      <c r="A5" s="206" t="s">
        <v>354</v>
      </c>
      <c r="B5" s="26">
        <v>1445</v>
      </c>
      <c r="C5" s="26" t="s">
        <v>735</v>
      </c>
      <c r="D5" s="26" t="s">
        <v>748</v>
      </c>
      <c r="E5" s="26" t="s">
        <v>24</v>
      </c>
      <c r="F5" s="26" t="s">
        <v>749</v>
      </c>
      <c r="G5" s="26" t="s">
        <v>44</v>
      </c>
      <c r="H5" s="26" t="s">
        <v>128</v>
      </c>
      <c r="I5" s="26" t="s">
        <v>128</v>
      </c>
      <c r="J5" s="230">
        <v>26500000</v>
      </c>
      <c r="K5" s="201">
        <v>1</v>
      </c>
      <c r="L5" s="215">
        <v>3</v>
      </c>
      <c r="M5" s="215" t="s">
        <v>27</v>
      </c>
      <c r="N5" s="196">
        <v>44999</v>
      </c>
      <c r="O5" s="195">
        <v>1</v>
      </c>
      <c r="P5" s="45" t="s">
        <v>27</v>
      </c>
      <c r="Q5" s="45" t="s">
        <v>128</v>
      </c>
      <c r="R5" s="45" t="s">
        <v>27</v>
      </c>
      <c r="S5" s="45" t="s">
        <v>128</v>
      </c>
      <c r="T5" s="45" t="s">
        <v>27</v>
      </c>
      <c r="U5" s="45" t="s">
        <v>128</v>
      </c>
      <c r="V5" s="45" t="s">
        <v>128</v>
      </c>
      <c r="W5" s="45" t="s">
        <v>27</v>
      </c>
      <c r="X5" s="45" t="s">
        <v>128</v>
      </c>
      <c r="Y5" s="45" t="s">
        <v>128</v>
      </c>
      <c r="Z5" s="45" t="s">
        <v>27</v>
      </c>
      <c r="AA5" s="45" t="s">
        <v>128</v>
      </c>
      <c r="AB5" s="45" t="s">
        <v>128</v>
      </c>
      <c r="AC5" s="45" t="s">
        <v>27</v>
      </c>
      <c r="AD5" s="107" t="s">
        <v>128</v>
      </c>
      <c r="AE5" s="107" t="s">
        <v>128</v>
      </c>
      <c r="AF5" s="45" t="s">
        <v>27</v>
      </c>
      <c r="AG5" s="107" t="s">
        <v>128</v>
      </c>
      <c r="AH5" s="107" t="s">
        <v>128</v>
      </c>
      <c r="AI5" s="228"/>
      <c r="AJ5" s="228"/>
      <c r="AK5" s="228"/>
      <c r="AL5" s="228"/>
      <c r="AM5" s="228"/>
      <c r="AN5" s="228"/>
      <c r="AO5" s="140"/>
      <c r="AP5" s="140"/>
    </row>
    <row r="6" spans="1:42" s="48" customFormat="1" x14ac:dyDescent="0.2">
      <c r="A6" s="206" t="s">
        <v>354</v>
      </c>
      <c r="B6" s="26">
        <v>1612</v>
      </c>
      <c r="C6" s="26" t="s">
        <v>22</v>
      </c>
      <c r="D6" s="26" t="s">
        <v>750</v>
      </c>
      <c r="E6" s="26" t="s">
        <v>66</v>
      </c>
      <c r="F6" s="26" t="s">
        <v>751</v>
      </c>
      <c r="G6" s="26" t="s">
        <v>33</v>
      </c>
      <c r="H6" s="26" t="s">
        <v>128</v>
      </c>
      <c r="I6" s="26" t="s">
        <v>128</v>
      </c>
      <c r="J6" s="230">
        <v>35170000</v>
      </c>
      <c r="K6" s="201">
        <v>1</v>
      </c>
      <c r="L6" s="215">
        <v>3</v>
      </c>
      <c r="M6" s="215" t="s">
        <v>27</v>
      </c>
      <c r="N6" s="196">
        <v>44999</v>
      </c>
      <c r="O6" s="195">
        <v>1</v>
      </c>
      <c r="P6" s="45" t="s">
        <v>27</v>
      </c>
      <c r="Q6" s="45" t="s">
        <v>128</v>
      </c>
      <c r="R6" s="45" t="s">
        <v>27</v>
      </c>
      <c r="S6" s="45" t="s">
        <v>128</v>
      </c>
      <c r="T6" s="45" t="s">
        <v>27</v>
      </c>
      <c r="U6" s="45" t="s">
        <v>128</v>
      </c>
      <c r="V6" s="45" t="s">
        <v>128</v>
      </c>
      <c r="W6" s="45" t="s">
        <v>27</v>
      </c>
      <c r="X6" s="45" t="s">
        <v>128</v>
      </c>
      <c r="Y6" s="45" t="s">
        <v>128</v>
      </c>
      <c r="Z6" s="45" t="s">
        <v>27</v>
      </c>
      <c r="AA6" s="45" t="s">
        <v>128</v>
      </c>
      <c r="AB6" s="45" t="s">
        <v>128</v>
      </c>
      <c r="AC6" s="45" t="s">
        <v>27</v>
      </c>
      <c r="AD6" s="107" t="s">
        <v>128</v>
      </c>
      <c r="AE6" s="107" t="s">
        <v>128</v>
      </c>
      <c r="AF6" s="45" t="s">
        <v>27</v>
      </c>
      <c r="AG6" s="107" t="s">
        <v>128</v>
      </c>
      <c r="AH6" s="107" t="s">
        <v>128</v>
      </c>
      <c r="AI6" s="228"/>
      <c r="AJ6" s="228"/>
      <c r="AK6" s="228"/>
      <c r="AL6" s="228"/>
      <c r="AM6" s="228"/>
      <c r="AN6" s="228"/>
      <c r="AO6" s="140"/>
      <c r="AP6" s="140"/>
    </row>
    <row r="7" spans="1:42" s="48" customFormat="1" x14ac:dyDescent="0.2">
      <c r="A7" s="206" t="s">
        <v>354</v>
      </c>
      <c r="B7" s="26">
        <v>1637</v>
      </c>
      <c r="C7" s="26" t="s">
        <v>735</v>
      </c>
      <c r="D7" s="26" t="s">
        <v>752</v>
      </c>
      <c r="E7" s="26" t="s">
        <v>24</v>
      </c>
      <c r="F7" s="26" t="s">
        <v>753</v>
      </c>
      <c r="G7" s="26" t="s">
        <v>44</v>
      </c>
      <c r="H7" s="26" t="s">
        <v>128</v>
      </c>
      <c r="I7" s="26" t="s">
        <v>128</v>
      </c>
      <c r="J7" s="230">
        <v>24000000</v>
      </c>
      <c r="K7" s="201">
        <v>1</v>
      </c>
      <c r="L7" s="215">
        <v>3</v>
      </c>
      <c r="M7" s="215" t="s">
        <v>27</v>
      </c>
      <c r="N7" s="196">
        <v>44999</v>
      </c>
      <c r="O7" s="195">
        <v>1</v>
      </c>
      <c r="P7" s="45" t="s">
        <v>27</v>
      </c>
      <c r="Q7" s="45" t="s">
        <v>128</v>
      </c>
      <c r="R7" s="45" t="s">
        <v>27</v>
      </c>
      <c r="S7" s="45" t="s">
        <v>128</v>
      </c>
      <c r="T7" s="45" t="s">
        <v>27</v>
      </c>
      <c r="U7" s="45" t="s">
        <v>128</v>
      </c>
      <c r="V7" s="45" t="s">
        <v>128</v>
      </c>
      <c r="W7" s="45" t="s">
        <v>27</v>
      </c>
      <c r="X7" s="45" t="s">
        <v>128</v>
      </c>
      <c r="Y7" s="45" t="s">
        <v>128</v>
      </c>
      <c r="Z7" s="45" t="s">
        <v>27</v>
      </c>
      <c r="AA7" s="45" t="s">
        <v>128</v>
      </c>
      <c r="AB7" s="45" t="s">
        <v>128</v>
      </c>
      <c r="AC7" s="45" t="s">
        <v>27</v>
      </c>
      <c r="AD7" s="107" t="s">
        <v>128</v>
      </c>
      <c r="AE7" s="107" t="s">
        <v>128</v>
      </c>
      <c r="AF7" s="45" t="s">
        <v>27</v>
      </c>
      <c r="AG7" s="107" t="s">
        <v>128</v>
      </c>
      <c r="AH7" s="107" t="s">
        <v>128</v>
      </c>
      <c r="AI7" s="228"/>
      <c r="AJ7" s="228"/>
      <c r="AK7" s="228"/>
      <c r="AL7" s="228"/>
      <c r="AM7" s="228"/>
      <c r="AN7" s="228"/>
      <c r="AO7" s="140"/>
      <c r="AP7" s="140"/>
    </row>
    <row r="8" spans="1:42" s="48" customFormat="1" x14ac:dyDescent="0.2">
      <c r="A8" s="206" t="s">
        <v>354</v>
      </c>
      <c r="B8" s="26">
        <v>1321</v>
      </c>
      <c r="C8" s="26" t="s">
        <v>22</v>
      </c>
      <c r="D8" s="26" t="s">
        <v>23</v>
      </c>
      <c r="E8" s="26" t="s">
        <v>38</v>
      </c>
      <c r="F8" s="26" t="s">
        <v>97</v>
      </c>
      <c r="G8" s="26" t="s">
        <v>23</v>
      </c>
      <c r="H8" s="26" t="s">
        <v>128</v>
      </c>
      <c r="I8" s="26" t="s">
        <v>128</v>
      </c>
      <c r="J8" s="230">
        <v>14700000</v>
      </c>
      <c r="K8" s="201">
        <v>1</v>
      </c>
      <c r="L8" s="215">
        <v>3</v>
      </c>
      <c r="M8" s="215" t="s">
        <v>27</v>
      </c>
      <c r="N8" s="196">
        <v>45000</v>
      </c>
      <c r="O8" s="195">
        <v>1</v>
      </c>
      <c r="P8" s="45" t="s">
        <v>27</v>
      </c>
      <c r="Q8" s="45" t="s">
        <v>128</v>
      </c>
      <c r="R8" s="45" t="s">
        <v>27</v>
      </c>
      <c r="S8" s="45" t="s">
        <v>128</v>
      </c>
      <c r="T8" s="45" t="s">
        <v>27</v>
      </c>
      <c r="U8" s="45" t="s">
        <v>128</v>
      </c>
      <c r="V8" s="45" t="s">
        <v>128</v>
      </c>
      <c r="W8" s="45" t="s">
        <v>27</v>
      </c>
      <c r="X8" s="45" t="s">
        <v>128</v>
      </c>
      <c r="Y8" s="45" t="s">
        <v>128</v>
      </c>
      <c r="Z8" s="45" t="s">
        <v>27</v>
      </c>
      <c r="AA8" s="45" t="s">
        <v>128</v>
      </c>
      <c r="AB8" s="45" t="s">
        <v>128</v>
      </c>
      <c r="AC8" s="45" t="s">
        <v>27</v>
      </c>
      <c r="AD8" s="107" t="s">
        <v>128</v>
      </c>
      <c r="AE8" s="107" t="s">
        <v>128</v>
      </c>
      <c r="AF8" s="45" t="s">
        <v>27</v>
      </c>
      <c r="AG8" s="107" t="s">
        <v>128</v>
      </c>
      <c r="AH8" s="107" t="s">
        <v>128</v>
      </c>
      <c r="AI8" s="228"/>
      <c r="AJ8" s="228"/>
      <c r="AK8" s="228"/>
      <c r="AL8" s="228"/>
      <c r="AM8" s="228"/>
      <c r="AN8" s="228"/>
      <c r="AO8" s="140"/>
      <c r="AP8" s="140"/>
    </row>
    <row r="9" spans="1:42" s="48" customFormat="1" x14ac:dyDescent="0.2">
      <c r="A9" s="206" t="s">
        <v>354</v>
      </c>
      <c r="B9" s="26">
        <v>1618</v>
      </c>
      <c r="C9" s="26" t="s">
        <v>22</v>
      </c>
      <c r="D9" s="26" t="s">
        <v>754</v>
      </c>
      <c r="E9" s="26" t="s">
        <v>24</v>
      </c>
      <c r="F9" s="26" t="s">
        <v>94</v>
      </c>
      <c r="G9" s="26" t="s">
        <v>755</v>
      </c>
      <c r="H9" s="26" t="s">
        <v>128</v>
      </c>
      <c r="I9" s="26" t="s">
        <v>128</v>
      </c>
      <c r="J9" s="230">
        <v>35400000</v>
      </c>
      <c r="K9" s="201">
        <v>1</v>
      </c>
      <c r="L9" s="215">
        <v>3</v>
      </c>
      <c r="M9" s="215" t="s">
        <v>27</v>
      </c>
      <c r="N9" s="196">
        <v>45000</v>
      </c>
      <c r="O9" s="195">
        <v>1</v>
      </c>
      <c r="P9" s="45" t="s">
        <v>27</v>
      </c>
      <c r="Q9" s="45" t="s">
        <v>128</v>
      </c>
      <c r="R9" s="45" t="s">
        <v>27</v>
      </c>
      <c r="S9" s="45" t="s">
        <v>128</v>
      </c>
      <c r="T9" s="45" t="s">
        <v>27</v>
      </c>
      <c r="U9" s="45" t="s">
        <v>128</v>
      </c>
      <c r="V9" s="45" t="s">
        <v>128</v>
      </c>
      <c r="W9" s="45" t="s">
        <v>27</v>
      </c>
      <c r="X9" s="45" t="s">
        <v>128</v>
      </c>
      <c r="Y9" s="45" t="s">
        <v>128</v>
      </c>
      <c r="Z9" s="45" t="s">
        <v>27</v>
      </c>
      <c r="AA9" s="45" t="s">
        <v>128</v>
      </c>
      <c r="AB9" s="45" t="s">
        <v>128</v>
      </c>
      <c r="AC9" s="45" t="s">
        <v>27</v>
      </c>
      <c r="AD9" s="107" t="s">
        <v>128</v>
      </c>
      <c r="AE9" s="107" t="s">
        <v>128</v>
      </c>
      <c r="AF9" s="45" t="s">
        <v>27</v>
      </c>
      <c r="AG9" s="107" t="s">
        <v>128</v>
      </c>
      <c r="AH9" s="107" t="s">
        <v>128</v>
      </c>
      <c r="AI9" s="228"/>
      <c r="AJ9" s="228"/>
      <c r="AK9" s="228"/>
      <c r="AL9" s="228"/>
      <c r="AM9" s="228"/>
      <c r="AN9" s="228"/>
      <c r="AO9" s="140"/>
      <c r="AP9" s="140"/>
    </row>
    <row r="10" spans="1:42" s="48" customFormat="1" x14ac:dyDescent="0.2">
      <c r="A10" s="206" t="s">
        <v>354</v>
      </c>
      <c r="B10" s="26">
        <v>1542</v>
      </c>
      <c r="C10" s="26" t="s">
        <v>22</v>
      </c>
      <c r="D10" s="26" t="s">
        <v>42</v>
      </c>
      <c r="E10" s="26" t="s">
        <v>24</v>
      </c>
      <c r="F10" s="26" t="s">
        <v>756</v>
      </c>
      <c r="G10" s="26" t="s">
        <v>44</v>
      </c>
      <c r="H10" s="26" t="s">
        <v>128</v>
      </c>
      <c r="I10" s="26" t="s">
        <v>128</v>
      </c>
      <c r="J10" s="230">
        <v>28400000</v>
      </c>
      <c r="K10" s="201">
        <v>1</v>
      </c>
      <c r="L10" s="215">
        <v>4</v>
      </c>
      <c r="M10" s="215" t="s">
        <v>27</v>
      </c>
      <c r="N10" s="196">
        <v>45005</v>
      </c>
      <c r="O10" s="195">
        <v>1</v>
      </c>
      <c r="P10" s="45" t="s">
        <v>27</v>
      </c>
      <c r="Q10" s="45" t="s">
        <v>128</v>
      </c>
      <c r="R10" s="45" t="s">
        <v>27</v>
      </c>
      <c r="S10" s="45" t="s">
        <v>128</v>
      </c>
      <c r="T10" s="45" t="s">
        <v>27</v>
      </c>
      <c r="U10" s="45" t="s">
        <v>128</v>
      </c>
      <c r="V10" s="45" t="s">
        <v>128</v>
      </c>
      <c r="W10" s="45" t="s">
        <v>27</v>
      </c>
      <c r="X10" s="45" t="s">
        <v>128</v>
      </c>
      <c r="Y10" s="45" t="s">
        <v>128</v>
      </c>
      <c r="Z10" s="45" t="s">
        <v>27</v>
      </c>
      <c r="AA10" s="45" t="s">
        <v>128</v>
      </c>
      <c r="AB10" s="45" t="s">
        <v>128</v>
      </c>
      <c r="AC10" s="45" t="s">
        <v>27</v>
      </c>
      <c r="AD10" s="107" t="s">
        <v>128</v>
      </c>
      <c r="AE10" s="107" t="s">
        <v>128</v>
      </c>
      <c r="AF10" s="45" t="s">
        <v>27</v>
      </c>
      <c r="AG10" s="107" t="s">
        <v>128</v>
      </c>
      <c r="AH10" s="107" t="s">
        <v>128</v>
      </c>
      <c r="AI10" s="228"/>
      <c r="AJ10" s="228"/>
      <c r="AK10" s="228"/>
      <c r="AL10" s="228"/>
      <c r="AM10" s="228"/>
      <c r="AN10" s="228"/>
      <c r="AO10" s="140"/>
      <c r="AP10" s="140"/>
    </row>
    <row r="11" spans="1:42" s="48" customFormat="1" x14ac:dyDescent="0.2">
      <c r="A11" s="206" t="s">
        <v>354</v>
      </c>
      <c r="B11" s="26">
        <v>1567</v>
      </c>
      <c r="C11" s="26" t="s">
        <v>22</v>
      </c>
      <c r="D11" s="26" t="s">
        <v>106</v>
      </c>
      <c r="E11" s="26" t="s">
        <v>38</v>
      </c>
      <c r="F11" s="26" t="s">
        <v>757</v>
      </c>
      <c r="G11" s="26" t="s">
        <v>106</v>
      </c>
      <c r="H11" s="26" t="s">
        <v>128</v>
      </c>
      <c r="I11" s="26" t="s">
        <v>128</v>
      </c>
      <c r="J11" s="230">
        <v>28390000</v>
      </c>
      <c r="K11" s="201">
        <v>1</v>
      </c>
      <c r="L11" s="215">
        <v>4</v>
      </c>
      <c r="M11" s="215" t="s">
        <v>27</v>
      </c>
      <c r="N11" s="196">
        <v>45005</v>
      </c>
      <c r="O11" s="195">
        <v>1</v>
      </c>
      <c r="P11" s="45" t="s">
        <v>27</v>
      </c>
      <c r="Q11" s="45" t="s">
        <v>128</v>
      </c>
      <c r="R11" s="45" t="s">
        <v>27</v>
      </c>
      <c r="S11" s="45" t="s">
        <v>128</v>
      </c>
      <c r="T11" s="45" t="s">
        <v>27</v>
      </c>
      <c r="U11" s="45" t="s">
        <v>128</v>
      </c>
      <c r="V11" s="45" t="s">
        <v>128</v>
      </c>
      <c r="W11" s="45" t="s">
        <v>27</v>
      </c>
      <c r="X11" s="45" t="s">
        <v>128</v>
      </c>
      <c r="Y11" s="45" t="s">
        <v>128</v>
      </c>
      <c r="Z11" s="45" t="s">
        <v>27</v>
      </c>
      <c r="AA11" s="45" t="s">
        <v>128</v>
      </c>
      <c r="AB11" s="45" t="s">
        <v>128</v>
      </c>
      <c r="AC11" s="45" t="s">
        <v>27</v>
      </c>
      <c r="AD11" s="107" t="s">
        <v>128</v>
      </c>
      <c r="AE11" s="107" t="s">
        <v>128</v>
      </c>
      <c r="AF11" s="45" t="s">
        <v>27</v>
      </c>
      <c r="AG11" s="107" t="s">
        <v>128</v>
      </c>
      <c r="AH11" s="107" t="s">
        <v>128</v>
      </c>
      <c r="AI11" s="228"/>
      <c r="AJ11" s="228"/>
      <c r="AK11" s="228"/>
      <c r="AL11" s="228"/>
      <c r="AM11" s="228"/>
      <c r="AN11" s="228"/>
      <c r="AO11" s="140"/>
      <c r="AP11" s="140"/>
    </row>
    <row r="12" spans="1:42" s="48" customFormat="1" x14ac:dyDescent="0.2">
      <c r="A12" s="206" t="s">
        <v>354</v>
      </c>
      <c r="B12" s="26">
        <v>1553</v>
      </c>
      <c r="C12" s="26" t="s">
        <v>29</v>
      </c>
      <c r="D12" s="26" t="s">
        <v>62</v>
      </c>
      <c r="E12" s="26" t="s">
        <v>38</v>
      </c>
      <c r="F12" s="26" t="s">
        <v>135</v>
      </c>
      <c r="G12" s="26" t="s">
        <v>147</v>
      </c>
      <c r="H12" s="26" t="s">
        <v>128</v>
      </c>
      <c r="I12" s="26" t="s">
        <v>128</v>
      </c>
      <c r="J12" s="230">
        <v>12500000</v>
      </c>
      <c r="K12" s="201">
        <v>1</v>
      </c>
      <c r="L12" s="215">
        <v>4</v>
      </c>
      <c r="M12" s="215" t="s">
        <v>27</v>
      </c>
      <c r="N12" s="196">
        <v>45007</v>
      </c>
      <c r="O12" s="195">
        <v>1</v>
      </c>
      <c r="P12" s="45" t="s">
        <v>27</v>
      </c>
      <c r="Q12" s="45" t="s">
        <v>128</v>
      </c>
      <c r="R12" s="45" t="s">
        <v>27</v>
      </c>
      <c r="S12" s="45" t="s">
        <v>128</v>
      </c>
      <c r="T12" s="45" t="s">
        <v>27</v>
      </c>
      <c r="U12" s="45" t="s">
        <v>128</v>
      </c>
      <c r="V12" s="45" t="s">
        <v>128</v>
      </c>
      <c r="W12" s="45" t="s">
        <v>27</v>
      </c>
      <c r="X12" s="45" t="s">
        <v>128</v>
      </c>
      <c r="Y12" s="45" t="s">
        <v>128</v>
      </c>
      <c r="Z12" s="45" t="s">
        <v>27</v>
      </c>
      <c r="AA12" s="45" t="s">
        <v>128</v>
      </c>
      <c r="AB12" s="45" t="s">
        <v>128</v>
      </c>
      <c r="AC12" s="45" t="s">
        <v>27</v>
      </c>
      <c r="AD12" s="107" t="s">
        <v>128</v>
      </c>
      <c r="AE12" s="107" t="s">
        <v>128</v>
      </c>
      <c r="AF12" s="45" t="s">
        <v>27</v>
      </c>
      <c r="AG12" s="107" t="s">
        <v>128</v>
      </c>
      <c r="AH12" s="107" t="s">
        <v>128</v>
      </c>
      <c r="AI12" s="228"/>
      <c r="AJ12" s="228"/>
      <c r="AK12" s="228"/>
      <c r="AL12" s="228"/>
      <c r="AM12" s="228"/>
      <c r="AN12" s="228"/>
      <c r="AO12" s="140"/>
      <c r="AP12" s="140"/>
    </row>
    <row r="13" spans="1:42" s="48" customFormat="1" x14ac:dyDescent="0.2">
      <c r="A13" s="206" t="s">
        <v>354</v>
      </c>
      <c r="B13" s="26">
        <v>1482</v>
      </c>
      <c r="C13" s="26" t="s">
        <v>29</v>
      </c>
      <c r="D13" s="26" t="s">
        <v>758</v>
      </c>
      <c r="E13" s="26" t="s">
        <v>38</v>
      </c>
      <c r="F13" s="26" t="s">
        <v>97</v>
      </c>
      <c r="G13" s="26" t="s">
        <v>33</v>
      </c>
      <c r="H13" s="26" t="s">
        <v>128</v>
      </c>
      <c r="I13" s="26" t="s">
        <v>128</v>
      </c>
      <c r="J13" s="230">
        <v>14700000</v>
      </c>
      <c r="K13" s="201">
        <v>1</v>
      </c>
      <c r="L13" s="215">
        <v>4</v>
      </c>
      <c r="M13" s="215" t="s">
        <v>27</v>
      </c>
      <c r="N13" s="196">
        <v>45008</v>
      </c>
      <c r="O13" s="195">
        <v>1</v>
      </c>
      <c r="P13" s="45" t="s">
        <v>27</v>
      </c>
      <c r="Q13" s="45" t="s">
        <v>128</v>
      </c>
      <c r="R13" s="45" t="s">
        <v>27</v>
      </c>
      <c r="S13" s="45" t="s">
        <v>128</v>
      </c>
      <c r="T13" s="45" t="s">
        <v>27</v>
      </c>
      <c r="U13" s="45" t="s">
        <v>128</v>
      </c>
      <c r="V13" s="45" t="s">
        <v>128</v>
      </c>
      <c r="W13" s="45" t="s">
        <v>27</v>
      </c>
      <c r="X13" s="45" t="s">
        <v>128</v>
      </c>
      <c r="Y13" s="45" t="s">
        <v>128</v>
      </c>
      <c r="Z13" s="45" t="s">
        <v>27</v>
      </c>
      <c r="AA13" s="45" t="s">
        <v>128</v>
      </c>
      <c r="AB13" s="45" t="s">
        <v>128</v>
      </c>
      <c r="AC13" s="45" t="s">
        <v>27</v>
      </c>
      <c r="AD13" s="107" t="s">
        <v>128</v>
      </c>
      <c r="AE13" s="107" t="s">
        <v>128</v>
      </c>
      <c r="AF13" s="45" t="s">
        <v>27</v>
      </c>
      <c r="AG13" s="107" t="s">
        <v>128</v>
      </c>
      <c r="AH13" s="107" t="s">
        <v>128</v>
      </c>
      <c r="AI13" s="228"/>
      <c r="AJ13" s="228"/>
      <c r="AK13" s="228"/>
      <c r="AL13" s="228"/>
      <c r="AM13" s="228"/>
      <c r="AN13" s="228"/>
      <c r="AO13" s="140"/>
      <c r="AP13" s="140"/>
    </row>
    <row r="14" spans="1:42" s="48" customFormat="1" x14ac:dyDescent="0.2">
      <c r="A14" s="206" t="s">
        <v>354</v>
      </c>
      <c r="B14" s="26">
        <v>1629</v>
      </c>
      <c r="C14" s="26" t="s">
        <v>29</v>
      </c>
      <c r="D14" s="26" t="s">
        <v>45</v>
      </c>
      <c r="E14" s="26" t="s">
        <v>24</v>
      </c>
      <c r="F14" s="26" t="s">
        <v>104</v>
      </c>
      <c r="G14" s="26" t="s">
        <v>33</v>
      </c>
      <c r="H14" s="26" t="s">
        <v>128</v>
      </c>
      <c r="I14" s="26" t="s">
        <v>128</v>
      </c>
      <c r="J14" s="230">
        <v>26800000</v>
      </c>
      <c r="K14" s="201">
        <v>1</v>
      </c>
      <c r="L14" s="215">
        <v>4</v>
      </c>
      <c r="M14" s="215" t="s">
        <v>27</v>
      </c>
      <c r="N14" s="196">
        <v>45008</v>
      </c>
      <c r="O14" s="195">
        <v>1</v>
      </c>
      <c r="P14" s="45" t="s">
        <v>27</v>
      </c>
      <c r="Q14" s="45" t="s">
        <v>128</v>
      </c>
      <c r="R14" s="45" t="s">
        <v>27</v>
      </c>
      <c r="S14" s="45" t="s">
        <v>128</v>
      </c>
      <c r="T14" s="45" t="s">
        <v>27</v>
      </c>
      <c r="U14" s="45" t="s">
        <v>128</v>
      </c>
      <c r="V14" s="45" t="s">
        <v>128</v>
      </c>
      <c r="W14" s="45" t="s">
        <v>27</v>
      </c>
      <c r="X14" s="45" t="s">
        <v>128</v>
      </c>
      <c r="Y14" s="45" t="s">
        <v>128</v>
      </c>
      <c r="Z14" s="45" t="s">
        <v>27</v>
      </c>
      <c r="AA14" s="45" t="s">
        <v>128</v>
      </c>
      <c r="AB14" s="45" t="s">
        <v>128</v>
      </c>
      <c r="AC14" s="45" t="s">
        <v>27</v>
      </c>
      <c r="AD14" s="107" t="s">
        <v>128</v>
      </c>
      <c r="AE14" s="107" t="s">
        <v>128</v>
      </c>
      <c r="AF14" s="45" t="s">
        <v>27</v>
      </c>
      <c r="AG14" s="107" t="s">
        <v>128</v>
      </c>
      <c r="AH14" s="107" t="s">
        <v>128</v>
      </c>
      <c r="AI14" s="228"/>
      <c r="AJ14" s="228"/>
      <c r="AK14" s="228"/>
      <c r="AL14" s="228"/>
      <c r="AM14" s="228"/>
      <c r="AN14" s="228"/>
      <c r="AO14" s="140"/>
      <c r="AP14" s="140"/>
    </row>
    <row r="15" spans="1:42" s="48" customFormat="1" x14ac:dyDescent="0.2">
      <c r="A15" s="206" t="s">
        <v>354</v>
      </c>
      <c r="B15" s="26">
        <v>1619</v>
      </c>
      <c r="C15" s="26" t="s">
        <v>22</v>
      </c>
      <c r="D15" s="26" t="s">
        <v>754</v>
      </c>
      <c r="E15" s="26" t="s">
        <v>24</v>
      </c>
      <c r="F15" s="26" t="s">
        <v>94</v>
      </c>
      <c r="G15" s="26" t="s">
        <v>755</v>
      </c>
      <c r="H15" s="26" t="s">
        <v>128</v>
      </c>
      <c r="I15" s="26" t="s">
        <v>128</v>
      </c>
      <c r="J15" s="230">
        <v>35400000</v>
      </c>
      <c r="K15" s="201">
        <v>1</v>
      </c>
      <c r="L15" s="215">
        <v>4</v>
      </c>
      <c r="M15" s="215" t="s">
        <v>27</v>
      </c>
      <c r="N15" s="196">
        <v>45009</v>
      </c>
      <c r="O15" s="195">
        <v>1</v>
      </c>
      <c r="P15" s="45" t="s">
        <v>27</v>
      </c>
      <c r="Q15" s="45" t="s">
        <v>128</v>
      </c>
      <c r="R15" s="45" t="s">
        <v>27</v>
      </c>
      <c r="S15" s="45" t="s">
        <v>128</v>
      </c>
      <c r="T15" s="45" t="s">
        <v>27</v>
      </c>
      <c r="U15" s="45" t="s">
        <v>128</v>
      </c>
      <c r="V15" s="45" t="s">
        <v>128</v>
      </c>
      <c r="W15" s="45" t="s">
        <v>27</v>
      </c>
      <c r="X15" s="45" t="s">
        <v>128</v>
      </c>
      <c r="Y15" s="45" t="s">
        <v>128</v>
      </c>
      <c r="Z15" s="45" t="s">
        <v>27</v>
      </c>
      <c r="AA15" s="45" t="s">
        <v>128</v>
      </c>
      <c r="AB15" s="45" t="s">
        <v>128</v>
      </c>
      <c r="AC15" s="45" t="s">
        <v>27</v>
      </c>
      <c r="AD15" s="107" t="s">
        <v>128</v>
      </c>
      <c r="AE15" s="107" t="s">
        <v>128</v>
      </c>
      <c r="AF15" s="45" t="s">
        <v>27</v>
      </c>
      <c r="AG15" s="107" t="s">
        <v>128</v>
      </c>
      <c r="AH15" s="107" t="s">
        <v>128</v>
      </c>
      <c r="AI15" s="228"/>
      <c r="AJ15" s="228"/>
      <c r="AK15" s="228"/>
      <c r="AL15" s="228"/>
      <c r="AM15" s="228"/>
      <c r="AN15" s="228"/>
      <c r="AO15" s="140"/>
      <c r="AP15" s="140"/>
    </row>
    <row r="16" spans="1:42" s="48" customFormat="1" x14ac:dyDescent="0.2">
      <c r="A16" s="206" t="s">
        <v>354</v>
      </c>
      <c r="B16" s="26">
        <v>1324</v>
      </c>
      <c r="C16" s="26" t="s">
        <v>22</v>
      </c>
      <c r="D16" s="26" t="s">
        <v>23</v>
      </c>
      <c r="E16" s="26" t="s">
        <v>38</v>
      </c>
      <c r="F16" s="26" t="s">
        <v>97</v>
      </c>
      <c r="G16" s="26" t="s">
        <v>23</v>
      </c>
      <c r="H16" s="26" t="s">
        <v>128</v>
      </c>
      <c r="I16" s="26" t="s">
        <v>128</v>
      </c>
      <c r="J16" s="230">
        <v>14700000</v>
      </c>
      <c r="K16" s="201">
        <v>1</v>
      </c>
      <c r="L16" s="215">
        <v>4</v>
      </c>
      <c r="M16" s="215" t="s">
        <v>27</v>
      </c>
      <c r="N16" s="196">
        <v>45009</v>
      </c>
      <c r="O16" s="195">
        <v>1</v>
      </c>
      <c r="P16" s="45" t="s">
        <v>27</v>
      </c>
      <c r="Q16" s="45" t="s">
        <v>128</v>
      </c>
      <c r="R16" s="45" t="s">
        <v>27</v>
      </c>
      <c r="S16" s="45" t="s">
        <v>128</v>
      </c>
      <c r="T16" s="45" t="s">
        <v>27</v>
      </c>
      <c r="U16" s="45" t="s">
        <v>128</v>
      </c>
      <c r="V16" s="45" t="s">
        <v>128</v>
      </c>
      <c r="W16" s="45" t="s">
        <v>27</v>
      </c>
      <c r="X16" s="45" t="s">
        <v>128</v>
      </c>
      <c r="Y16" s="45" t="s">
        <v>128</v>
      </c>
      <c r="Z16" s="45" t="s">
        <v>27</v>
      </c>
      <c r="AA16" s="45" t="s">
        <v>128</v>
      </c>
      <c r="AB16" s="45" t="s">
        <v>128</v>
      </c>
      <c r="AC16" s="45" t="s">
        <v>27</v>
      </c>
      <c r="AD16" s="107" t="s">
        <v>128</v>
      </c>
      <c r="AE16" s="107" t="s">
        <v>128</v>
      </c>
      <c r="AF16" s="45" t="s">
        <v>27</v>
      </c>
      <c r="AG16" s="107" t="s">
        <v>128</v>
      </c>
      <c r="AH16" s="107" t="s">
        <v>128</v>
      </c>
      <c r="AI16" s="228"/>
      <c r="AJ16" s="228"/>
      <c r="AK16" s="228"/>
      <c r="AL16" s="228"/>
      <c r="AM16" s="228"/>
      <c r="AN16" s="228"/>
      <c r="AO16" s="140"/>
      <c r="AP16" s="140"/>
    </row>
    <row r="17" spans="1:42" s="48" customFormat="1" x14ac:dyDescent="0.2">
      <c r="A17" s="206" t="s">
        <v>354</v>
      </c>
      <c r="B17" s="26">
        <v>1635</v>
      </c>
      <c r="C17" s="26" t="s">
        <v>735</v>
      </c>
      <c r="D17" s="26" t="s">
        <v>759</v>
      </c>
      <c r="E17" s="26" t="s">
        <v>24</v>
      </c>
      <c r="F17" s="26" t="s">
        <v>753</v>
      </c>
      <c r="G17" s="26" t="s">
        <v>44</v>
      </c>
      <c r="H17" s="26" t="s">
        <v>128</v>
      </c>
      <c r="I17" s="26" t="s">
        <v>128</v>
      </c>
      <c r="J17" s="230">
        <v>27000000</v>
      </c>
      <c r="K17" s="201">
        <v>1</v>
      </c>
      <c r="L17" s="215">
        <v>5</v>
      </c>
      <c r="M17" s="215" t="s">
        <v>27</v>
      </c>
      <c r="N17" s="196">
        <v>45013</v>
      </c>
      <c r="O17" s="195">
        <v>1</v>
      </c>
      <c r="P17" s="45" t="s">
        <v>27</v>
      </c>
      <c r="Q17" s="45" t="s">
        <v>128</v>
      </c>
      <c r="R17" s="45" t="s">
        <v>27</v>
      </c>
      <c r="S17" s="45" t="s">
        <v>128</v>
      </c>
      <c r="T17" s="45" t="s">
        <v>27</v>
      </c>
      <c r="U17" s="45" t="s">
        <v>128</v>
      </c>
      <c r="V17" s="45" t="s">
        <v>128</v>
      </c>
      <c r="W17" s="45" t="s">
        <v>27</v>
      </c>
      <c r="X17" s="45" t="s">
        <v>128</v>
      </c>
      <c r="Y17" s="45" t="s">
        <v>128</v>
      </c>
      <c r="Z17" s="45" t="s">
        <v>27</v>
      </c>
      <c r="AA17" s="45" t="s">
        <v>128</v>
      </c>
      <c r="AB17" s="45" t="s">
        <v>128</v>
      </c>
      <c r="AC17" s="45" t="s">
        <v>27</v>
      </c>
      <c r="AD17" s="107" t="s">
        <v>128</v>
      </c>
      <c r="AE17" s="107" t="s">
        <v>128</v>
      </c>
      <c r="AF17" s="45" t="s">
        <v>27</v>
      </c>
      <c r="AG17" s="107" t="s">
        <v>128</v>
      </c>
      <c r="AH17" s="107" t="s">
        <v>128</v>
      </c>
      <c r="AI17" s="228"/>
      <c r="AJ17" s="228"/>
      <c r="AK17" s="228"/>
      <c r="AL17" s="228"/>
      <c r="AM17" s="228"/>
      <c r="AN17" s="228"/>
      <c r="AO17" s="140"/>
      <c r="AP17" s="140"/>
    </row>
    <row r="18" spans="1:42" s="48" customFormat="1" x14ac:dyDescent="0.2">
      <c r="A18" s="206" t="s">
        <v>354</v>
      </c>
      <c r="B18" s="26">
        <v>1365</v>
      </c>
      <c r="C18" s="26" t="s">
        <v>22</v>
      </c>
      <c r="D18" s="26" t="s">
        <v>138</v>
      </c>
      <c r="E18" s="26" t="s">
        <v>31</v>
      </c>
      <c r="F18" s="26" t="s">
        <v>570</v>
      </c>
      <c r="G18" s="26" t="s">
        <v>33</v>
      </c>
      <c r="H18" s="26" t="s">
        <v>128</v>
      </c>
      <c r="I18" s="26" t="s">
        <v>128</v>
      </c>
      <c r="J18" s="230">
        <v>27000000</v>
      </c>
      <c r="K18" s="201">
        <v>1</v>
      </c>
      <c r="L18" s="215">
        <v>5</v>
      </c>
      <c r="M18" s="215" t="s">
        <v>27</v>
      </c>
      <c r="N18" s="196">
        <v>45014</v>
      </c>
      <c r="O18" s="195">
        <v>1</v>
      </c>
      <c r="P18" s="45" t="s">
        <v>27</v>
      </c>
      <c r="Q18" s="45" t="s">
        <v>128</v>
      </c>
      <c r="R18" s="45" t="s">
        <v>27</v>
      </c>
      <c r="S18" s="45" t="s">
        <v>128</v>
      </c>
      <c r="T18" s="45" t="s">
        <v>27</v>
      </c>
      <c r="U18" s="45" t="s">
        <v>128</v>
      </c>
      <c r="V18" s="45" t="s">
        <v>128</v>
      </c>
      <c r="W18" s="45" t="s">
        <v>27</v>
      </c>
      <c r="X18" s="45" t="s">
        <v>128</v>
      </c>
      <c r="Y18" s="45" t="s">
        <v>128</v>
      </c>
      <c r="Z18" s="45" t="s">
        <v>27</v>
      </c>
      <c r="AA18" s="45" t="s">
        <v>128</v>
      </c>
      <c r="AB18" s="45" t="s">
        <v>128</v>
      </c>
      <c r="AC18" s="45" t="s">
        <v>27</v>
      </c>
      <c r="AD18" s="107" t="s">
        <v>128</v>
      </c>
      <c r="AE18" s="107" t="s">
        <v>128</v>
      </c>
      <c r="AF18" s="45" t="s">
        <v>27</v>
      </c>
      <c r="AG18" s="107" t="s">
        <v>128</v>
      </c>
      <c r="AH18" s="107" t="s">
        <v>128</v>
      </c>
      <c r="AI18" s="228"/>
      <c r="AJ18" s="228"/>
      <c r="AK18" s="228"/>
      <c r="AL18" s="228"/>
      <c r="AM18" s="228"/>
      <c r="AN18" s="228"/>
      <c r="AO18" s="279"/>
      <c r="AP18" s="140"/>
    </row>
    <row r="19" spans="1:42" s="48" customFormat="1" x14ac:dyDescent="0.2">
      <c r="A19" s="206" t="s">
        <v>354</v>
      </c>
      <c r="B19" s="26">
        <v>1560</v>
      </c>
      <c r="C19" s="26" t="s">
        <v>22</v>
      </c>
      <c r="D19" s="26" t="s">
        <v>132</v>
      </c>
      <c r="E19" s="26" t="s">
        <v>34</v>
      </c>
      <c r="F19" s="26" t="s">
        <v>760</v>
      </c>
      <c r="G19" s="26" t="s">
        <v>33</v>
      </c>
      <c r="H19" s="26" t="s">
        <v>128</v>
      </c>
      <c r="I19" s="26" t="s">
        <v>128</v>
      </c>
      <c r="J19" s="230">
        <v>7000000</v>
      </c>
      <c r="K19" s="201">
        <v>1</v>
      </c>
      <c r="L19" s="215">
        <v>5</v>
      </c>
      <c r="M19" s="215" t="s">
        <v>27</v>
      </c>
      <c r="N19" s="196">
        <v>45016</v>
      </c>
      <c r="O19" s="195">
        <v>1</v>
      </c>
      <c r="P19" s="45" t="s">
        <v>27</v>
      </c>
      <c r="Q19" s="45" t="s">
        <v>128</v>
      </c>
      <c r="R19" s="45" t="s">
        <v>27</v>
      </c>
      <c r="S19" s="45" t="s">
        <v>128</v>
      </c>
      <c r="T19" s="45" t="s">
        <v>27</v>
      </c>
      <c r="U19" s="45" t="s">
        <v>128</v>
      </c>
      <c r="V19" s="45" t="s">
        <v>128</v>
      </c>
      <c r="W19" s="45" t="s">
        <v>27</v>
      </c>
      <c r="X19" s="45" t="s">
        <v>128</v>
      </c>
      <c r="Y19" s="45" t="s">
        <v>128</v>
      </c>
      <c r="Z19" s="45" t="s">
        <v>27</v>
      </c>
      <c r="AA19" s="45" t="s">
        <v>128</v>
      </c>
      <c r="AB19" s="45" t="s">
        <v>128</v>
      </c>
      <c r="AC19" s="45" t="s">
        <v>27</v>
      </c>
      <c r="AD19" s="107" t="s">
        <v>128</v>
      </c>
      <c r="AE19" s="107" t="s">
        <v>128</v>
      </c>
      <c r="AF19" s="45" t="s">
        <v>27</v>
      </c>
      <c r="AG19" s="107" t="s">
        <v>128</v>
      </c>
      <c r="AH19" s="107" t="s">
        <v>128</v>
      </c>
      <c r="AI19" s="228"/>
      <c r="AJ19" s="228"/>
      <c r="AK19" s="228"/>
      <c r="AL19" s="228"/>
      <c r="AM19" s="228"/>
      <c r="AN19" s="228"/>
      <c r="AO19" s="279"/>
      <c r="AP19" s="140"/>
    </row>
    <row r="20" spans="1:42" s="48" customFormat="1" x14ac:dyDescent="0.2">
      <c r="A20" s="206" t="s">
        <v>354</v>
      </c>
      <c r="B20" s="26">
        <v>1516</v>
      </c>
      <c r="C20" s="26" t="s">
        <v>22</v>
      </c>
      <c r="D20" s="26" t="s">
        <v>667</v>
      </c>
      <c r="E20" s="26" t="s">
        <v>31</v>
      </c>
      <c r="F20" s="26" t="s">
        <v>570</v>
      </c>
      <c r="G20" s="26" t="s">
        <v>60</v>
      </c>
      <c r="H20" s="26" t="s">
        <v>128</v>
      </c>
      <c r="I20" s="26" t="s">
        <v>128</v>
      </c>
      <c r="J20" s="230">
        <v>95760000</v>
      </c>
      <c r="K20" s="201">
        <v>1</v>
      </c>
      <c r="L20" s="215">
        <v>6</v>
      </c>
      <c r="M20" s="215" t="s">
        <v>27</v>
      </c>
      <c r="N20" s="196">
        <v>45019</v>
      </c>
      <c r="O20" s="195">
        <v>1</v>
      </c>
      <c r="P20" s="45" t="s">
        <v>27</v>
      </c>
      <c r="Q20" s="45" t="s">
        <v>128</v>
      </c>
      <c r="R20" s="45" t="s">
        <v>27</v>
      </c>
      <c r="S20" s="45" t="s">
        <v>128</v>
      </c>
      <c r="T20" s="45" t="s">
        <v>27</v>
      </c>
      <c r="U20" s="45" t="s">
        <v>128</v>
      </c>
      <c r="V20" s="45" t="s">
        <v>128</v>
      </c>
      <c r="W20" s="45" t="s">
        <v>27</v>
      </c>
      <c r="X20" s="45" t="s">
        <v>128</v>
      </c>
      <c r="Y20" s="45" t="s">
        <v>128</v>
      </c>
      <c r="Z20" s="45" t="s">
        <v>27</v>
      </c>
      <c r="AA20" s="45" t="s">
        <v>128</v>
      </c>
      <c r="AB20" s="45" t="s">
        <v>128</v>
      </c>
      <c r="AC20" s="45" t="s">
        <v>27</v>
      </c>
      <c r="AD20" s="107" t="s">
        <v>128</v>
      </c>
      <c r="AE20" s="107" t="s">
        <v>128</v>
      </c>
      <c r="AF20" s="45" t="s">
        <v>27</v>
      </c>
      <c r="AG20" s="107" t="s">
        <v>128</v>
      </c>
      <c r="AH20" s="107" t="s">
        <v>128</v>
      </c>
      <c r="AI20" s="228"/>
      <c r="AJ20" s="228"/>
      <c r="AK20" s="228"/>
      <c r="AL20" s="228"/>
      <c r="AM20" s="228"/>
      <c r="AN20" s="228"/>
      <c r="AO20" s="279"/>
      <c r="AP20" s="140"/>
    </row>
    <row r="21" spans="1:42" s="48" customFormat="1" x14ac:dyDescent="0.2">
      <c r="A21" s="206" t="s">
        <v>354</v>
      </c>
      <c r="B21" s="26">
        <v>1463</v>
      </c>
      <c r="C21" s="26" t="s">
        <v>22</v>
      </c>
      <c r="D21" s="26" t="s">
        <v>106</v>
      </c>
      <c r="E21" s="26" t="s">
        <v>24</v>
      </c>
      <c r="F21" s="26" t="s">
        <v>761</v>
      </c>
      <c r="G21" s="26" t="s">
        <v>106</v>
      </c>
      <c r="H21" s="26" t="s">
        <v>128</v>
      </c>
      <c r="I21" s="26" t="s">
        <v>128</v>
      </c>
      <c r="J21" s="230">
        <v>27500000</v>
      </c>
      <c r="K21" s="201">
        <v>1</v>
      </c>
      <c r="L21" s="215">
        <v>6</v>
      </c>
      <c r="M21" s="215" t="s">
        <v>27</v>
      </c>
      <c r="N21" s="196">
        <v>45019</v>
      </c>
      <c r="O21" s="195">
        <v>1</v>
      </c>
      <c r="P21" s="45" t="s">
        <v>27</v>
      </c>
      <c r="Q21" s="45" t="s">
        <v>128</v>
      </c>
      <c r="R21" s="45" t="s">
        <v>27</v>
      </c>
      <c r="S21" s="45" t="s">
        <v>128</v>
      </c>
      <c r="T21" s="45" t="s">
        <v>27</v>
      </c>
      <c r="U21" s="45" t="s">
        <v>128</v>
      </c>
      <c r="V21" s="45" t="s">
        <v>128</v>
      </c>
      <c r="W21" s="45" t="s">
        <v>27</v>
      </c>
      <c r="X21" s="45" t="s">
        <v>128</v>
      </c>
      <c r="Y21" s="45" t="s">
        <v>128</v>
      </c>
      <c r="Z21" s="45" t="s">
        <v>27</v>
      </c>
      <c r="AA21" s="45" t="s">
        <v>128</v>
      </c>
      <c r="AB21" s="45" t="s">
        <v>128</v>
      </c>
      <c r="AC21" s="45" t="s">
        <v>27</v>
      </c>
      <c r="AD21" s="107" t="s">
        <v>128</v>
      </c>
      <c r="AE21" s="107" t="s">
        <v>128</v>
      </c>
      <c r="AF21" s="45" t="s">
        <v>27</v>
      </c>
      <c r="AG21" s="107" t="s">
        <v>128</v>
      </c>
      <c r="AH21" s="107" t="s">
        <v>128</v>
      </c>
      <c r="AI21" s="228"/>
      <c r="AJ21" s="228"/>
      <c r="AK21" s="228"/>
      <c r="AL21" s="228"/>
      <c r="AM21" s="228"/>
      <c r="AN21" s="228"/>
      <c r="AO21" s="140"/>
      <c r="AP21" s="140"/>
    </row>
    <row r="22" spans="1:42" s="48" customFormat="1" x14ac:dyDescent="0.2">
      <c r="A22" s="206" t="s">
        <v>354</v>
      </c>
      <c r="B22" s="26">
        <v>1536</v>
      </c>
      <c r="C22" s="26" t="s">
        <v>22</v>
      </c>
      <c r="D22" s="26" t="s">
        <v>106</v>
      </c>
      <c r="E22" s="26" t="s">
        <v>38</v>
      </c>
      <c r="F22" s="26" t="s">
        <v>59</v>
      </c>
      <c r="G22" s="26" t="s">
        <v>106</v>
      </c>
      <c r="H22" s="26" t="s">
        <v>128</v>
      </c>
      <c r="I22" s="26" t="s">
        <v>128</v>
      </c>
      <c r="J22" s="230">
        <v>26500000</v>
      </c>
      <c r="K22" s="201">
        <v>1</v>
      </c>
      <c r="L22" s="215">
        <v>6</v>
      </c>
      <c r="M22" s="215" t="s">
        <v>27</v>
      </c>
      <c r="N22" s="196">
        <v>45020</v>
      </c>
      <c r="O22" s="195">
        <v>1</v>
      </c>
      <c r="P22" s="45" t="s">
        <v>27</v>
      </c>
      <c r="Q22" s="45" t="s">
        <v>128</v>
      </c>
      <c r="R22" s="45" t="s">
        <v>27</v>
      </c>
      <c r="S22" s="45" t="s">
        <v>128</v>
      </c>
      <c r="T22" s="45" t="s">
        <v>27</v>
      </c>
      <c r="U22" s="45" t="s">
        <v>128</v>
      </c>
      <c r="V22" s="45" t="s">
        <v>128</v>
      </c>
      <c r="W22" s="45" t="s">
        <v>27</v>
      </c>
      <c r="X22" s="45" t="s">
        <v>128</v>
      </c>
      <c r="Y22" s="45" t="s">
        <v>128</v>
      </c>
      <c r="Z22" s="45" t="s">
        <v>27</v>
      </c>
      <c r="AA22" s="45" t="s">
        <v>128</v>
      </c>
      <c r="AB22" s="45" t="s">
        <v>128</v>
      </c>
      <c r="AC22" s="45" t="s">
        <v>27</v>
      </c>
      <c r="AD22" s="107" t="s">
        <v>128</v>
      </c>
      <c r="AE22" s="107" t="s">
        <v>128</v>
      </c>
      <c r="AF22" s="45" t="s">
        <v>27</v>
      </c>
      <c r="AG22" s="107" t="s">
        <v>128</v>
      </c>
      <c r="AH22" s="107" t="s">
        <v>128</v>
      </c>
      <c r="AI22" s="228"/>
      <c r="AJ22" s="228"/>
      <c r="AK22" s="228"/>
      <c r="AL22" s="228"/>
      <c r="AM22" s="228"/>
      <c r="AN22" s="228"/>
      <c r="AO22" s="140"/>
      <c r="AP22" s="140"/>
    </row>
    <row r="23" spans="1:42" s="48" customFormat="1" x14ac:dyDescent="0.2">
      <c r="A23" s="206" t="s">
        <v>354</v>
      </c>
      <c r="B23" s="26">
        <v>1561</v>
      </c>
      <c r="C23" s="26" t="s">
        <v>22</v>
      </c>
      <c r="D23" s="26" t="s">
        <v>132</v>
      </c>
      <c r="E23" s="26" t="s">
        <v>34</v>
      </c>
      <c r="F23" s="26" t="s">
        <v>760</v>
      </c>
      <c r="G23" s="26" t="s">
        <v>33</v>
      </c>
      <c r="H23" s="26" t="s">
        <v>128</v>
      </c>
      <c r="I23" s="26" t="s">
        <v>128</v>
      </c>
      <c r="J23" s="230">
        <v>7000000</v>
      </c>
      <c r="K23" s="201">
        <v>1</v>
      </c>
      <c r="L23" s="215">
        <v>6</v>
      </c>
      <c r="M23" s="215" t="s">
        <v>27</v>
      </c>
      <c r="N23" s="196">
        <v>45020</v>
      </c>
      <c r="O23" s="195">
        <v>1</v>
      </c>
      <c r="P23" s="45" t="s">
        <v>27</v>
      </c>
      <c r="Q23" s="45" t="s">
        <v>128</v>
      </c>
      <c r="R23" s="45" t="s">
        <v>27</v>
      </c>
      <c r="S23" s="45" t="s">
        <v>128</v>
      </c>
      <c r="T23" s="45" t="s">
        <v>27</v>
      </c>
      <c r="U23" s="45" t="s">
        <v>128</v>
      </c>
      <c r="V23" s="45" t="s">
        <v>128</v>
      </c>
      <c r="W23" s="45" t="s">
        <v>27</v>
      </c>
      <c r="X23" s="45" t="s">
        <v>128</v>
      </c>
      <c r="Y23" s="45" t="s">
        <v>128</v>
      </c>
      <c r="Z23" s="45" t="s">
        <v>27</v>
      </c>
      <c r="AA23" s="45" t="s">
        <v>128</v>
      </c>
      <c r="AB23" s="45" t="s">
        <v>128</v>
      </c>
      <c r="AC23" s="45" t="s">
        <v>27</v>
      </c>
      <c r="AD23" s="107" t="s">
        <v>128</v>
      </c>
      <c r="AE23" s="107" t="s">
        <v>128</v>
      </c>
      <c r="AF23" s="45" t="s">
        <v>27</v>
      </c>
      <c r="AG23" s="107" t="s">
        <v>128</v>
      </c>
      <c r="AH23" s="107" t="s">
        <v>128</v>
      </c>
      <c r="AI23" s="228"/>
      <c r="AJ23" s="228"/>
      <c r="AK23" s="228"/>
      <c r="AL23" s="228"/>
      <c r="AM23" s="228"/>
      <c r="AN23" s="228"/>
      <c r="AO23" s="140"/>
      <c r="AP23" s="140"/>
    </row>
    <row r="24" spans="1:42" s="48" customFormat="1" x14ac:dyDescent="0.2">
      <c r="A24" s="206" t="s">
        <v>354</v>
      </c>
      <c r="B24" s="26">
        <v>1562</v>
      </c>
      <c r="C24" s="26" t="s">
        <v>22</v>
      </c>
      <c r="D24" s="26" t="s">
        <v>132</v>
      </c>
      <c r="E24" s="26" t="s">
        <v>34</v>
      </c>
      <c r="F24" s="26" t="s">
        <v>760</v>
      </c>
      <c r="G24" s="26" t="s">
        <v>33</v>
      </c>
      <c r="H24" s="26" t="s">
        <v>128</v>
      </c>
      <c r="I24" s="26" t="s">
        <v>128</v>
      </c>
      <c r="J24" s="230">
        <v>7000000</v>
      </c>
      <c r="K24" s="201">
        <v>1</v>
      </c>
      <c r="L24" s="200">
        <v>7</v>
      </c>
      <c r="M24" s="215" t="s">
        <v>27</v>
      </c>
      <c r="N24" s="196">
        <v>45026</v>
      </c>
      <c r="O24" s="195">
        <v>1</v>
      </c>
      <c r="P24" s="45" t="s">
        <v>27</v>
      </c>
      <c r="Q24" s="45" t="s">
        <v>128</v>
      </c>
      <c r="R24" s="45" t="s">
        <v>27</v>
      </c>
      <c r="S24" s="45" t="s">
        <v>128</v>
      </c>
      <c r="T24" s="45" t="s">
        <v>27</v>
      </c>
      <c r="U24" s="45" t="s">
        <v>128</v>
      </c>
      <c r="V24" s="45" t="s">
        <v>128</v>
      </c>
      <c r="W24" s="45" t="s">
        <v>27</v>
      </c>
      <c r="X24" s="45" t="s">
        <v>128</v>
      </c>
      <c r="Y24" s="45" t="s">
        <v>128</v>
      </c>
      <c r="Z24" s="45" t="s">
        <v>27</v>
      </c>
      <c r="AA24" s="45" t="s">
        <v>128</v>
      </c>
      <c r="AB24" s="45" t="s">
        <v>128</v>
      </c>
      <c r="AC24" s="45" t="s">
        <v>27</v>
      </c>
      <c r="AD24" s="107" t="s">
        <v>128</v>
      </c>
      <c r="AE24" s="107" t="s">
        <v>128</v>
      </c>
      <c r="AF24" s="45" t="s">
        <v>27</v>
      </c>
      <c r="AG24" s="107" t="s">
        <v>128</v>
      </c>
      <c r="AH24" s="107" t="s">
        <v>128</v>
      </c>
      <c r="AI24" s="228"/>
      <c r="AJ24" s="228"/>
      <c r="AK24" s="228"/>
      <c r="AL24" s="228"/>
      <c r="AM24" s="228"/>
      <c r="AN24" s="228"/>
      <c r="AO24" s="140"/>
      <c r="AP24" s="140"/>
    </row>
    <row r="25" spans="1:42" x14ac:dyDescent="0.2">
      <c r="A25" s="209"/>
      <c r="C25" s="8"/>
      <c r="D25" s="8"/>
      <c r="E25" s="8"/>
      <c r="F25" s="8"/>
      <c r="G25" s="8"/>
      <c r="H25" s="8"/>
      <c r="I25" s="8"/>
      <c r="J25" s="37"/>
      <c r="K25" s="19"/>
      <c r="L25" s="33"/>
      <c r="M25" s="19"/>
      <c r="N25"/>
      <c r="O25"/>
      <c r="P25"/>
      <c r="Q25"/>
      <c r="R25"/>
      <c r="S25"/>
      <c r="T25"/>
      <c r="U25"/>
      <c r="V25"/>
      <c r="W25"/>
      <c r="X25"/>
      <c r="Y25"/>
      <c r="Z25"/>
      <c r="AA25"/>
      <c r="AB25"/>
      <c r="AC25"/>
    </row>
    <row r="26" spans="1:42" s="8" customFormat="1" x14ac:dyDescent="0.2">
      <c r="C26" s="366" t="s">
        <v>83</v>
      </c>
      <c r="D26" s="366"/>
      <c r="E26" s="43" t="s">
        <v>4</v>
      </c>
      <c r="F26" s="1"/>
      <c r="G26" s="1"/>
      <c r="H26" s="285" t="s">
        <v>149</v>
      </c>
      <c r="I26" s="30">
        <f>SUM(O2:O24)</f>
        <v>23</v>
      </c>
      <c r="J26" s="20">
        <f>SUM(J2:J24)</f>
        <v>581420000</v>
      </c>
      <c r="K26" s="24">
        <f>SUM(P26:AH26)</f>
        <v>1</v>
      </c>
      <c r="L26" s="1"/>
      <c r="M26" s="1"/>
      <c r="N26" s="21"/>
      <c r="P26" s="271">
        <v>0.03</v>
      </c>
      <c r="Q26" s="209"/>
      <c r="R26" s="271">
        <v>0.1</v>
      </c>
      <c r="S26" s="209"/>
      <c r="T26" s="436">
        <v>0.3</v>
      </c>
      <c r="U26" s="438"/>
      <c r="V26" s="438"/>
      <c r="W26" s="436">
        <v>0.3</v>
      </c>
      <c r="X26" s="438"/>
      <c r="Y26" s="438"/>
      <c r="Z26" s="436">
        <v>0.1</v>
      </c>
      <c r="AA26" s="438"/>
      <c r="AB26" s="438"/>
      <c r="AC26" s="436">
        <v>0.12</v>
      </c>
      <c r="AD26" s="438"/>
      <c r="AE26" s="438"/>
      <c r="AF26" s="436">
        <v>0.05</v>
      </c>
      <c r="AG26" s="438"/>
      <c r="AH26" s="438"/>
    </row>
    <row r="27" spans="1:42" x14ac:dyDescent="0.2">
      <c r="C27" s="23" t="s">
        <v>24</v>
      </c>
      <c r="D27" s="8">
        <f t="shared" ref="D27:D33" si="0">SUMIF($E$2:$E$24,C27,$O$2:$O$24)</f>
        <v>10</v>
      </c>
      <c r="E27" s="23" t="s">
        <v>29</v>
      </c>
      <c r="F27" s="8">
        <f>SUMIF($C$2:$C$24,E27,$O$2:$O$24)</f>
        <v>4</v>
      </c>
      <c r="M27" s="360" t="s">
        <v>406</v>
      </c>
      <c r="N27" s="360"/>
      <c r="O27" s="360"/>
    </row>
    <row r="28" spans="1:42" s="8" customFormat="1" x14ac:dyDescent="0.2">
      <c r="C28" s="23" t="s">
        <v>66</v>
      </c>
      <c r="D28" s="8">
        <f t="shared" si="0"/>
        <v>1</v>
      </c>
      <c r="E28" s="23" t="s">
        <v>22</v>
      </c>
      <c r="F28" s="8">
        <f>SUMIF($C$2:$C$24,E28,$O$2:$O$24)</f>
        <v>14</v>
      </c>
      <c r="G28" s="1"/>
      <c r="H28" s="348" t="s">
        <v>75</v>
      </c>
      <c r="I28" s="348"/>
      <c r="J28" s="20">
        <f>SUMIF(K2:K24,K28,J2:J24)</f>
        <v>581420000</v>
      </c>
      <c r="K28" s="24">
        <v>1</v>
      </c>
      <c r="L28" s="1"/>
      <c r="M28" s="48"/>
      <c r="N28" s="43">
        <f>SUMIF($K$2:$K$24,K28,$O$2:$O$24)</f>
        <v>23</v>
      </c>
      <c r="O28" s="43"/>
      <c r="P28" s="1"/>
      <c r="Q28" s="1"/>
      <c r="R28" s="1"/>
      <c r="S28" s="1"/>
      <c r="T28" s="1"/>
      <c r="U28" s="1"/>
      <c r="V28" s="1"/>
      <c r="W28" s="1"/>
      <c r="X28" s="1"/>
      <c r="Y28" s="1"/>
      <c r="Z28" s="1"/>
      <c r="AA28" s="1"/>
      <c r="AB28" s="1"/>
      <c r="AC28" s="1"/>
      <c r="AD28" s="43"/>
      <c r="AE28" s="43"/>
      <c r="AF28" s="43"/>
    </row>
    <row r="29" spans="1:42" s="8" customFormat="1" x14ac:dyDescent="0.2">
      <c r="C29" s="1" t="s">
        <v>34</v>
      </c>
      <c r="D29" s="8">
        <f t="shared" si="0"/>
        <v>4</v>
      </c>
      <c r="E29" s="1" t="s">
        <v>735</v>
      </c>
      <c r="F29" s="8">
        <f>SUMIF($C$2:$C$24,E29,$O$2:$O$24)</f>
        <v>5</v>
      </c>
      <c r="G29" s="1"/>
      <c r="H29" s="1" t="s">
        <v>76</v>
      </c>
      <c r="I29" s="39" t="s">
        <v>762</v>
      </c>
      <c r="J29" s="20">
        <f t="shared" ref="J29:J35" si="1">SUMIF($L$2:$L$24,K29,$J$2:$J$24)</f>
        <v>0</v>
      </c>
      <c r="K29" s="25">
        <v>1</v>
      </c>
      <c r="L29" s="1"/>
      <c r="M29" s="1"/>
      <c r="N29" s="21"/>
      <c r="P29" s="1"/>
      <c r="Q29" s="1"/>
      <c r="R29" s="1"/>
      <c r="S29" s="1"/>
      <c r="T29" s="1"/>
      <c r="U29" s="1"/>
      <c r="V29" s="1"/>
      <c r="W29" s="1"/>
      <c r="X29" s="1"/>
      <c r="Y29" s="1"/>
      <c r="Z29" s="1"/>
      <c r="AA29" s="1"/>
      <c r="AB29" s="1"/>
      <c r="AC29" s="1"/>
      <c r="AD29" s="43"/>
      <c r="AE29" s="43"/>
      <c r="AF29" s="43"/>
    </row>
    <row r="30" spans="1:42" s="8" customFormat="1" x14ac:dyDescent="0.2">
      <c r="C30" s="23" t="s">
        <v>31</v>
      </c>
      <c r="D30" s="8">
        <f t="shared" si="0"/>
        <v>2</v>
      </c>
      <c r="E30" s="1"/>
      <c r="F30" s="1"/>
      <c r="G30" s="1"/>
      <c r="H30" s="1" t="s">
        <v>76</v>
      </c>
      <c r="I30" s="39" t="s">
        <v>763</v>
      </c>
      <c r="J30" s="20">
        <f t="shared" si="1"/>
        <v>0</v>
      </c>
      <c r="K30" s="25">
        <v>2</v>
      </c>
      <c r="L30" s="1"/>
      <c r="M30" s="1"/>
      <c r="N30" s="21"/>
      <c r="P30" s="1"/>
      <c r="Q30" s="1"/>
      <c r="R30" s="1"/>
      <c r="S30" s="1"/>
      <c r="T30" s="1"/>
      <c r="U30" s="1"/>
      <c r="V30" s="1"/>
      <c r="W30" s="1"/>
      <c r="X30" s="1"/>
      <c r="Y30" s="1"/>
      <c r="Z30" s="1"/>
      <c r="AA30" s="1"/>
      <c r="AB30" s="1"/>
      <c r="AC30" s="1"/>
      <c r="AD30" s="43"/>
      <c r="AE30" s="43"/>
      <c r="AF30" s="43"/>
    </row>
    <row r="31" spans="1:42" s="8" customFormat="1" x14ac:dyDescent="0.2">
      <c r="C31" s="23" t="s">
        <v>85</v>
      </c>
      <c r="D31" s="8">
        <f t="shared" si="0"/>
        <v>0</v>
      </c>
      <c r="E31" s="1"/>
      <c r="F31" s="1"/>
      <c r="G31" s="1"/>
      <c r="H31" s="1" t="s">
        <v>76</v>
      </c>
      <c r="I31" s="39" t="s">
        <v>764</v>
      </c>
      <c r="J31" s="20">
        <f t="shared" si="1"/>
        <v>195770000</v>
      </c>
      <c r="K31" s="25">
        <v>3</v>
      </c>
      <c r="L31" s="1"/>
      <c r="M31" s="1"/>
      <c r="N31" s="21"/>
      <c r="P31" s="1"/>
      <c r="Q31" s="1"/>
      <c r="R31" s="1"/>
      <c r="S31" s="1"/>
      <c r="T31" s="1"/>
      <c r="U31" s="1"/>
      <c r="V31" s="1"/>
      <c r="W31" s="1"/>
      <c r="X31" s="1"/>
      <c r="Y31" s="1"/>
      <c r="Z31" s="1"/>
      <c r="AA31" s="1"/>
      <c r="AB31" s="1"/>
      <c r="AC31" s="1"/>
      <c r="AD31" s="43"/>
      <c r="AE31" s="43"/>
      <c r="AF31" s="43"/>
    </row>
    <row r="32" spans="1:42" s="8" customFormat="1" x14ac:dyDescent="0.2">
      <c r="C32" s="23" t="s">
        <v>46</v>
      </c>
      <c r="D32" s="8">
        <f t="shared" si="0"/>
        <v>0</v>
      </c>
      <c r="E32" s="1"/>
      <c r="F32" s="1"/>
      <c r="G32" s="1"/>
      <c r="H32" s="1" t="s">
        <v>76</v>
      </c>
      <c r="I32" s="39" t="s">
        <v>765</v>
      </c>
      <c r="J32" s="20">
        <f t="shared" si="1"/>
        <v>160890000</v>
      </c>
      <c r="K32" s="25">
        <v>4</v>
      </c>
      <c r="L32" s="1"/>
      <c r="M32" s="1"/>
      <c r="N32" s="21"/>
      <c r="P32" s="1"/>
      <c r="Q32" s="1"/>
      <c r="R32" s="1"/>
      <c r="S32" s="1"/>
      <c r="T32" s="1"/>
      <c r="U32" s="1"/>
      <c r="V32" s="1"/>
      <c r="W32" s="1"/>
      <c r="X32" s="1"/>
      <c r="Y32" s="1"/>
      <c r="Z32" s="1"/>
      <c r="AA32" s="1"/>
      <c r="AB32" s="1"/>
      <c r="AC32" s="1"/>
      <c r="AD32" s="43"/>
      <c r="AE32" s="43"/>
      <c r="AF32" s="43"/>
    </row>
    <row r="33" spans="1:32" x14ac:dyDescent="0.2">
      <c r="C33" s="23" t="s">
        <v>38</v>
      </c>
      <c r="D33" s="8">
        <f t="shared" si="0"/>
        <v>6</v>
      </c>
      <c r="H33" s="1" t="s">
        <v>76</v>
      </c>
      <c r="I33" s="39" t="s">
        <v>766</v>
      </c>
      <c r="J33" s="20">
        <f t="shared" si="1"/>
        <v>61000000</v>
      </c>
      <c r="K33" s="25">
        <v>5</v>
      </c>
    </row>
    <row r="34" spans="1:32" x14ac:dyDescent="0.2">
      <c r="H34" s="1" t="s">
        <v>76</v>
      </c>
      <c r="I34" s="39" t="s">
        <v>767</v>
      </c>
      <c r="J34" s="20">
        <f t="shared" si="1"/>
        <v>156760000</v>
      </c>
      <c r="K34" s="25">
        <v>6</v>
      </c>
    </row>
    <row r="35" spans="1:32" x14ac:dyDescent="0.2">
      <c r="C35" s="23"/>
      <c r="D35" s="8"/>
      <c r="H35" s="1" t="s">
        <v>76</v>
      </c>
      <c r="I35" s="39" t="s">
        <v>768</v>
      </c>
      <c r="J35" s="20">
        <f t="shared" si="1"/>
        <v>7000000</v>
      </c>
      <c r="K35" s="25">
        <v>7</v>
      </c>
    </row>
    <row r="36" spans="1:32" x14ac:dyDescent="0.2">
      <c r="L36" s="33"/>
    </row>
    <row r="37" spans="1:32" x14ac:dyDescent="0.2">
      <c r="C37" s="3" t="s">
        <v>157</v>
      </c>
      <c r="D37" s="8">
        <f>SUM(D27:D36)</f>
        <v>23</v>
      </c>
      <c r="E37" s="3" t="s">
        <v>157</v>
      </c>
      <c r="F37" s="8">
        <f>SUM(F27:F36)</f>
        <v>23</v>
      </c>
    </row>
    <row r="38" spans="1:32" s="57" customFormat="1" ht="29.25" customHeight="1" x14ac:dyDescent="0.2">
      <c r="A38" s="383" t="s">
        <v>158</v>
      </c>
      <c r="B38" s="383"/>
      <c r="C38" s="383"/>
      <c r="I38" s="58" t="s">
        <v>159</v>
      </c>
      <c r="J38" s="58" t="s">
        <v>160</v>
      </c>
      <c r="N38" s="59"/>
      <c r="O38" s="7"/>
      <c r="AD38" s="60"/>
      <c r="AE38" s="60"/>
      <c r="AF38" s="60"/>
    </row>
    <row r="39" spans="1:32" x14ac:dyDescent="0.2">
      <c r="A39" s="286">
        <v>44896</v>
      </c>
      <c r="B39" s="287" t="s">
        <v>163</v>
      </c>
      <c r="C39" s="353"/>
      <c r="D39" s="353"/>
      <c r="E39" s="353"/>
      <c r="F39" s="353"/>
      <c r="G39" s="353"/>
      <c r="H39" s="353"/>
      <c r="I39" s="51"/>
      <c r="J39" s="51"/>
    </row>
    <row r="40" spans="1:32" x14ac:dyDescent="0.2">
      <c r="A40" s="49">
        <f>+A39+1</f>
        <v>44897</v>
      </c>
      <c r="B40" s="50" t="s">
        <v>164</v>
      </c>
      <c r="C40" s="353"/>
      <c r="D40" s="353"/>
      <c r="E40" s="353"/>
      <c r="F40" s="353"/>
      <c r="G40" s="353"/>
      <c r="H40" s="353"/>
      <c r="I40" s="51"/>
      <c r="J40" s="51"/>
    </row>
    <row r="41" spans="1:32" x14ac:dyDescent="0.2">
      <c r="A41" s="49">
        <f t="shared" ref="A41:A69" si="2">+A40+1</f>
        <v>44898</v>
      </c>
      <c r="B41" s="50" t="s">
        <v>165</v>
      </c>
      <c r="C41" s="353"/>
      <c r="D41" s="353"/>
      <c r="E41" s="353"/>
      <c r="F41" s="353"/>
      <c r="G41" s="353"/>
      <c r="H41" s="353"/>
      <c r="I41" s="51"/>
      <c r="J41" s="51"/>
    </row>
    <row r="42" spans="1:32" x14ac:dyDescent="0.2">
      <c r="A42" s="49">
        <f t="shared" si="2"/>
        <v>44899</v>
      </c>
      <c r="B42" s="50" t="s">
        <v>166</v>
      </c>
      <c r="C42" s="353"/>
      <c r="D42" s="353"/>
      <c r="E42" s="353"/>
      <c r="F42" s="353"/>
      <c r="G42" s="353"/>
      <c r="H42" s="353"/>
      <c r="I42" s="51"/>
      <c r="J42" s="51"/>
    </row>
    <row r="43" spans="1:32" x14ac:dyDescent="0.2">
      <c r="A43" s="49">
        <f t="shared" si="2"/>
        <v>44900</v>
      </c>
      <c r="B43" s="50" t="s">
        <v>167</v>
      </c>
      <c r="C43" s="353"/>
      <c r="D43" s="353"/>
      <c r="E43" s="353"/>
      <c r="F43" s="353"/>
      <c r="G43" s="353"/>
      <c r="H43" s="353"/>
      <c r="I43" s="51"/>
      <c r="J43" s="51"/>
    </row>
    <row r="44" spans="1:32" x14ac:dyDescent="0.2">
      <c r="A44" s="49">
        <f t="shared" si="2"/>
        <v>44901</v>
      </c>
      <c r="B44" s="50" t="s">
        <v>161</v>
      </c>
      <c r="C44" s="353"/>
      <c r="D44" s="353"/>
      <c r="E44" s="353"/>
      <c r="F44" s="353"/>
      <c r="G44" s="353"/>
      <c r="H44" s="353"/>
      <c r="I44" s="51"/>
      <c r="J44" s="51"/>
    </row>
    <row r="45" spans="1:32" x14ac:dyDescent="0.2">
      <c r="A45" s="49">
        <f t="shared" si="2"/>
        <v>44902</v>
      </c>
      <c r="B45" s="50" t="s">
        <v>162</v>
      </c>
      <c r="C45" s="353"/>
      <c r="D45" s="353"/>
      <c r="E45" s="353"/>
      <c r="F45" s="353"/>
      <c r="G45" s="353"/>
      <c r="H45" s="353"/>
      <c r="I45" s="51"/>
      <c r="J45" s="51"/>
    </row>
    <row r="46" spans="1:32" x14ac:dyDescent="0.2">
      <c r="A46" s="61">
        <f t="shared" si="2"/>
        <v>44903</v>
      </c>
      <c r="B46" s="62" t="s">
        <v>163</v>
      </c>
      <c r="C46" s="429"/>
      <c r="D46" s="429"/>
      <c r="E46" s="429"/>
      <c r="F46" s="429"/>
      <c r="G46" s="429"/>
      <c r="H46" s="429"/>
      <c r="I46" s="63"/>
      <c r="J46" s="63"/>
    </row>
    <row r="47" spans="1:32" x14ac:dyDescent="0.2">
      <c r="A47" s="49">
        <f t="shared" si="2"/>
        <v>44904</v>
      </c>
      <c r="B47" s="50" t="s">
        <v>164</v>
      </c>
      <c r="C47" s="353"/>
      <c r="D47" s="353"/>
      <c r="E47" s="353"/>
      <c r="F47" s="353"/>
      <c r="G47" s="353"/>
      <c r="H47" s="353"/>
      <c r="I47" s="51"/>
      <c r="J47" s="51"/>
    </row>
    <row r="48" spans="1:32" x14ac:dyDescent="0.2">
      <c r="A48" s="49">
        <f t="shared" si="2"/>
        <v>44905</v>
      </c>
      <c r="B48" s="50" t="s">
        <v>165</v>
      </c>
      <c r="C48" s="353"/>
      <c r="D48" s="353"/>
      <c r="E48" s="353"/>
      <c r="F48" s="353"/>
      <c r="G48" s="353"/>
      <c r="H48" s="353"/>
      <c r="I48" s="51"/>
      <c r="J48" s="51"/>
    </row>
    <row r="49" spans="1:10" x14ac:dyDescent="0.2">
      <c r="A49" s="49">
        <f t="shared" si="2"/>
        <v>44906</v>
      </c>
      <c r="B49" s="50" t="s">
        <v>166</v>
      </c>
      <c r="C49" s="353"/>
      <c r="D49" s="353"/>
      <c r="E49" s="353"/>
      <c r="F49" s="353"/>
      <c r="G49" s="353"/>
      <c r="H49" s="353"/>
      <c r="I49" s="51"/>
      <c r="J49" s="51"/>
    </row>
    <row r="50" spans="1:10" x14ac:dyDescent="0.2">
      <c r="A50" s="49">
        <f t="shared" si="2"/>
        <v>44907</v>
      </c>
      <c r="B50" s="50" t="s">
        <v>167</v>
      </c>
      <c r="C50" s="353"/>
      <c r="D50" s="353"/>
      <c r="E50" s="353"/>
      <c r="F50" s="353"/>
      <c r="G50" s="353"/>
      <c r="H50" s="353"/>
      <c r="I50" s="51"/>
      <c r="J50" s="51"/>
    </row>
    <row r="51" spans="1:10" x14ac:dyDescent="0.2">
      <c r="A51" s="49">
        <f t="shared" si="2"/>
        <v>44908</v>
      </c>
      <c r="B51" s="50" t="s">
        <v>161</v>
      </c>
      <c r="C51" s="353"/>
      <c r="D51" s="353"/>
      <c r="E51" s="353"/>
      <c r="F51" s="353"/>
      <c r="G51" s="353"/>
      <c r="H51" s="353"/>
      <c r="I51" s="51"/>
      <c r="J51" s="51"/>
    </row>
    <row r="52" spans="1:10" x14ac:dyDescent="0.2">
      <c r="A52" s="49">
        <f t="shared" si="2"/>
        <v>44909</v>
      </c>
      <c r="B52" s="50" t="s">
        <v>162</v>
      </c>
      <c r="C52" s="353"/>
      <c r="D52" s="353"/>
      <c r="E52" s="353"/>
      <c r="F52" s="353"/>
      <c r="G52" s="353"/>
      <c r="H52" s="353"/>
      <c r="I52" s="51"/>
      <c r="J52" s="51"/>
    </row>
    <row r="53" spans="1:10" x14ac:dyDescent="0.2">
      <c r="A53" s="49">
        <f t="shared" si="2"/>
        <v>44910</v>
      </c>
      <c r="B53" s="50" t="s">
        <v>163</v>
      </c>
      <c r="C53" s="353"/>
      <c r="D53" s="353"/>
      <c r="E53" s="353"/>
      <c r="F53" s="353"/>
      <c r="G53" s="353"/>
      <c r="H53" s="353"/>
      <c r="I53" s="51"/>
      <c r="J53" s="51"/>
    </row>
    <row r="54" spans="1:10" x14ac:dyDescent="0.2">
      <c r="A54" s="49">
        <f t="shared" si="2"/>
        <v>44911</v>
      </c>
      <c r="B54" s="50" t="s">
        <v>164</v>
      </c>
      <c r="C54" s="353"/>
      <c r="D54" s="353"/>
      <c r="E54" s="353"/>
      <c r="F54" s="353"/>
      <c r="G54" s="353"/>
      <c r="H54" s="353"/>
      <c r="I54" s="51"/>
      <c r="J54" s="51"/>
    </row>
    <row r="55" spans="1:10" x14ac:dyDescent="0.2">
      <c r="A55" s="49">
        <f t="shared" si="2"/>
        <v>44912</v>
      </c>
      <c r="B55" s="50" t="s">
        <v>165</v>
      </c>
      <c r="C55" s="353"/>
      <c r="D55" s="353"/>
      <c r="E55" s="353"/>
      <c r="F55" s="353"/>
      <c r="G55" s="353"/>
      <c r="H55" s="353"/>
      <c r="I55" s="51"/>
      <c r="J55" s="51"/>
    </row>
    <row r="56" spans="1:10" x14ac:dyDescent="0.2">
      <c r="A56" s="49">
        <f t="shared" si="2"/>
        <v>44913</v>
      </c>
      <c r="B56" s="50" t="s">
        <v>166</v>
      </c>
      <c r="C56" s="353"/>
      <c r="D56" s="353"/>
      <c r="E56" s="353"/>
      <c r="F56" s="353"/>
      <c r="G56" s="353"/>
      <c r="H56" s="353"/>
      <c r="I56" s="51"/>
      <c r="J56" s="51"/>
    </row>
    <row r="57" spans="1:10" x14ac:dyDescent="0.2">
      <c r="A57" s="49">
        <f t="shared" si="2"/>
        <v>44914</v>
      </c>
      <c r="B57" s="50" t="s">
        <v>167</v>
      </c>
      <c r="C57" s="353"/>
      <c r="D57" s="353"/>
      <c r="E57" s="353"/>
      <c r="F57" s="353"/>
      <c r="G57" s="353"/>
      <c r="H57" s="353"/>
      <c r="I57" s="51"/>
      <c r="J57" s="51"/>
    </row>
    <row r="58" spans="1:10" x14ac:dyDescent="0.2">
      <c r="A58" s="49">
        <f t="shared" si="2"/>
        <v>44915</v>
      </c>
      <c r="B58" s="50" t="s">
        <v>161</v>
      </c>
      <c r="C58" s="353"/>
      <c r="D58" s="353"/>
      <c r="E58" s="353"/>
      <c r="F58" s="353"/>
      <c r="G58" s="353"/>
      <c r="H58" s="353"/>
      <c r="I58" s="51"/>
      <c r="J58" s="51"/>
    </row>
    <row r="59" spans="1:10" x14ac:dyDescent="0.2">
      <c r="A59" s="49">
        <f t="shared" si="2"/>
        <v>44916</v>
      </c>
      <c r="B59" s="50" t="s">
        <v>162</v>
      </c>
      <c r="C59" s="353"/>
      <c r="D59" s="353"/>
      <c r="E59" s="353"/>
      <c r="F59" s="353"/>
      <c r="G59" s="353"/>
      <c r="H59" s="353"/>
      <c r="I59" s="51"/>
      <c r="J59" s="51"/>
    </row>
    <row r="60" spans="1:10" x14ac:dyDescent="0.2">
      <c r="A60" s="49">
        <f t="shared" si="2"/>
        <v>44917</v>
      </c>
      <c r="B60" s="50" t="s">
        <v>163</v>
      </c>
      <c r="C60" s="353"/>
      <c r="D60" s="353"/>
      <c r="E60" s="353"/>
      <c r="F60" s="353"/>
      <c r="G60" s="353"/>
      <c r="H60" s="353"/>
      <c r="I60" s="51"/>
      <c r="J60" s="51"/>
    </row>
    <row r="61" spans="1:10" x14ac:dyDescent="0.2">
      <c r="A61" s="49">
        <f t="shared" si="2"/>
        <v>44918</v>
      </c>
      <c r="B61" s="50" t="s">
        <v>164</v>
      </c>
      <c r="C61" s="353"/>
      <c r="D61" s="353"/>
      <c r="E61" s="353"/>
      <c r="F61" s="353"/>
      <c r="G61" s="353"/>
      <c r="H61" s="353"/>
      <c r="I61" s="51"/>
      <c r="J61" s="51"/>
    </row>
    <row r="62" spans="1:10" x14ac:dyDescent="0.2">
      <c r="A62" s="49">
        <f t="shared" si="2"/>
        <v>44919</v>
      </c>
      <c r="B62" s="50" t="s">
        <v>165</v>
      </c>
      <c r="C62" s="353"/>
      <c r="D62" s="353"/>
      <c r="E62" s="353"/>
      <c r="F62" s="353"/>
      <c r="G62" s="353"/>
      <c r="H62" s="353"/>
      <c r="I62" s="51"/>
      <c r="J62" s="51"/>
    </row>
    <row r="63" spans="1:10" x14ac:dyDescent="0.2">
      <c r="A63" s="61">
        <f t="shared" si="2"/>
        <v>44920</v>
      </c>
      <c r="B63" s="62" t="s">
        <v>166</v>
      </c>
      <c r="C63" s="429"/>
      <c r="D63" s="429"/>
      <c r="E63" s="429"/>
      <c r="F63" s="429"/>
      <c r="G63" s="429"/>
      <c r="H63" s="429"/>
      <c r="I63" s="63"/>
      <c r="J63" s="63"/>
    </row>
    <row r="64" spans="1:10" x14ac:dyDescent="0.2">
      <c r="A64" s="49">
        <f t="shared" si="2"/>
        <v>44921</v>
      </c>
      <c r="B64" s="50" t="s">
        <v>167</v>
      </c>
      <c r="C64" s="353"/>
      <c r="D64" s="353"/>
      <c r="E64" s="353"/>
      <c r="F64" s="353"/>
      <c r="G64" s="353"/>
      <c r="H64" s="353"/>
      <c r="I64" s="51"/>
      <c r="J64" s="51"/>
    </row>
    <row r="65" spans="1:21" x14ac:dyDescent="0.2">
      <c r="A65" s="49">
        <f t="shared" si="2"/>
        <v>44922</v>
      </c>
      <c r="B65" s="50" t="s">
        <v>161</v>
      </c>
      <c r="C65" s="353"/>
      <c r="D65" s="353"/>
      <c r="E65" s="353"/>
      <c r="F65" s="353"/>
      <c r="G65" s="353"/>
      <c r="H65" s="353"/>
      <c r="I65" s="51"/>
      <c r="J65" s="51"/>
    </row>
    <row r="66" spans="1:21" x14ac:dyDescent="0.2">
      <c r="A66" s="49">
        <f t="shared" si="2"/>
        <v>44923</v>
      </c>
      <c r="B66" s="50" t="s">
        <v>162</v>
      </c>
      <c r="C66" s="353"/>
      <c r="D66" s="353"/>
      <c r="E66" s="353"/>
      <c r="F66" s="353"/>
      <c r="G66" s="353"/>
      <c r="H66" s="353"/>
      <c r="I66" s="51"/>
      <c r="J66" s="51"/>
    </row>
    <row r="67" spans="1:21" x14ac:dyDescent="0.2">
      <c r="A67" s="49">
        <f t="shared" si="2"/>
        <v>44924</v>
      </c>
      <c r="B67" s="50" t="s">
        <v>163</v>
      </c>
      <c r="C67" s="353"/>
      <c r="D67" s="353"/>
      <c r="E67" s="353"/>
      <c r="F67" s="353"/>
      <c r="G67" s="353"/>
      <c r="H67" s="353"/>
      <c r="I67" s="51"/>
      <c r="J67" s="51"/>
    </row>
    <row r="68" spans="1:21" x14ac:dyDescent="0.2">
      <c r="A68" s="49">
        <f t="shared" si="2"/>
        <v>44925</v>
      </c>
      <c r="B68" s="50" t="s">
        <v>164</v>
      </c>
      <c r="C68" s="353"/>
      <c r="D68" s="353"/>
      <c r="E68" s="353"/>
      <c r="F68" s="353"/>
      <c r="G68" s="353"/>
      <c r="H68" s="353"/>
      <c r="I68" s="51"/>
      <c r="J68" s="51"/>
    </row>
    <row r="69" spans="1:21" x14ac:dyDescent="0.2">
      <c r="A69" s="49">
        <f t="shared" si="2"/>
        <v>44926</v>
      </c>
      <c r="B69" s="50" t="s">
        <v>165</v>
      </c>
      <c r="C69" s="353"/>
      <c r="D69" s="353"/>
      <c r="E69" s="353"/>
      <c r="F69" s="353"/>
      <c r="G69" s="353"/>
      <c r="H69" s="353"/>
      <c r="I69" s="51"/>
      <c r="J69" s="51"/>
    </row>
    <row r="70" spans="1:21" x14ac:dyDescent="0.2">
      <c r="A70" s="32"/>
      <c r="I70" s="8"/>
      <c r="J70" s="8"/>
      <c r="R70" s="21"/>
      <c r="S70" s="21"/>
      <c r="T70" s="8"/>
      <c r="U70" s="8"/>
    </row>
    <row r="71" spans="1:21" x14ac:dyDescent="0.2">
      <c r="A71" s="367" t="s">
        <v>207</v>
      </c>
      <c r="B71" s="368"/>
      <c r="C71" s="368"/>
      <c r="D71" s="368"/>
      <c r="I71" s="8"/>
      <c r="J71" s="8"/>
      <c r="R71" s="21"/>
      <c r="S71" s="21"/>
      <c r="T71" s="8"/>
      <c r="U71" s="8"/>
    </row>
    <row r="72" spans="1:21" x14ac:dyDescent="0.2">
      <c r="A72" s="52">
        <f>COUNTIF($I$39:$I$72,B72)</f>
        <v>0</v>
      </c>
      <c r="B72" s="53" t="s">
        <v>208</v>
      </c>
      <c r="C72" s="370" t="s">
        <v>209</v>
      </c>
      <c r="D72" s="370"/>
      <c r="I72" s="8"/>
      <c r="J72" s="8"/>
      <c r="R72" s="21"/>
      <c r="S72" s="21"/>
      <c r="T72" s="8"/>
      <c r="U72" s="8"/>
    </row>
    <row r="73" spans="1:21" x14ac:dyDescent="0.2">
      <c r="A73" s="52">
        <f t="shared" ref="A73:A82" si="3">COUNTIF($I$39:$I$72,B73)</f>
        <v>0</v>
      </c>
      <c r="B73" s="53" t="s">
        <v>172</v>
      </c>
      <c r="C73" s="370" t="s">
        <v>210</v>
      </c>
      <c r="D73" s="370"/>
      <c r="I73" s="8"/>
      <c r="J73" s="8"/>
      <c r="R73" s="21"/>
      <c r="S73" s="21"/>
      <c r="T73" s="8"/>
      <c r="U73" s="8"/>
    </row>
    <row r="74" spans="1:21" x14ac:dyDescent="0.2">
      <c r="A74" s="52">
        <f t="shared" si="3"/>
        <v>0</v>
      </c>
      <c r="B74" s="53" t="s">
        <v>169</v>
      </c>
      <c r="C74" s="370" t="s">
        <v>211</v>
      </c>
      <c r="D74" s="370"/>
      <c r="I74" s="8"/>
      <c r="J74" s="8"/>
      <c r="R74" s="21"/>
      <c r="S74" s="21"/>
      <c r="T74" s="8"/>
      <c r="U74" s="8"/>
    </row>
    <row r="75" spans="1:21" x14ac:dyDescent="0.2">
      <c r="A75" s="52">
        <f t="shared" si="3"/>
        <v>0</v>
      </c>
      <c r="B75" s="53" t="s">
        <v>181</v>
      </c>
      <c r="C75" s="370" t="s">
        <v>212</v>
      </c>
      <c r="D75" s="370"/>
      <c r="I75" s="8"/>
      <c r="J75" s="8"/>
      <c r="R75" s="21"/>
      <c r="S75" s="21"/>
      <c r="T75" s="8"/>
      <c r="U75" s="8"/>
    </row>
    <row r="76" spans="1:21" x14ac:dyDescent="0.2">
      <c r="A76" s="52">
        <f t="shared" si="3"/>
        <v>0</v>
      </c>
      <c r="B76" s="53" t="s">
        <v>183</v>
      </c>
      <c r="C76" s="370" t="s">
        <v>213</v>
      </c>
      <c r="D76" s="370"/>
      <c r="I76" s="8"/>
      <c r="J76" s="8"/>
      <c r="R76" s="21"/>
      <c r="S76" s="21"/>
      <c r="T76" s="8"/>
      <c r="U76" s="8"/>
    </row>
    <row r="77" spans="1:21" x14ac:dyDescent="0.2">
      <c r="A77" s="52">
        <f t="shared" si="3"/>
        <v>0</v>
      </c>
      <c r="B77" s="53" t="s">
        <v>214</v>
      </c>
      <c r="C77" s="370" t="s">
        <v>215</v>
      </c>
      <c r="D77" s="370"/>
      <c r="I77" s="8"/>
      <c r="J77" s="8"/>
      <c r="R77" s="21"/>
      <c r="S77" s="21"/>
      <c r="T77" s="8"/>
      <c r="U77" s="8"/>
    </row>
    <row r="78" spans="1:21" x14ac:dyDescent="0.2">
      <c r="A78" s="52">
        <f t="shared" si="3"/>
        <v>0</v>
      </c>
      <c r="B78" s="53" t="s">
        <v>216</v>
      </c>
      <c r="C78" s="370" t="s">
        <v>217</v>
      </c>
      <c r="D78" s="370"/>
      <c r="I78" s="8"/>
      <c r="J78" s="8"/>
      <c r="R78" s="21"/>
      <c r="S78" s="21"/>
      <c r="T78" s="8"/>
      <c r="U78" s="8"/>
    </row>
    <row r="79" spans="1:21" x14ac:dyDescent="0.2">
      <c r="A79" s="52">
        <f t="shared" si="3"/>
        <v>0</v>
      </c>
      <c r="B79" s="53" t="s">
        <v>218</v>
      </c>
      <c r="C79" s="371" t="s">
        <v>219</v>
      </c>
      <c r="D79" s="372"/>
      <c r="I79" s="8"/>
      <c r="J79" s="8"/>
      <c r="R79" s="21"/>
      <c r="S79" s="21"/>
      <c r="T79" s="8"/>
      <c r="U79" s="8"/>
    </row>
    <row r="80" spans="1:21" x14ac:dyDescent="0.2">
      <c r="A80" s="52">
        <f t="shared" si="3"/>
        <v>0</v>
      </c>
      <c r="B80" s="53" t="s">
        <v>220</v>
      </c>
      <c r="C80" s="370" t="s">
        <v>221</v>
      </c>
      <c r="D80" s="370"/>
      <c r="I80" s="8"/>
      <c r="J80" s="8"/>
    </row>
    <row r="81" spans="1:10" x14ac:dyDescent="0.2">
      <c r="A81" s="52">
        <f>COUNTIF($I$39:$I$72,B81)</f>
        <v>0</v>
      </c>
      <c r="B81" s="53" t="s">
        <v>178</v>
      </c>
      <c r="C81" s="370" t="s">
        <v>222</v>
      </c>
      <c r="D81" s="370"/>
      <c r="I81" s="8"/>
      <c r="J81" s="8"/>
    </row>
    <row r="82" spans="1:10" x14ac:dyDescent="0.2">
      <c r="A82" s="52">
        <f t="shared" si="3"/>
        <v>0</v>
      </c>
      <c r="B82" s="53" t="s">
        <v>223</v>
      </c>
      <c r="C82" s="370" t="s">
        <v>224</v>
      </c>
      <c r="D82" s="370"/>
      <c r="I82" s="8"/>
      <c r="J82" s="8"/>
    </row>
    <row r="83" spans="1:10" x14ac:dyDescent="0.2">
      <c r="A83" s="54"/>
      <c r="B83" s="55"/>
      <c r="C83" s="56"/>
      <c r="D83" s="56"/>
      <c r="I83" s="8"/>
      <c r="J83" s="8"/>
    </row>
    <row r="84" spans="1:10" x14ac:dyDescent="0.2">
      <c r="A84" s="54"/>
      <c r="B84" s="55"/>
      <c r="C84" s="56"/>
      <c r="D84" s="56"/>
      <c r="I84" s="8"/>
      <c r="J84" s="8"/>
    </row>
    <row r="85" spans="1:10" x14ac:dyDescent="0.2">
      <c r="A85" s="54"/>
      <c r="B85" s="55"/>
      <c r="C85" s="56"/>
      <c r="D85" s="56"/>
      <c r="I85" s="8"/>
      <c r="J85" s="8"/>
    </row>
    <row r="86" spans="1:10" x14ac:dyDescent="0.2">
      <c r="A86" s="54"/>
      <c r="B86" s="55"/>
      <c r="C86" s="56"/>
      <c r="D86" s="56"/>
      <c r="I86" s="8"/>
      <c r="J86" s="8"/>
    </row>
    <row r="87" spans="1:10" x14ac:dyDescent="0.2">
      <c r="A87" s="32"/>
      <c r="I87" s="8"/>
      <c r="J87" s="8"/>
    </row>
    <row r="88" spans="1:10" x14ac:dyDescent="0.2">
      <c r="A88" s="367" t="s">
        <v>225</v>
      </c>
      <c r="B88" s="368"/>
      <c r="C88" s="368"/>
      <c r="D88" s="368"/>
      <c r="I88" s="8"/>
      <c r="J88" s="8"/>
    </row>
    <row r="89" spans="1:10" x14ac:dyDescent="0.2">
      <c r="A89" s="52">
        <f>COUNTIF($J$39:$J$72,B89)</f>
        <v>0</v>
      </c>
      <c r="B89" s="52" t="s">
        <v>170</v>
      </c>
      <c r="C89" s="356" t="s">
        <v>226</v>
      </c>
      <c r="D89" s="356"/>
      <c r="I89" s="8"/>
      <c r="J89" s="8"/>
    </row>
    <row r="90" spans="1:10" x14ac:dyDescent="0.2">
      <c r="A90" s="52">
        <f t="shared" ref="A90:A101" si="4">COUNTIF($J$39:$J$72,B90)</f>
        <v>0</v>
      </c>
      <c r="B90" s="52" t="s">
        <v>191</v>
      </c>
      <c r="C90" s="356" t="s">
        <v>227</v>
      </c>
      <c r="D90" s="356"/>
      <c r="I90" s="8"/>
      <c r="J90" s="8"/>
    </row>
    <row r="91" spans="1:10" x14ac:dyDescent="0.2">
      <c r="A91" s="52">
        <f t="shared" si="4"/>
        <v>0</v>
      </c>
      <c r="B91" s="52" t="s">
        <v>179</v>
      </c>
      <c r="C91" s="356" t="s">
        <v>228</v>
      </c>
      <c r="D91" s="356"/>
      <c r="I91" s="8"/>
      <c r="J91" s="8"/>
    </row>
    <row r="92" spans="1:10" x14ac:dyDescent="0.2">
      <c r="A92" s="52">
        <f t="shared" si="4"/>
        <v>0</v>
      </c>
      <c r="B92" s="52" t="s">
        <v>229</v>
      </c>
      <c r="C92" s="356" t="s">
        <v>230</v>
      </c>
      <c r="D92" s="356"/>
      <c r="I92" s="8"/>
      <c r="J92" s="8"/>
    </row>
    <row r="93" spans="1:10" x14ac:dyDescent="0.2">
      <c r="A93" s="52">
        <f t="shared" si="4"/>
        <v>0</v>
      </c>
      <c r="B93" s="52" t="s">
        <v>174</v>
      </c>
      <c r="C93" s="356" t="s">
        <v>231</v>
      </c>
      <c r="D93" s="356"/>
      <c r="I93" s="8"/>
      <c r="J93" s="8"/>
    </row>
    <row r="94" spans="1:10" x14ac:dyDescent="0.2">
      <c r="A94" s="52">
        <f t="shared" si="4"/>
        <v>0</v>
      </c>
      <c r="B94" s="52" t="s">
        <v>232</v>
      </c>
      <c r="C94" s="356" t="s">
        <v>233</v>
      </c>
      <c r="D94" s="356"/>
      <c r="I94" s="8"/>
      <c r="J94" s="8"/>
    </row>
    <row r="95" spans="1:10" x14ac:dyDescent="0.2">
      <c r="A95" s="52">
        <f t="shared" si="4"/>
        <v>0</v>
      </c>
      <c r="B95" s="52" t="s">
        <v>187</v>
      </c>
      <c r="C95" s="356" t="s">
        <v>234</v>
      </c>
      <c r="D95" s="356"/>
      <c r="I95" s="8"/>
      <c r="J95" s="8"/>
    </row>
    <row r="96" spans="1:10" x14ac:dyDescent="0.2">
      <c r="A96" s="52">
        <f t="shared" si="4"/>
        <v>0</v>
      </c>
      <c r="B96" s="52" t="s">
        <v>235</v>
      </c>
      <c r="C96" s="356" t="s">
        <v>236</v>
      </c>
      <c r="D96" s="356"/>
      <c r="I96" s="8"/>
      <c r="J96" s="8"/>
    </row>
    <row r="97" spans="1:10" x14ac:dyDescent="0.2">
      <c r="A97" s="52">
        <f t="shared" si="4"/>
        <v>0</v>
      </c>
      <c r="B97" s="52" t="s">
        <v>185</v>
      </c>
      <c r="C97" s="356" t="s">
        <v>237</v>
      </c>
      <c r="D97" s="356"/>
      <c r="I97" s="8"/>
      <c r="J97" s="8"/>
    </row>
    <row r="98" spans="1:10" x14ac:dyDescent="0.2">
      <c r="A98" s="52">
        <f t="shared" si="4"/>
        <v>0</v>
      </c>
      <c r="B98" s="52" t="s">
        <v>238</v>
      </c>
      <c r="C98" s="356" t="s">
        <v>239</v>
      </c>
      <c r="D98" s="356"/>
      <c r="I98" s="8"/>
      <c r="J98" s="8"/>
    </row>
    <row r="99" spans="1:10" x14ac:dyDescent="0.2">
      <c r="A99" s="52">
        <f>COUNTIF($J$39:$J$72,B99)</f>
        <v>0</v>
      </c>
      <c r="B99" s="52" t="s">
        <v>240</v>
      </c>
      <c r="C99" s="356" t="s">
        <v>241</v>
      </c>
      <c r="D99" s="356"/>
      <c r="I99" s="8"/>
      <c r="J99" s="8"/>
    </row>
    <row r="100" spans="1:10" x14ac:dyDescent="0.2">
      <c r="A100" s="52">
        <f>COUNTIF($J$39:$J$72,B100)</f>
        <v>0</v>
      </c>
      <c r="B100" s="52" t="s">
        <v>242</v>
      </c>
      <c r="C100" s="356" t="s">
        <v>243</v>
      </c>
      <c r="D100" s="356"/>
      <c r="I100" s="8"/>
      <c r="J100" s="8"/>
    </row>
    <row r="101" spans="1:10" x14ac:dyDescent="0.2">
      <c r="A101" s="52">
        <f t="shared" si="4"/>
        <v>0</v>
      </c>
      <c r="B101" s="52" t="s">
        <v>244</v>
      </c>
      <c r="C101" s="356" t="s">
        <v>245</v>
      </c>
      <c r="D101" s="356"/>
      <c r="I101" s="8"/>
      <c r="J101" s="8"/>
    </row>
    <row r="102" spans="1:10" x14ac:dyDescent="0.2">
      <c r="A102" s="32"/>
      <c r="I102" s="8"/>
      <c r="J102" s="8"/>
    </row>
    <row r="103" spans="1:10" x14ac:dyDescent="0.2">
      <c r="A103" s="32"/>
      <c r="I103" s="8"/>
      <c r="J103" s="8"/>
    </row>
    <row r="104" spans="1:10" x14ac:dyDescent="0.2">
      <c r="A104" s="32"/>
      <c r="I104" s="8"/>
      <c r="J104" s="8"/>
    </row>
    <row r="105" spans="1:10" x14ac:dyDescent="0.2">
      <c r="A105" s="32"/>
      <c r="I105" s="8"/>
      <c r="J105" s="8"/>
    </row>
    <row r="106" spans="1:10" x14ac:dyDescent="0.2">
      <c r="A106" s="32"/>
      <c r="I106" s="8"/>
      <c r="J106" s="8"/>
    </row>
    <row r="107" spans="1:10" x14ac:dyDescent="0.2">
      <c r="A107" s="32"/>
      <c r="I107" s="8"/>
      <c r="J107" s="8"/>
    </row>
    <row r="108" spans="1:10" ht="19" x14ac:dyDescent="0.2">
      <c r="A108" s="32"/>
      <c r="C108" s="349" t="s">
        <v>86</v>
      </c>
      <c r="D108" s="350"/>
      <c r="E108" s="350"/>
      <c r="F108" s="350"/>
      <c r="G108" s="351"/>
      <c r="I108" s="8"/>
      <c r="J108" s="8"/>
    </row>
    <row r="109" spans="1:10" ht="32" x14ac:dyDescent="0.2">
      <c r="A109" s="32"/>
      <c r="C109" s="68" t="s">
        <v>87</v>
      </c>
      <c r="D109" s="64" t="s">
        <v>88</v>
      </c>
      <c r="E109" s="64" t="s">
        <v>89</v>
      </c>
      <c r="F109" s="64" t="s">
        <v>90</v>
      </c>
      <c r="G109" s="66" t="s">
        <v>91</v>
      </c>
      <c r="I109" s="8"/>
      <c r="J109" s="8"/>
    </row>
    <row r="110" spans="1:10" x14ac:dyDescent="0.2">
      <c r="A110" s="32"/>
      <c r="C110" s="65">
        <v>220</v>
      </c>
      <c r="D110" s="65">
        <v>695</v>
      </c>
      <c r="E110" s="65">
        <v>369</v>
      </c>
      <c r="F110" s="65">
        <v>0</v>
      </c>
      <c r="G110" s="67">
        <f>SUM(B110:F110)</f>
        <v>1284</v>
      </c>
      <c r="I110" s="8"/>
      <c r="J110" s="8"/>
    </row>
    <row r="111" spans="1:10" x14ac:dyDescent="0.2">
      <c r="A111" s="32"/>
      <c r="G111"/>
      <c r="I111" s="8"/>
      <c r="J111" s="8"/>
    </row>
    <row r="112" spans="1:10" x14ac:dyDescent="0.2">
      <c r="A112" s="32"/>
      <c r="I112" s="8"/>
      <c r="J112" s="8"/>
    </row>
    <row r="113" spans="1:10" x14ac:dyDescent="0.2">
      <c r="A113" s="32"/>
      <c r="I113" s="8"/>
      <c r="J113" s="8"/>
    </row>
    <row r="114" spans="1:10" x14ac:dyDescent="0.2">
      <c r="A114" s="32"/>
      <c r="I114" s="8"/>
      <c r="J114" s="8"/>
    </row>
    <row r="115" spans="1:10" x14ac:dyDescent="0.2">
      <c r="A115" s="32"/>
      <c r="I115" s="8"/>
      <c r="J115" s="8"/>
    </row>
    <row r="116" spans="1:10" x14ac:dyDescent="0.2">
      <c r="A116" s="32"/>
      <c r="I116" s="8"/>
      <c r="J116" s="8"/>
    </row>
    <row r="117" spans="1:10" x14ac:dyDescent="0.2">
      <c r="A117" s="32"/>
      <c r="I117" s="8"/>
      <c r="J117" s="8"/>
    </row>
    <row r="118" spans="1:10" x14ac:dyDescent="0.2">
      <c r="A118" s="32"/>
      <c r="I118" s="8"/>
      <c r="J118" s="8"/>
    </row>
    <row r="119" spans="1:10" x14ac:dyDescent="0.2">
      <c r="A119" s="32"/>
      <c r="I119" s="8"/>
      <c r="J119" s="8"/>
    </row>
    <row r="120" spans="1:10" x14ac:dyDescent="0.2">
      <c r="A120" s="32"/>
      <c r="I120" s="8"/>
      <c r="J120" s="8"/>
    </row>
    <row r="121" spans="1:10" x14ac:dyDescent="0.2">
      <c r="A121" s="32"/>
      <c r="I121" s="8"/>
      <c r="J121" s="8"/>
    </row>
    <row r="122" spans="1:10" x14ac:dyDescent="0.2">
      <c r="A122" s="32"/>
      <c r="I122" s="8"/>
      <c r="J122" s="8"/>
    </row>
    <row r="123" spans="1:10" x14ac:dyDescent="0.2">
      <c r="A123" s="32"/>
      <c r="I123" s="8"/>
      <c r="J123" s="8"/>
    </row>
    <row r="124" spans="1:10" x14ac:dyDescent="0.2">
      <c r="A124" s="32"/>
      <c r="I124" s="8"/>
      <c r="J124" s="8"/>
    </row>
    <row r="125" spans="1:10" x14ac:dyDescent="0.2">
      <c r="A125" s="32"/>
      <c r="I125" s="8"/>
      <c r="J125" s="8"/>
    </row>
    <row r="126" spans="1:10" x14ac:dyDescent="0.2">
      <c r="A126" s="32"/>
      <c r="I126" s="8"/>
      <c r="J126" s="8"/>
    </row>
    <row r="127" spans="1:10" x14ac:dyDescent="0.2">
      <c r="A127" s="32"/>
      <c r="I127" s="8"/>
      <c r="J127" s="8"/>
    </row>
    <row r="128" spans="1:10" x14ac:dyDescent="0.2">
      <c r="A128" s="32"/>
      <c r="I128" s="8"/>
      <c r="J128" s="8"/>
    </row>
    <row r="129" spans="1:10" x14ac:dyDescent="0.2">
      <c r="A129" s="32"/>
      <c r="I129" s="8"/>
      <c r="J129" s="8"/>
    </row>
    <row r="130" spans="1:10" x14ac:dyDescent="0.2">
      <c r="A130" s="32"/>
      <c r="I130" s="8"/>
      <c r="J130" s="8"/>
    </row>
    <row r="131" spans="1:10" x14ac:dyDescent="0.2">
      <c r="A131" s="32"/>
      <c r="I131" s="8"/>
      <c r="J131" s="8"/>
    </row>
    <row r="132" spans="1:10" x14ac:dyDescent="0.2">
      <c r="A132" s="32"/>
      <c r="I132" s="8"/>
      <c r="J132" s="8"/>
    </row>
    <row r="133" spans="1:10" x14ac:dyDescent="0.2">
      <c r="A133" s="32"/>
      <c r="I133" s="8"/>
      <c r="J133" s="8"/>
    </row>
    <row r="134" spans="1:10" x14ac:dyDescent="0.2">
      <c r="A134" s="32"/>
      <c r="I134" s="8"/>
      <c r="J134" s="8"/>
    </row>
    <row r="135" spans="1:10" x14ac:dyDescent="0.2">
      <c r="A135" s="32"/>
      <c r="I135" s="8"/>
      <c r="J135" s="8"/>
    </row>
    <row r="136" spans="1:10" x14ac:dyDescent="0.2">
      <c r="A136" s="32"/>
      <c r="I136" s="8"/>
      <c r="J136" s="8"/>
    </row>
    <row r="137" spans="1:10" x14ac:dyDescent="0.2">
      <c r="A137" s="32"/>
      <c r="I137" s="8"/>
      <c r="J137" s="8"/>
    </row>
    <row r="138" spans="1:10" x14ac:dyDescent="0.2">
      <c r="A138" s="32"/>
      <c r="I138" s="8"/>
      <c r="J138" s="8"/>
    </row>
    <row r="139" spans="1:10" x14ac:dyDescent="0.2">
      <c r="A139" s="32"/>
      <c r="I139" s="8"/>
      <c r="J139" s="8"/>
    </row>
    <row r="140" spans="1:10" x14ac:dyDescent="0.2">
      <c r="A140" s="32"/>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x14ac:dyDescent="0.2">
      <c r="A145" s="32"/>
      <c r="I145" s="8"/>
      <c r="J145" s="8"/>
    </row>
    <row r="146" spans="1:10" x14ac:dyDescent="0.2">
      <c r="A146" s="32"/>
      <c r="I146" s="8"/>
      <c r="J146" s="8"/>
    </row>
    <row r="147" spans="1:10" x14ac:dyDescent="0.2">
      <c r="A147" s="32"/>
      <c r="I147" s="8"/>
      <c r="J147" s="8"/>
    </row>
    <row r="148" spans="1:10" x14ac:dyDescent="0.2">
      <c r="A148" s="32"/>
      <c r="I148" s="8"/>
      <c r="J148" s="8"/>
    </row>
    <row r="149" spans="1:10" x14ac:dyDescent="0.2">
      <c r="A149" s="32"/>
      <c r="I149" s="8"/>
      <c r="J149" s="8"/>
    </row>
    <row r="150" spans="1:10" x14ac:dyDescent="0.2">
      <c r="A150" s="32"/>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row>
    <row r="187" spans="1:10" x14ac:dyDescent="0.2">
      <c r="A187" s="32"/>
    </row>
    <row r="188" spans="1:10" x14ac:dyDescent="0.2">
      <c r="A188" s="32"/>
    </row>
    <row r="189" spans="1:10" x14ac:dyDescent="0.2">
      <c r="A189" s="32"/>
    </row>
    <row r="190" spans="1:10" x14ac:dyDescent="0.2">
      <c r="A190" s="32"/>
    </row>
    <row r="191" spans="1:10" x14ac:dyDescent="0.2">
      <c r="A191" s="32"/>
    </row>
    <row r="192" spans="1:10" x14ac:dyDescent="0.2">
      <c r="A192" s="32"/>
    </row>
    <row r="193" spans="1:1" x14ac:dyDescent="0.2">
      <c r="A193" s="32"/>
    </row>
    <row r="194" spans="1:1" x14ac:dyDescent="0.2">
      <c r="A194" s="32"/>
    </row>
    <row r="195" spans="1:1" x14ac:dyDescent="0.2">
      <c r="A195" s="32"/>
    </row>
    <row r="196" spans="1:1" x14ac:dyDescent="0.2">
      <c r="A196" s="32"/>
    </row>
    <row r="197" spans="1:1" x14ac:dyDescent="0.2">
      <c r="A197" s="32"/>
    </row>
    <row r="198" spans="1:1" x14ac:dyDescent="0.2">
      <c r="A198" s="32"/>
    </row>
    <row r="199" spans="1:1" x14ac:dyDescent="0.2">
      <c r="A199" s="32"/>
    </row>
    <row r="200" spans="1:1" x14ac:dyDescent="0.2">
      <c r="A200" s="32"/>
    </row>
    <row r="201" spans="1:1" x14ac:dyDescent="0.2">
      <c r="A201" s="32"/>
    </row>
    <row r="202" spans="1:1" x14ac:dyDescent="0.2">
      <c r="A202" s="32"/>
    </row>
    <row r="203" spans="1:1" x14ac:dyDescent="0.2">
      <c r="A203" s="32"/>
    </row>
    <row r="204" spans="1:1" x14ac:dyDescent="0.2">
      <c r="A204" s="32"/>
    </row>
    <row r="205" spans="1:1" x14ac:dyDescent="0.2">
      <c r="A205" s="32"/>
    </row>
    <row r="206" spans="1:1" x14ac:dyDescent="0.2">
      <c r="A206" s="32"/>
    </row>
    <row r="207" spans="1:1" x14ac:dyDescent="0.2">
      <c r="A207" s="32"/>
    </row>
    <row r="208" spans="1:1" x14ac:dyDescent="0.2">
      <c r="A208" s="32"/>
    </row>
    <row r="209" spans="1:1" x14ac:dyDescent="0.2">
      <c r="A209" s="32"/>
    </row>
    <row r="210" spans="1:1" x14ac:dyDescent="0.2">
      <c r="A210" s="32"/>
    </row>
    <row r="211" spans="1:1" x14ac:dyDescent="0.2">
      <c r="A211" s="32"/>
    </row>
  </sheetData>
  <autoFilter ref="A1:AH1" xr:uid="{00000000-0001-0000-0800-000000000000}"/>
  <mergeCells count="67">
    <mergeCell ref="AC26:AE26"/>
    <mergeCell ref="AF26:AH26"/>
    <mergeCell ref="C41:H41"/>
    <mergeCell ref="C26:D26"/>
    <mergeCell ref="T26:V26"/>
    <mergeCell ref="W26:Y26"/>
    <mergeCell ref="Z26:AB26"/>
    <mergeCell ref="M27:O27"/>
    <mergeCell ref="H28:I28"/>
    <mergeCell ref="A38:C38"/>
    <mergeCell ref="C39:H39"/>
    <mergeCell ref="C40:H40"/>
    <mergeCell ref="C53:H53"/>
    <mergeCell ref="C42:H42"/>
    <mergeCell ref="C43:H43"/>
    <mergeCell ref="C44:H44"/>
    <mergeCell ref="C45:H45"/>
    <mergeCell ref="C46:H46"/>
    <mergeCell ref="C47:H47"/>
    <mergeCell ref="C48:H48"/>
    <mergeCell ref="C49:H49"/>
    <mergeCell ref="C50:H50"/>
    <mergeCell ref="C51:H51"/>
    <mergeCell ref="C52:H52"/>
    <mergeCell ref="C65:H65"/>
    <mergeCell ref="C54:H54"/>
    <mergeCell ref="C55:H55"/>
    <mergeCell ref="C56:H56"/>
    <mergeCell ref="C57:H57"/>
    <mergeCell ref="C58:H58"/>
    <mergeCell ref="C59:H59"/>
    <mergeCell ref="C60:H60"/>
    <mergeCell ref="C61:H61"/>
    <mergeCell ref="C62:H62"/>
    <mergeCell ref="C63:H63"/>
    <mergeCell ref="C64:H64"/>
    <mergeCell ref="C78:D78"/>
    <mergeCell ref="C66:H66"/>
    <mergeCell ref="C67:H67"/>
    <mergeCell ref="C68:H68"/>
    <mergeCell ref="C69:H69"/>
    <mergeCell ref="A71:D71"/>
    <mergeCell ref="C72:D72"/>
    <mergeCell ref="C73:D73"/>
    <mergeCell ref="C74:D74"/>
    <mergeCell ref="C75:D75"/>
    <mergeCell ref="C76:D76"/>
    <mergeCell ref="C77:D77"/>
    <mergeCell ref="C95:D95"/>
    <mergeCell ref="C79:D79"/>
    <mergeCell ref="C80:D80"/>
    <mergeCell ref="C81:D81"/>
    <mergeCell ref="C82:D82"/>
    <mergeCell ref="A88:D88"/>
    <mergeCell ref="C89:D89"/>
    <mergeCell ref="C90:D90"/>
    <mergeCell ref="C91:D91"/>
    <mergeCell ref="C92:D92"/>
    <mergeCell ref="C93:D93"/>
    <mergeCell ref="C94:D94"/>
    <mergeCell ref="C108:G108"/>
    <mergeCell ref="C96:D96"/>
    <mergeCell ref="C97:D97"/>
    <mergeCell ref="C98:D98"/>
    <mergeCell ref="C99:D99"/>
    <mergeCell ref="C100:D100"/>
    <mergeCell ref="C101:D101"/>
  </mergeCells>
  <dataValidations count="2">
    <dataValidation type="list" allowBlank="1" showInputMessage="1" showErrorMessage="1" sqref="I39:I69" xr:uid="{B80DA72E-8996-4B8F-A47B-0DB496DF27DA}">
      <formula1>$B$72:$B$82</formula1>
    </dataValidation>
    <dataValidation type="list" allowBlank="1" showInputMessage="1" showErrorMessage="1" sqref="J39:J69" xr:uid="{1B869728-37D3-4019-BDBD-5CFAC98C8C7D}">
      <formula1>$B$88:$B$101</formula1>
    </dataValidation>
  </dataValidation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46917-E2D2-4695-8A3F-C44919CD9481}">
  <sheetPr codeName="Hoja16"/>
  <dimension ref="A1:AP248"/>
  <sheetViews>
    <sheetView zoomScale="85" zoomScaleNormal="85" workbookViewId="0">
      <pane xSplit="11" ySplit="1" topLeftCell="L2"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13.5" style="1" customWidth="1"/>
    <col min="23" max="23" width="11.1640625" style="1" bestFit="1" customWidth="1"/>
    <col min="24" max="24" width="13.5" style="1" customWidth="1"/>
    <col min="25" max="25" width="12.1640625" style="1" bestFit="1" customWidth="1"/>
    <col min="26" max="26" width="13.5" style="1" customWidth="1"/>
    <col min="27" max="27" width="4.6640625" style="1" customWidth="1"/>
    <col min="28" max="28" width="13.5" style="1" customWidth="1"/>
    <col min="29" max="29" width="13" style="1" bestFit="1" customWidth="1"/>
    <col min="30" max="30" width="4.6640625" style="48" customWidth="1"/>
    <col min="31" max="31" width="11.5" style="48" bestFit="1" customWidth="1"/>
    <col min="32" max="32" width="16.6640625" style="48" bestFit="1" customWidth="1"/>
    <col min="33" max="33" width="4.6640625" style="1" customWidth="1"/>
    <col min="34" max="34" width="11.5" style="1" bestFit="1" customWidth="1"/>
    <col min="35" max="38" width="9.1640625" style="1"/>
    <col min="39" max="39" width="15.5" style="1" bestFit="1" customWidth="1"/>
    <col min="40" max="16384" width="11.5" style="1"/>
  </cols>
  <sheetData>
    <row r="1" spans="1:42"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125</v>
      </c>
      <c r="AO1" s="304" t="s">
        <v>255</v>
      </c>
      <c r="AP1" s="304" t="s">
        <v>257</v>
      </c>
    </row>
    <row r="2" spans="1:42" s="48" customFormat="1" x14ac:dyDescent="0.2">
      <c r="A2" s="209"/>
      <c r="B2" s="8">
        <v>1464</v>
      </c>
      <c r="C2" s="8" t="s">
        <v>22</v>
      </c>
      <c r="D2" s="8" t="s">
        <v>106</v>
      </c>
      <c r="E2" s="8" t="s">
        <v>24</v>
      </c>
      <c r="F2" s="8" t="s">
        <v>761</v>
      </c>
      <c r="G2" s="8" t="s">
        <v>106</v>
      </c>
      <c r="H2" s="8" t="s">
        <v>769</v>
      </c>
      <c r="I2" s="8">
        <v>4032799</v>
      </c>
      <c r="J2" s="37">
        <v>27500000</v>
      </c>
      <c r="K2" s="19">
        <v>0</v>
      </c>
      <c r="L2" s="198" t="s">
        <v>128</v>
      </c>
      <c r="M2" s="198" t="s">
        <v>128</v>
      </c>
      <c r="N2" s="197" t="s">
        <v>128</v>
      </c>
      <c r="O2" s="195">
        <v>1</v>
      </c>
      <c r="P2" s="45" t="s">
        <v>27</v>
      </c>
      <c r="Q2" s="45" t="s">
        <v>128</v>
      </c>
      <c r="R2" s="45" t="s">
        <v>27</v>
      </c>
      <c r="S2" s="45" t="s">
        <v>128</v>
      </c>
      <c r="T2" s="45" t="s">
        <v>27</v>
      </c>
      <c r="U2" s="45" t="s">
        <v>128</v>
      </c>
      <c r="V2" s="45" t="s">
        <v>128</v>
      </c>
      <c r="W2" s="45" t="s">
        <v>770</v>
      </c>
      <c r="X2" s="45" t="s">
        <v>128</v>
      </c>
      <c r="Y2" s="45" t="s">
        <v>128</v>
      </c>
      <c r="Z2" s="45" t="s">
        <v>128</v>
      </c>
      <c r="AA2" s="45" t="s">
        <v>128</v>
      </c>
      <c r="AB2" s="45" t="s">
        <v>128</v>
      </c>
      <c r="AC2" s="45" t="s">
        <v>128</v>
      </c>
      <c r="AD2" s="45" t="s">
        <v>128</v>
      </c>
      <c r="AE2" s="45" t="s">
        <v>128</v>
      </c>
      <c r="AF2" s="45" t="s">
        <v>128</v>
      </c>
      <c r="AG2" s="107" t="s">
        <v>128</v>
      </c>
      <c r="AH2" s="107" t="s">
        <v>128</v>
      </c>
      <c r="AI2" s="228"/>
      <c r="AJ2" s="228"/>
      <c r="AK2" s="228"/>
      <c r="AL2" s="228"/>
      <c r="AM2" s="228"/>
      <c r="AN2" s="228"/>
      <c r="AO2" s="140"/>
      <c r="AP2" s="140"/>
    </row>
    <row r="3" spans="1:42" s="48" customFormat="1" x14ac:dyDescent="0.2">
      <c r="A3" s="22"/>
      <c r="B3" s="22">
        <v>1465</v>
      </c>
      <c r="C3" s="22" t="s">
        <v>22</v>
      </c>
      <c r="D3" s="22" t="s">
        <v>106</v>
      </c>
      <c r="E3" s="22" t="s">
        <v>24</v>
      </c>
      <c r="F3" s="22" t="s">
        <v>761</v>
      </c>
      <c r="G3" s="22" t="s">
        <v>106</v>
      </c>
      <c r="H3" s="22" t="s">
        <v>769</v>
      </c>
      <c r="I3" s="22">
        <v>4032822</v>
      </c>
      <c r="J3" s="36">
        <v>27500000</v>
      </c>
      <c r="K3" s="19">
        <v>0</v>
      </c>
      <c r="L3" s="198" t="s">
        <v>128</v>
      </c>
      <c r="M3" s="198" t="s">
        <v>128</v>
      </c>
      <c r="N3" s="197" t="s">
        <v>128</v>
      </c>
      <c r="O3" s="195">
        <v>1</v>
      </c>
      <c r="P3" s="45" t="s">
        <v>27</v>
      </c>
      <c r="Q3" s="45" t="s">
        <v>128</v>
      </c>
      <c r="R3" s="45" t="s">
        <v>27</v>
      </c>
      <c r="S3" s="45" t="s">
        <v>128</v>
      </c>
      <c r="T3" s="45" t="s">
        <v>770</v>
      </c>
      <c r="U3" s="45" t="s">
        <v>128</v>
      </c>
      <c r="V3" s="45" t="s">
        <v>128</v>
      </c>
      <c r="W3" s="45" t="s">
        <v>128</v>
      </c>
      <c r="X3" s="45" t="s">
        <v>128</v>
      </c>
      <c r="Y3" s="45" t="s">
        <v>128</v>
      </c>
      <c r="Z3" s="45" t="s">
        <v>128</v>
      </c>
      <c r="AA3" s="45" t="s">
        <v>128</v>
      </c>
      <c r="AB3" s="45" t="s">
        <v>128</v>
      </c>
      <c r="AC3" s="45" t="s">
        <v>128</v>
      </c>
      <c r="AD3" s="45" t="s">
        <v>128</v>
      </c>
      <c r="AE3" s="45" t="s">
        <v>128</v>
      </c>
      <c r="AF3" s="45" t="s">
        <v>128</v>
      </c>
      <c r="AG3" s="107" t="s">
        <v>128</v>
      </c>
      <c r="AH3" s="107" t="s">
        <v>128</v>
      </c>
      <c r="AI3" s="228"/>
      <c r="AJ3" s="228"/>
      <c r="AK3" s="228"/>
      <c r="AL3" s="228"/>
      <c r="AM3" s="228"/>
      <c r="AN3" s="228"/>
      <c r="AO3" s="140"/>
      <c r="AP3" s="140"/>
    </row>
    <row r="4" spans="1:42" s="48" customFormat="1" x14ac:dyDescent="0.2">
      <c r="A4" s="209"/>
      <c r="B4" s="8">
        <v>1511</v>
      </c>
      <c r="C4" s="8" t="s">
        <v>22</v>
      </c>
      <c r="D4" s="8" t="s">
        <v>667</v>
      </c>
      <c r="E4" s="8" t="s">
        <v>31</v>
      </c>
      <c r="F4" s="8" t="s">
        <v>570</v>
      </c>
      <c r="G4" s="8" t="s">
        <v>60</v>
      </c>
      <c r="H4" s="8" t="s">
        <v>771</v>
      </c>
      <c r="I4" s="8">
        <v>246</v>
      </c>
      <c r="J4" s="37">
        <v>95760000</v>
      </c>
      <c r="K4" s="19">
        <v>0</v>
      </c>
      <c r="L4" s="198" t="s">
        <v>128</v>
      </c>
      <c r="M4" s="198" t="s">
        <v>128</v>
      </c>
      <c r="N4" s="197" t="s">
        <v>128</v>
      </c>
      <c r="O4" s="195">
        <v>1</v>
      </c>
      <c r="P4" s="45" t="s">
        <v>27</v>
      </c>
      <c r="Q4" s="45" t="s">
        <v>128</v>
      </c>
      <c r="R4" s="45" t="s">
        <v>27</v>
      </c>
      <c r="S4" s="45" t="s">
        <v>128</v>
      </c>
      <c r="T4" s="45" t="s">
        <v>770</v>
      </c>
      <c r="U4" s="45" t="s">
        <v>128</v>
      </c>
      <c r="V4" s="45" t="s">
        <v>128</v>
      </c>
      <c r="W4" s="45" t="s">
        <v>128</v>
      </c>
      <c r="X4" s="45" t="s">
        <v>128</v>
      </c>
      <c r="Y4" s="45" t="s">
        <v>128</v>
      </c>
      <c r="Z4" s="45" t="s">
        <v>128</v>
      </c>
      <c r="AA4" s="45" t="s">
        <v>128</v>
      </c>
      <c r="AB4" s="45" t="s">
        <v>128</v>
      </c>
      <c r="AC4" s="45" t="s">
        <v>128</v>
      </c>
      <c r="AD4" s="45" t="s">
        <v>128</v>
      </c>
      <c r="AE4" s="45" t="s">
        <v>128</v>
      </c>
      <c r="AF4" s="45" t="s">
        <v>128</v>
      </c>
      <c r="AG4" s="107" t="s">
        <v>128</v>
      </c>
      <c r="AH4" s="107" t="s">
        <v>128</v>
      </c>
      <c r="AI4" s="228"/>
      <c r="AJ4" s="228"/>
      <c r="AK4" s="228"/>
      <c r="AL4" s="228"/>
      <c r="AM4" s="228"/>
      <c r="AN4" s="228"/>
      <c r="AO4" s="140"/>
      <c r="AP4" s="140"/>
    </row>
    <row r="5" spans="1:42" s="48" customFormat="1" x14ac:dyDescent="0.2">
      <c r="A5" s="22"/>
      <c r="B5" s="22">
        <v>1513</v>
      </c>
      <c r="C5" s="22" t="s">
        <v>22</v>
      </c>
      <c r="D5" s="22" t="s">
        <v>667</v>
      </c>
      <c r="E5" s="22" t="s">
        <v>31</v>
      </c>
      <c r="F5" s="22" t="s">
        <v>570</v>
      </c>
      <c r="G5" s="22" t="s">
        <v>60</v>
      </c>
      <c r="H5" s="22" t="s">
        <v>771</v>
      </c>
      <c r="I5" s="22">
        <v>248</v>
      </c>
      <c r="J5" s="36">
        <v>95760000</v>
      </c>
      <c r="K5" s="19">
        <v>0</v>
      </c>
      <c r="L5" s="198" t="s">
        <v>128</v>
      </c>
      <c r="M5" s="198" t="s">
        <v>128</v>
      </c>
      <c r="N5" s="197" t="s">
        <v>128</v>
      </c>
      <c r="O5" s="195">
        <v>1</v>
      </c>
      <c r="P5" s="45" t="s">
        <v>27</v>
      </c>
      <c r="Q5" s="45" t="s">
        <v>128</v>
      </c>
      <c r="R5" s="45" t="s">
        <v>27</v>
      </c>
      <c r="S5" s="45" t="s">
        <v>128</v>
      </c>
      <c r="T5" s="45" t="s">
        <v>27</v>
      </c>
      <c r="U5" s="45" t="s">
        <v>128</v>
      </c>
      <c r="V5" s="45" t="s">
        <v>128</v>
      </c>
      <c r="W5" s="45" t="s">
        <v>27</v>
      </c>
      <c r="X5" s="45" t="s">
        <v>128</v>
      </c>
      <c r="Y5" s="45" t="s">
        <v>128</v>
      </c>
      <c r="Z5" s="45" t="s">
        <v>27</v>
      </c>
      <c r="AA5" s="45" t="s">
        <v>128</v>
      </c>
      <c r="AB5" s="45" t="s">
        <v>128</v>
      </c>
      <c r="AC5" s="45" t="s">
        <v>770</v>
      </c>
      <c r="AD5" s="45" t="s">
        <v>128</v>
      </c>
      <c r="AE5" s="45" t="s">
        <v>128</v>
      </c>
      <c r="AF5" s="45" t="s">
        <v>770</v>
      </c>
      <c r="AG5" s="107" t="s">
        <v>128</v>
      </c>
      <c r="AH5" s="107" t="s">
        <v>128</v>
      </c>
      <c r="AI5" s="228"/>
      <c r="AJ5" s="228"/>
      <c r="AK5" s="228"/>
      <c r="AL5" s="228"/>
      <c r="AM5" s="228"/>
      <c r="AN5" s="228"/>
      <c r="AO5" s="140"/>
      <c r="AP5" s="140"/>
    </row>
    <row r="6" spans="1:42" s="48" customFormat="1" x14ac:dyDescent="0.2">
      <c r="A6" s="209"/>
      <c r="B6" s="8">
        <v>1515</v>
      </c>
      <c r="C6" s="8" t="s">
        <v>22</v>
      </c>
      <c r="D6" s="8" t="s">
        <v>667</v>
      </c>
      <c r="E6" s="8" t="s">
        <v>31</v>
      </c>
      <c r="F6" s="8" t="s">
        <v>570</v>
      </c>
      <c r="G6" s="8" t="s">
        <v>60</v>
      </c>
      <c r="H6" s="8" t="s">
        <v>771</v>
      </c>
      <c r="I6" s="8">
        <v>250</v>
      </c>
      <c r="J6" s="37">
        <v>95760000</v>
      </c>
      <c r="K6" s="19">
        <v>0</v>
      </c>
      <c r="L6" s="198" t="s">
        <v>128</v>
      </c>
      <c r="M6" s="198" t="s">
        <v>128</v>
      </c>
      <c r="N6" s="197" t="s">
        <v>128</v>
      </c>
      <c r="O6" s="195">
        <v>1</v>
      </c>
      <c r="P6" s="45" t="s">
        <v>27</v>
      </c>
      <c r="Q6" s="45" t="s">
        <v>128</v>
      </c>
      <c r="R6" s="45" t="s">
        <v>27</v>
      </c>
      <c r="S6" s="45" t="s">
        <v>128</v>
      </c>
      <c r="T6" s="45" t="s">
        <v>27</v>
      </c>
      <c r="U6" s="45" t="s">
        <v>128</v>
      </c>
      <c r="V6" s="45" t="s">
        <v>128</v>
      </c>
      <c r="W6" s="45" t="s">
        <v>770</v>
      </c>
      <c r="X6" s="45" t="s">
        <v>128</v>
      </c>
      <c r="Y6" s="45" t="s">
        <v>128</v>
      </c>
      <c r="Z6" s="45" t="s">
        <v>128</v>
      </c>
      <c r="AA6" s="45" t="s">
        <v>128</v>
      </c>
      <c r="AB6" s="45" t="s">
        <v>128</v>
      </c>
      <c r="AC6" s="45" t="s">
        <v>128</v>
      </c>
      <c r="AD6" s="45" t="s">
        <v>128</v>
      </c>
      <c r="AE6" s="45" t="s">
        <v>128</v>
      </c>
      <c r="AF6" s="45" t="s">
        <v>128</v>
      </c>
      <c r="AG6" s="107" t="s">
        <v>128</v>
      </c>
      <c r="AH6" s="107" t="s">
        <v>128</v>
      </c>
      <c r="AI6" s="228"/>
      <c r="AJ6" s="228"/>
      <c r="AK6" s="228"/>
      <c r="AL6" s="228"/>
      <c r="AM6" s="228"/>
      <c r="AN6" s="228"/>
      <c r="AO6" s="140"/>
      <c r="AP6" s="140"/>
    </row>
    <row r="7" spans="1:42" s="48" customFormat="1" x14ac:dyDescent="0.2">
      <c r="A7" s="22"/>
      <c r="B7" s="22">
        <v>1531</v>
      </c>
      <c r="C7" s="22" t="s">
        <v>22</v>
      </c>
      <c r="D7" s="22" t="s">
        <v>772</v>
      </c>
      <c r="E7" s="22" t="s">
        <v>24</v>
      </c>
      <c r="F7" s="22" t="s">
        <v>485</v>
      </c>
      <c r="G7" s="22" t="s">
        <v>23</v>
      </c>
      <c r="H7" s="22" t="s">
        <v>773</v>
      </c>
      <c r="I7" s="22">
        <v>927895</v>
      </c>
      <c r="J7" s="36">
        <v>27500000</v>
      </c>
      <c r="K7" s="19">
        <v>0</v>
      </c>
      <c r="L7" s="198" t="s">
        <v>128</v>
      </c>
      <c r="M7" s="198" t="s">
        <v>128</v>
      </c>
      <c r="N7" s="197" t="s">
        <v>128</v>
      </c>
      <c r="O7" s="195">
        <v>1</v>
      </c>
      <c r="P7" s="45" t="s">
        <v>27</v>
      </c>
      <c r="Q7" s="45" t="s">
        <v>128</v>
      </c>
      <c r="R7" s="45" t="s">
        <v>27</v>
      </c>
      <c r="S7" s="45" t="s">
        <v>128</v>
      </c>
      <c r="T7" s="45" t="s">
        <v>770</v>
      </c>
      <c r="U7" s="45" t="s">
        <v>128</v>
      </c>
      <c r="V7" s="45" t="s">
        <v>128</v>
      </c>
      <c r="W7" s="45" t="s">
        <v>128</v>
      </c>
      <c r="X7" s="45" t="s">
        <v>128</v>
      </c>
      <c r="Y7" s="45" t="s">
        <v>128</v>
      </c>
      <c r="Z7" s="45" t="s">
        <v>128</v>
      </c>
      <c r="AA7" s="45" t="s">
        <v>128</v>
      </c>
      <c r="AB7" s="45" t="s">
        <v>128</v>
      </c>
      <c r="AC7" s="45" t="s">
        <v>128</v>
      </c>
      <c r="AD7" s="45" t="s">
        <v>128</v>
      </c>
      <c r="AE7" s="45" t="s">
        <v>128</v>
      </c>
      <c r="AF7" s="45" t="s">
        <v>128</v>
      </c>
      <c r="AG7" s="107" t="s">
        <v>128</v>
      </c>
      <c r="AH7" s="107" t="s">
        <v>128</v>
      </c>
      <c r="AI7" s="228"/>
      <c r="AJ7" s="228"/>
      <c r="AK7" s="228"/>
      <c r="AL7" s="228"/>
      <c r="AM7" s="228"/>
      <c r="AN7" s="228"/>
      <c r="AO7" s="140"/>
      <c r="AP7" s="140"/>
    </row>
    <row r="8" spans="1:42" s="48" customFormat="1" x14ac:dyDescent="0.2">
      <c r="A8" s="209"/>
      <c r="B8" s="8">
        <v>1535</v>
      </c>
      <c r="C8" s="8" t="s">
        <v>22</v>
      </c>
      <c r="D8" s="23" t="s">
        <v>774</v>
      </c>
      <c r="E8" s="8" t="s">
        <v>66</v>
      </c>
      <c r="F8" s="8" t="s">
        <v>67</v>
      </c>
      <c r="G8" s="8" t="s">
        <v>68</v>
      </c>
      <c r="H8" s="8" t="s">
        <v>69</v>
      </c>
      <c r="I8" s="8">
        <v>7000959</v>
      </c>
      <c r="J8" s="37">
        <v>29500000</v>
      </c>
      <c r="K8" s="19">
        <v>0</v>
      </c>
      <c r="L8" s="198" t="s">
        <v>128</v>
      </c>
      <c r="M8" s="198" t="s">
        <v>128</v>
      </c>
      <c r="N8" s="197" t="s">
        <v>128</v>
      </c>
      <c r="O8" s="195">
        <v>1</v>
      </c>
      <c r="P8" s="45" t="s">
        <v>232</v>
      </c>
      <c r="Q8" s="45" t="s">
        <v>128</v>
      </c>
      <c r="R8" s="45" t="s">
        <v>128</v>
      </c>
      <c r="S8" s="45" t="s">
        <v>128</v>
      </c>
      <c r="T8" s="45" t="s">
        <v>128</v>
      </c>
      <c r="U8" s="45" t="s">
        <v>128</v>
      </c>
      <c r="V8" s="45" t="s">
        <v>128</v>
      </c>
      <c r="W8" s="45" t="s">
        <v>128</v>
      </c>
      <c r="X8" s="45" t="s">
        <v>128</v>
      </c>
      <c r="Y8" s="45" t="s">
        <v>128</v>
      </c>
      <c r="Z8" s="45" t="s">
        <v>128</v>
      </c>
      <c r="AA8" s="45" t="s">
        <v>128</v>
      </c>
      <c r="AB8" s="45" t="s">
        <v>128</v>
      </c>
      <c r="AC8" s="45" t="s">
        <v>128</v>
      </c>
      <c r="AD8" s="45" t="s">
        <v>128</v>
      </c>
      <c r="AE8" s="45" t="s">
        <v>128</v>
      </c>
      <c r="AF8" s="45" t="s">
        <v>128</v>
      </c>
      <c r="AG8" s="107" t="s">
        <v>128</v>
      </c>
      <c r="AH8" s="107" t="s">
        <v>128</v>
      </c>
      <c r="AI8" s="228"/>
      <c r="AJ8" s="228"/>
      <c r="AK8" s="228"/>
      <c r="AL8" s="228"/>
      <c r="AM8" s="228"/>
      <c r="AN8" s="228"/>
      <c r="AO8" s="140"/>
      <c r="AP8" s="140"/>
    </row>
    <row r="9" spans="1:42" s="48" customFormat="1" x14ac:dyDescent="0.2">
      <c r="A9" s="22"/>
      <c r="B9" s="22">
        <v>1537</v>
      </c>
      <c r="C9" s="22" t="s">
        <v>22</v>
      </c>
      <c r="D9" s="22" t="s">
        <v>106</v>
      </c>
      <c r="E9" s="22" t="s">
        <v>38</v>
      </c>
      <c r="F9" s="22" t="s">
        <v>59</v>
      </c>
      <c r="G9" s="22" t="s">
        <v>106</v>
      </c>
      <c r="H9" s="22" t="s">
        <v>723</v>
      </c>
      <c r="I9" s="22">
        <v>4036672</v>
      </c>
      <c r="J9" s="36">
        <v>26500000</v>
      </c>
      <c r="K9" s="19">
        <v>0</v>
      </c>
      <c r="L9" s="198" t="s">
        <v>128</v>
      </c>
      <c r="M9" s="198" t="s">
        <v>128</v>
      </c>
      <c r="N9" s="197" t="s">
        <v>128</v>
      </c>
      <c r="O9" s="195">
        <v>1</v>
      </c>
      <c r="P9" s="45" t="s">
        <v>27</v>
      </c>
      <c r="Q9" s="45" t="s">
        <v>128</v>
      </c>
      <c r="R9" s="45" t="s">
        <v>27</v>
      </c>
      <c r="S9" s="45" t="s">
        <v>128</v>
      </c>
      <c r="T9" s="45" t="s">
        <v>770</v>
      </c>
      <c r="U9" s="45" t="s">
        <v>128</v>
      </c>
      <c r="V9" s="45" t="s">
        <v>128</v>
      </c>
      <c r="W9" s="45" t="s">
        <v>770</v>
      </c>
      <c r="X9" s="45" t="s">
        <v>128</v>
      </c>
      <c r="Y9" s="45" t="s">
        <v>128</v>
      </c>
      <c r="Z9" s="45" t="s">
        <v>128</v>
      </c>
      <c r="AA9" s="45" t="s">
        <v>128</v>
      </c>
      <c r="AB9" s="45" t="s">
        <v>128</v>
      </c>
      <c r="AC9" s="45" t="s">
        <v>128</v>
      </c>
      <c r="AD9" s="45" t="s">
        <v>128</v>
      </c>
      <c r="AE9" s="45" t="s">
        <v>128</v>
      </c>
      <c r="AF9" s="45" t="s">
        <v>128</v>
      </c>
      <c r="AG9" s="107" t="s">
        <v>128</v>
      </c>
      <c r="AH9" s="107" t="s">
        <v>128</v>
      </c>
      <c r="AI9" s="228"/>
      <c r="AJ9" s="228"/>
      <c r="AK9" s="228"/>
      <c r="AL9" s="228"/>
      <c r="AM9" s="228"/>
      <c r="AN9" s="228"/>
      <c r="AO9" s="140"/>
      <c r="AP9" s="140"/>
    </row>
    <row r="10" spans="1:42" s="48" customFormat="1" x14ac:dyDescent="0.2">
      <c r="A10" s="209"/>
      <c r="B10" s="8">
        <v>1594</v>
      </c>
      <c r="C10" s="8" t="s">
        <v>22</v>
      </c>
      <c r="D10" s="8" t="s">
        <v>132</v>
      </c>
      <c r="E10" s="8" t="s">
        <v>24</v>
      </c>
      <c r="F10" s="8" t="s">
        <v>94</v>
      </c>
      <c r="G10" s="8" t="s">
        <v>44</v>
      </c>
      <c r="H10" s="8">
        <v>32360</v>
      </c>
      <c r="I10" s="8">
        <v>25720</v>
      </c>
      <c r="J10" s="37">
        <v>31800000</v>
      </c>
      <c r="K10" s="19">
        <v>0</v>
      </c>
      <c r="L10" s="198" t="s">
        <v>128</v>
      </c>
      <c r="M10" s="198" t="s">
        <v>128</v>
      </c>
      <c r="N10" s="197" t="s">
        <v>128</v>
      </c>
      <c r="O10" s="195">
        <v>1</v>
      </c>
      <c r="P10" s="45" t="s">
        <v>27</v>
      </c>
      <c r="Q10" s="45" t="s">
        <v>128</v>
      </c>
      <c r="R10" s="45" t="s">
        <v>27</v>
      </c>
      <c r="S10" s="45" t="s">
        <v>128</v>
      </c>
      <c r="T10" s="45" t="s">
        <v>27</v>
      </c>
      <c r="U10" s="45" t="s">
        <v>128</v>
      </c>
      <c r="V10" s="45" t="s">
        <v>128</v>
      </c>
      <c r="W10" s="45" t="s">
        <v>27</v>
      </c>
      <c r="X10" s="45" t="s">
        <v>128</v>
      </c>
      <c r="Y10" s="45" t="s">
        <v>128</v>
      </c>
      <c r="Z10" s="45" t="s">
        <v>232</v>
      </c>
      <c r="AA10" s="45" t="s">
        <v>128</v>
      </c>
      <c r="AB10" s="45" t="s">
        <v>128</v>
      </c>
      <c r="AC10" s="45" t="s">
        <v>770</v>
      </c>
      <c r="AD10" s="45" t="s">
        <v>128</v>
      </c>
      <c r="AE10" s="45" t="s">
        <v>128</v>
      </c>
      <c r="AF10" s="45" t="s">
        <v>128</v>
      </c>
      <c r="AG10" s="107" t="s">
        <v>128</v>
      </c>
      <c r="AH10" s="107" t="s">
        <v>128</v>
      </c>
      <c r="AI10" s="228"/>
      <c r="AJ10" s="228"/>
      <c r="AK10" s="228"/>
      <c r="AL10" s="228"/>
      <c r="AM10" s="228"/>
      <c r="AN10" s="228"/>
      <c r="AO10" s="140"/>
      <c r="AP10" s="140"/>
    </row>
    <row r="11" spans="1:42" s="48" customFormat="1" x14ac:dyDescent="0.2">
      <c r="A11" s="22"/>
      <c r="B11" s="22">
        <v>1595</v>
      </c>
      <c r="C11" s="22" t="s">
        <v>22</v>
      </c>
      <c r="D11" s="22" t="s">
        <v>132</v>
      </c>
      <c r="E11" s="22" t="s">
        <v>24</v>
      </c>
      <c r="F11" s="22" t="s">
        <v>94</v>
      </c>
      <c r="G11" s="22" t="s">
        <v>44</v>
      </c>
      <c r="H11" s="22">
        <v>32360</v>
      </c>
      <c r="I11" s="22">
        <v>32032</v>
      </c>
      <c r="J11" s="36">
        <v>31800000</v>
      </c>
      <c r="K11" s="19">
        <v>0</v>
      </c>
      <c r="L11" s="198" t="s">
        <v>128</v>
      </c>
      <c r="M11" s="198" t="s">
        <v>128</v>
      </c>
      <c r="N11" s="197" t="s">
        <v>128</v>
      </c>
      <c r="O11" s="195">
        <v>1</v>
      </c>
      <c r="P11" s="45" t="s">
        <v>27</v>
      </c>
      <c r="Q11" s="45" t="s">
        <v>128</v>
      </c>
      <c r="R11" s="45" t="s">
        <v>27</v>
      </c>
      <c r="S11" s="45" t="s">
        <v>128</v>
      </c>
      <c r="T11" s="45" t="s">
        <v>232</v>
      </c>
      <c r="U11" s="45" t="s">
        <v>128</v>
      </c>
      <c r="V11" s="45" t="s">
        <v>128</v>
      </c>
      <c r="W11" s="45" t="s">
        <v>128</v>
      </c>
      <c r="X11" s="45" t="s">
        <v>128</v>
      </c>
      <c r="Y11" s="45" t="s">
        <v>128</v>
      </c>
      <c r="Z11" s="45" t="s">
        <v>128</v>
      </c>
      <c r="AA11" s="45" t="s">
        <v>128</v>
      </c>
      <c r="AB11" s="45" t="s">
        <v>128</v>
      </c>
      <c r="AC11" s="45" t="s">
        <v>128</v>
      </c>
      <c r="AD11" s="45" t="s">
        <v>128</v>
      </c>
      <c r="AE11" s="45" t="s">
        <v>128</v>
      </c>
      <c r="AF11" s="45" t="s">
        <v>128</v>
      </c>
      <c r="AG11" s="107" t="s">
        <v>128</v>
      </c>
      <c r="AH11" s="107" t="s">
        <v>128</v>
      </c>
      <c r="AI11" s="228"/>
      <c r="AJ11" s="228"/>
      <c r="AK11" s="228"/>
      <c r="AL11" s="228"/>
      <c r="AM11" s="228"/>
      <c r="AN11" s="228"/>
      <c r="AO11" s="140"/>
      <c r="AP11" s="140"/>
    </row>
    <row r="12" spans="1:42" s="48" customFormat="1" x14ac:dyDescent="0.2">
      <c r="A12" s="209"/>
      <c r="B12" s="8">
        <v>1592</v>
      </c>
      <c r="C12" s="8" t="s">
        <v>22</v>
      </c>
      <c r="D12" s="8" t="s">
        <v>132</v>
      </c>
      <c r="E12" s="8" t="s">
        <v>38</v>
      </c>
      <c r="F12" s="8" t="s">
        <v>96</v>
      </c>
      <c r="G12" s="8" t="s">
        <v>33</v>
      </c>
      <c r="H12" s="8" t="s">
        <v>775</v>
      </c>
      <c r="I12" s="8">
        <v>267597</v>
      </c>
      <c r="J12" s="37">
        <v>25800000</v>
      </c>
      <c r="K12" s="19">
        <v>0</v>
      </c>
      <c r="L12" s="198" t="s">
        <v>128</v>
      </c>
      <c r="M12" s="198" t="s">
        <v>128</v>
      </c>
      <c r="N12" s="197" t="s">
        <v>128</v>
      </c>
      <c r="O12" s="195">
        <v>1</v>
      </c>
      <c r="P12" s="45" t="s">
        <v>27</v>
      </c>
      <c r="Q12" s="45" t="s">
        <v>128</v>
      </c>
      <c r="R12" s="45" t="s">
        <v>232</v>
      </c>
      <c r="S12" s="45" t="s">
        <v>128</v>
      </c>
      <c r="T12" s="45" t="s">
        <v>128</v>
      </c>
      <c r="U12" s="45" t="s">
        <v>128</v>
      </c>
      <c r="V12" s="45" t="s">
        <v>128</v>
      </c>
      <c r="W12" s="45" t="s">
        <v>128</v>
      </c>
      <c r="X12" s="45" t="s">
        <v>128</v>
      </c>
      <c r="Y12" s="45" t="s">
        <v>128</v>
      </c>
      <c r="Z12" s="45" t="s">
        <v>128</v>
      </c>
      <c r="AA12" s="45" t="s">
        <v>128</v>
      </c>
      <c r="AB12" s="45" t="s">
        <v>128</v>
      </c>
      <c r="AC12" s="45" t="s">
        <v>128</v>
      </c>
      <c r="AD12" s="45" t="s">
        <v>128</v>
      </c>
      <c r="AE12" s="45" t="s">
        <v>128</v>
      </c>
      <c r="AF12" s="45" t="s">
        <v>128</v>
      </c>
      <c r="AG12" s="107" t="s">
        <v>128</v>
      </c>
      <c r="AH12" s="107" t="s">
        <v>128</v>
      </c>
      <c r="AI12" s="228"/>
      <c r="AJ12" s="228"/>
      <c r="AK12" s="228"/>
      <c r="AL12" s="228"/>
      <c r="AM12" s="228"/>
      <c r="AN12" s="228"/>
      <c r="AO12" s="140"/>
      <c r="AP12" s="140"/>
    </row>
    <row r="13" spans="1:42" s="48" customFormat="1" x14ac:dyDescent="0.2">
      <c r="A13" s="22"/>
      <c r="B13" s="22">
        <v>1617</v>
      </c>
      <c r="C13" s="22" t="s">
        <v>22</v>
      </c>
      <c r="D13" s="289" t="s">
        <v>776</v>
      </c>
      <c r="E13" s="22" t="s">
        <v>24</v>
      </c>
      <c r="F13" s="22" t="s">
        <v>777</v>
      </c>
      <c r="G13" s="22" t="s">
        <v>755</v>
      </c>
      <c r="H13" s="22" t="s">
        <v>778</v>
      </c>
      <c r="I13" s="22">
        <v>11201</v>
      </c>
      <c r="J13" s="36">
        <v>53400000</v>
      </c>
      <c r="K13" s="19">
        <v>0</v>
      </c>
      <c r="L13" s="198" t="s">
        <v>128</v>
      </c>
      <c r="M13" s="198" t="s">
        <v>128</v>
      </c>
      <c r="N13" s="197" t="s">
        <v>128</v>
      </c>
      <c r="O13" s="195">
        <v>1</v>
      </c>
      <c r="P13" s="45" t="s">
        <v>27</v>
      </c>
      <c r="Q13" s="45" t="s">
        <v>128</v>
      </c>
      <c r="R13" s="45" t="s">
        <v>27</v>
      </c>
      <c r="S13" s="45" t="s">
        <v>128</v>
      </c>
      <c r="T13" s="45" t="s">
        <v>27</v>
      </c>
      <c r="U13" s="45" t="s">
        <v>128</v>
      </c>
      <c r="V13" s="45" t="s">
        <v>128</v>
      </c>
      <c r="W13" s="45" t="s">
        <v>27</v>
      </c>
      <c r="X13" s="45" t="s">
        <v>128</v>
      </c>
      <c r="Y13" s="45" t="s">
        <v>128</v>
      </c>
      <c r="Z13" s="45" t="s">
        <v>27</v>
      </c>
      <c r="AA13" s="45" t="s">
        <v>128</v>
      </c>
      <c r="AB13" s="45" t="s">
        <v>128</v>
      </c>
      <c r="AC13" s="45" t="s">
        <v>770</v>
      </c>
      <c r="AD13" s="45" t="s">
        <v>128</v>
      </c>
      <c r="AE13" s="45" t="s">
        <v>128</v>
      </c>
      <c r="AF13" s="45" t="s">
        <v>27</v>
      </c>
      <c r="AG13" s="107" t="s">
        <v>128</v>
      </c>
      <c r="AH13" s="107" t="s">
        <v>128</v>
      </c>
      <c r="AI13" s="228"/>
      <c r="AJ13" s="228"/>
      <c r="AK13" s="228"/>
      <c r="AL13" s="228"/>
      <c r="AM13" s="228"/>
      <c r="AN13" s="228"/>
      <c r="AO13" s="140"/>
      <c r="AP13" s="140"/>
    </row>
    <row r="14" spans="1:42" s="48" customFormat="1" x14ac:dyDescent="0.2">
      <c r="A14" s="209"/>
      <c r="B14" s="8">
        <v>1442</v>
      </c>
      <c r="C14" s="8" t="s">
        <v>29</v>
      </c>
      <c r="D14" s="8" t="s">
        <v>719</v>
      </c>
      <c r="E14" s="8" t="s">
        <v>38</v>
      </c>
      <c r="F14" s="8" t="s">
        <v>720</v>
      </c>
      <c r="G14" s="8" t="s">
        <v>23</v>
      </c>
      <c r="H14" s="8" t="s">
        <v>773</v>
      </c>
      <c r="I14" s="8">
        <v>928907</v>
      </c>
      <c r="J14" s="37">
        <v>26500000</v>
      </c>
      <c r="K14" s="19">
        <v>0</v>
      </c>
      <c r="L14" s="198" t="s">
        <v>128</v>
      </c>
      <c r="M14" s="198" t="s">
        <v>128</v>
      </c>
      <c r="N14" s="197" t="s">
        <v>128</v>
      </c>
      <c r="O14" s="195">
        <v>1</v>
      </c>
      <c r="P14" s="45" t="s">
        <v>232</v>
      </c>
      <c r="Q14" s="45" t="s">
        <v>128</v>
      </c>
      <c r="R14" s="45" t="s">
        <v>27</v>
      </c>
      <c r="S14" s="45" t="s">
        <v>128</v>
      </c>
      <c r="T14" s="45" t="s">
        <v>232</v>
      </c>
      <c r="U14" s="45" t="s">
        <v>128</v>
      </c>
      <c r="V14" s="45" t="s">
        <v>128</v>
      </c>
      <c r="W14" s="45" t="s">
        <v>541</v>
      </c>
      <c r="X14" s="45" t="s">
        <v>128</v>
      </c>
      <c r="Y14" s="45" t="s">
        <v>128</v>
      </c>
      <c r="Z14" s="45" t="s">
        <v>541</v>
      </c>
      <c r="AA14" s="45" t="s">
        <v>128</v>
      </c>
      <c r="AB14" s="45" t="s">
        <v>128</v>
      </c>
      <c r="AC14" s="45" t="s">
        <v>541</v>
      </c>
      <c r="AD14" s="45" t="s">
        <v>128</v>
      </c>
      <c r="AE14" s="45" t="s">
        <v>128</v>
      </c>
      <c r="AF14" s="45" t="s">
        <v>541</v>
      </c>
      <c r="AG14" s="107" t="s">
        <v>128</v>
      </c>
      <c r="AH14" s="107" t="s">
        <v>128</v>
      </c>
      <c r="AI14" s="228"/>
      <c r="AJ14" s="228"/>
      <c r="AK14" s="228"/>
      <c r="AL14" s="228"/>
      <c r="AM14" s="228"/>
      <c r="AN14" s="228"/>
      <c r="AO14" s="140"/>
      <c r="AP14" s="140"/>
    </row>
    <row r="15" spans="1:42" s="48" customFormat="1" x14ac:dyDescent="0.2">
      <c r="A15" s="22"/>
      <c r="B15" s="22">
        <v>1449</v>
      </c>
      <c r="C15" s="22" t="s">
        <v>29</v>
      </c>
      <c r="D15" s="22" t="s">
        <v>703</v>
      </c>
      <c r="E15" s="22" t="s">
        <v>31</v>
      </c>
      <c r="F15" s="22" t="s">
        <v>475</v>
      </c>
      <c r="G15" s="22" t="s">
        <v>44</v>
      </c>
      <c r="H15" s="22">
        <v>9170</v>
      </c>
      <c r="I15" s="22">
        <v>15629</v>
      </c>
      <c r="J15" s="36">
        <v>20500000</v>
      </c>
      <c r="K15" s="19">
        <v>0</v>
      </c>
      <c r="L15" s="198" t="s">
        <v>128</v>
      </c>
      <c r="M15" s="198" t="s">
        <v>128</v>
      </c>
      <c r="N15" s="197" t="s">
        <v>128</v>
      </c>
      <c r="O15" s="195">
        <v>1</v>
      </c>
      <c r="P15" s="45" t="s">
        <v>27</v>
      </c>
      <c r="Q15" s="45" t="s">
        <v>128</v>
      </c>
      <c r="R15" s="45" t="s">
        <v>27</v>
      </c>
      <c r="S15" s="45" t="s">
        <v>128</v>
      </c>
      <c r="T15" s="45" t="s">
        <v>232</v>
      </c>
      <c r="U15" s="45" t="s">
        <v>128</v>
      </c>
      <c r="V15" s="45" t="s">
        <v>128</v>
      </c>
      <c r="W15" s="45" t="s">
        <v>128</v>
      </c>
      <c r="X15" s="45" t="s">
        <v>128</v>
      </c>
      <c r="Y15" s="45" t="s">
        <v>128</v>
      </c>
      <c r="Z15" s="45" t="s">
        <v>128</v>
      </c>
      <c r="AA15" s="45" t="s">
        <v>128</v>
      </c>
      <c r="AB15" s="45" t="s">
        <v>128</v>
      </c>
      <c r="AC15" s="45" t="s">
        <v>128</v>
      </c>
      <c r="AD15" s="45" t="s">
        <v>128</v>
      </c>
      <c r="AE15" s="45" t="s">
        <v>128</v>
      </c>
      <c r="AF15" s="45" t="s">
        <v>128</v>
      </c>
      <c r="AG15" s="107" t="s">
        <v>128</v>
      </c>
      <c r="AH15" s="107" t="s">
        <v>128</v>
      </c>
      <c r="AI15" s="228"/>
      <c r="AJ15" s="228"/>
      <c r="AK15" s="228"/>
      <c r="AL15" s="228"/>
      <c r="AM15" s="228"/>
      <c r="AN15" s="228"/>
      <c r="AO15" s="140"/>
      <c r="AP15" s="140"/>
    </row>
    <row r="16" spans="1:42" s="48" customFormat="1" x14ac:dyDescent="0.2">
      <c r="A16" s="209"/>
      <c r="B16" s="8">
        <v>1639</v>
      </c>
      <c r="C16" s="8" t="s">
        <v>29</v>
      </c>
      <c r="D16" s="8" t="s">
        <v>779</v>
      </c>
      <c r="E16" s="8" t="s">
        <v>38</v>
      </c>
      <c r="F16" s="8" t="s">
        <v>780</v>
      </c>
      <c r="G16" s="8" t="s">
        <v>23</v>
      </c>
      <c r="H16" s="8" t="s">
        <v>781</v>
      </c>
      <c r="I16" s="8" t="s">
        <v>782</v>
      </c>
      <c r="J16" s="37">
        <v>13900000</v>
      </c>
      <c r="K16" s="19">
        <v>0</v>
      </c>
      <c r="L16" s="198" t="s">
        <v>128</v>
      </c>
      <c r="M16" s="198" t="s">
        <v>128</v>
      </c>
      <c r="N16" s="197" t="s">
        <v>128</v>
      </c>
      <c r="O16" s="195">
        <v>1</v>
      </c>
      <c r="P16" s="45" t="s">
        <v>27</v>
      </c>
      <c r="Q16" s="45" t="s">
        <v>128</v>
      </c>
      <c r="R16" s="45" t="s">
        <v>770</v>
      </c>
      <c r="S16" s="45" t="s">
        <v>128</v>
      </c>
      <c r="T16" s="45" t="s">
        <v>128</v>
      </c>
      <c r="U16" s="45" t="s">
        <v>128</v>
      </c>
      <c r="V16" s="45" t="s">
        <v>128</v>
      </c>
      <c r="W16" s="45" t="s">
        <v>128</v>
      </c>
      <c r="X16" s="45" t="s">
        <v>128</v>
      </c>
      <c r="Y16" s="45" t="s">
        <v>128</v>
      </c>
      <c r="Z16" s="45" t="s">
        <v>128</v>
      </c>
      <c r="AA16" s="45" t="s">
        <v>128</v>
      </c>
      <c r="AB16" s="45" t="s">
        <v>128</v>
      </c>
      <c r="AC16" s="45" t="s">
        <v>128</v>
      </c>
      <c r="AD16" s="45" t="s">
        <v>128</v>
      </c>
      <c r="AE16" s="45" t="s">
        <v>128</v>
      </c>
      <c r="AF16" s="45" t="s">
        <v>128</v>
      </c>
      <c r="AG16" s="107" t="s">
        <v>128</v>
      </c>
      <c r="AH16" s="107" t="s">
        <v>128</v>
      </c>
      <c r="AI16" s="228"/>
      <c r="AJ16" s="228"/>
      <c r="AK16" s="228"/>
      <c r="AL16" s="228"/>
      <c r="AM16" s="228"/>
      <c r="AN16" s="228"/>
      <c r="AO16" s="140"/>
      <c r="AP16" s="140"/>
    </row>
    <row r="17" spans="1:42" s="48" customFormat="1" x14ac:dyDescent="0.2">
      <c r="A17" s="292"/>
      <c r="B17" s="292">
        <v>1642</v>
      </c>
      <c r="C17" s="292" t="s">
        <v>735</v>
      </c>
      <c r="D17" s="292" t="s">
        <v>783</v>
      </c>
      <c r="E17" s="292" t="s">
        <v>784</v>
      </c>
      <c r="F17" s="293" t="s">
        <v>785</v>
      </c>
      <c r="G17" s="292" t="s">
        <v>44</v>
      </c>
      <c r="H17" s="292">
        <v>24330</v>
      </c>
      <c r="I17" s="292" t="s">
        <v>128</v>
      </c>
      <c r="J17" s="294">
        <v>23000000</v>
      </c>
      <c r="K17" s="295">
        <v>0</v>
      </c>
      <c r="L17" s="198" t="s">
        <v>128</v>
      </c>
      <c r="M17" s="198" t="s">
        <v>128</v>
      </c>
      <c r="N17" s="197" t="s">
        <v>128</v>
      </c>
      <c r="O17" s="195">
        <v>1</v>
      </c>
      <c r="P17" s="45" t="s">
        <v>27</v>
      </c>
      <c r="Q17" s="45" t="s">
        <v>128</v>
      </c>
      <c r="R17" s="45" t="s">
        <v>27</v>
      </c>
      <c r="S17" s="45" t="s">
        <v>128</v>
      </c>
      <c r="T17" s="45" t="s">
        <v>27</v>
      </c>
      <c r="U17" s="45" t="s">
        <v>128</v>
      </c>
      <c r="V17" s="45" t="s">
        <v>128</v>
      </c>
      <c r="W17" s="45" t="s">
        <v>770</v>
      </c>
      <c r="X17" s="45" t="s">
        <v>128</v>
      </c>
      <c r="Y17" s="45" t="s">
        <v>128</v>
      </c>
      <c r="Z17" s="45" t="s">
        <v>128</v>
      </c>
      <c r="AA17" s="45" t="s">
        <v>128</v>
      </c>
      <c r="AB17" s="45" t="s">
        <v>128</v>
      </c>
      <c r="AC17" s="45" t="s">
        <v>770</v>
      </c>
      <c r="AD17" s="45" t="s">
        <v>128</v>
      </c>
      <c r="AE17" s="45" t="s">
        <v>128</v>
      </c>
      <c r="AF17" s="45" t="s">
        <v>128</v>
      </c>
      <c r="AG17" s="107" t="s">
        <v>128</v>
      </c>
      <c r="AH17" s="107" t="s">
        <v>128</v>
      </c>
      <c r="AI17" s="228"/>
      <c r="AJ17" s="228"/>
      <c r="AK17" s="228"/>
      <c r="AL17" s="228"/>
      <c r="AM17" s="228"/>
      <c r="AN17" s="228"/>
      <c r="AO17" s="140"/>
      <c r="AP17" s="140"/>
    </row>
    <row r="18" spans="1:42" s="48" customFormat="1" x14ac:dyDescent="0.2">
      <c r="A18" s="291"/>
      <c r="B18" s="292">
        <v>1643</v>
      </c>
      <c r="C18" s="292" t="s">
        <v>735</v>
      </c>
      <c r="D18" s="292" t="s">
        <v>783</v>
      </c>
      <c r="E18" s="292" t="s">
        <v>784</v>
      </c>
      <c r="F18" s="293" t="s">
        <v>785</v>
      </c>
      <c r="G18" s="292" t="s">
        <v>44</v>
      </c>
      <c r="H18" s="292">
        <v>24330</v>
      </c>
      <c r="I18" s="292" t="s">
        <v>128</v>
      </c>
      <c r="J18" s="296">
        <v>23000000</v>
      </c>
      <c r="K18" s="295">
        <v>0</v>
      </c>
      <c r="L18" s="198" t="s">
        <v>128</v>
      </c>
      <c r="M18" s="198" t="s">
        <v>128</v>
      </c>
      <c r="N18" s="197" t="s">
        <v>128</v>
      </c>
      <c r="O18" s="195">
        <v>1</v>
      </c>
      <c r="P18" s="45" t="s">
        <v>27</v>
      </c>
      <c r="Q18" s="45" t="s">
        <v>128</v>
      </c>
      <c r="R18" s="45" t="s">
        <v>27</v>
      </c>
      <c r="S18" s="45" t="s">
        <v>128</v>
      </c>
      <c r="T18" s="45" t="s">
        <v>27</v>
      </c>
      <c r="U18" s="45" t="s">
        <v>128</v>
      </c>
      <c r="V18" s="45" t="s">
        <v>128</v>
      </c>
      <c r="W18" s="45" t="s">
        <v>770</v>
      </c>
      <c r="X18" s="45" t="s">
        <v>128</v>
      </c>
      <c r="Y18" s="45" t="s">
        <v>128</v>
      </c>
      <c r="Z18" s="45" t="s">
        <v>128</v>
      </c>
      <c r="AA18" s="45" t="s">
        <v>128</v>
      </c>
      <c r="AB18" s="45" t="s">
        <v>128</v>
      </c>
      <c r="AC18" s="45" t="s">
        <v>770</v>
      </c>
      <c r="AD18" s="45" t="s">
        <v>128</v>
      </c>
      <c r="AE18" s="45" t="s">
        <v>128</v>
      </c>
      <c r="AF18" s="45" t="s">
        <v>128</v>
      </c>
      <c r="AG18" s="107" t="s">
        <v>128</v>
      </c>
      <c r="AH18" s="107" t="s">
        <v>128</v>
      </c>
      <c r="AI18" s="228"/>
      <c r="AJ18" s="228"/>
      <c r="AK18" s="228"/>
      <c r="AL18" s="228"/>
      <c r="AM18" s="228"/>
      <c r="AN18" s="228"/>
      <c r="AO18" s="279"/>
      <c r="AP18" s="140"/>
    </row>
    <row r="19" spans="1:42" s="48" customFormat="1" x14ac:dyDescent="0.2">
      <c r="A19" s="22"/>
      <c r="B19" s="22">
        <v>1644</v>
      </c>
      <c r="C19" s="22" t="s">
        <v>735</v>
      </c>
      <c r="D19" s="22" t="s">
        <v>786</v>
      </c>
      <c r="E19" s="22" t="s">
        <v>38</v>
      </c>
      <c r="F19" s="22" t="s">
        <v>102</v>
      </c>
      <c r="G19" s="22" t="s">
        <v>44</v>
      </c>
      <c r="H19" s="22">
        <v>26280</v>
      </c>
      <c r="I19" s="22">
        <v>45310</v>
      </c>
      <c r="J19" s="36">
        <v>15000000</v>
      </c>
      <c r="K19" s="19">
        <v>0</v>
      </c>
      <c r="L19" s="198" t="s">
        <v>128</v>
      </c>
      <c r="M19" s="198" t="s">
        <v>128</v>
      </c>
      <c r="N19" s="197" t="s">
        <v>128</v>
      </c>
      <c r="O19" s="195">
        <v>1</v>
      </c>
      <c r="P19" s="45" t="s">
        <v>27</v>
      </c>
      <c r="Q19" s="45" t="s">
        <v>128</v>
      </c>
      <c r="R19" s="45" t="s">
        <v>27</v>
      </c>
      <c r="S19" s="45" t="s">
        <v>128</v>
      </c>
      <c r="T19" s="45" t="s">
        <v>27</v>
      </c>
      <c r="U19" s="45" t="s">
        <v>128</v>
      </c>
      <c r="V19" s="45" t="s">
        <v>128</v>
      </c>
      <c r="W19" s="45" t="s">
        <v>232</v>
      </c>
      <c r="X19" s="45" t="s">
        <v>128</v>
      </c>
      <c r="Y19" s="45" t="s">
        <v>128</v>
      </c>
      <c r="Z19" s="45" t="s">
        <v>128</v>
      </c>
      <c r="AA19" s="45" t="s">
        <v>128</v>
      </c>
      <c r="AB19" s="45" t="s">
        <v>128</v>
      </c>
      <c r="AC19" s="45" t="s">
        <v>128</v>
      </c>
      <c r="AD19" s="45" t="s">
        <v>128</v>
      </c>
      <c r="AE19" s="45" t="s">
        <v>128</v>
      </c>
      <c r="AF19" s="45" t="s">
        <v>128</v>
      </c>
      <c r="AG19" s="107" t="s">
        <v>128</v>
      </c>
      <c r="AH19" s="107" t="s">
        <v>128</v>
      </c>
      <c r="AI19" s="228"/>
      <c r="AJ19" s="228"/>
      <c r="AK19" s="228"/>
      <c r="AL19" s="228"/>
      <c r="AM19" s="228"/>
      <c r="AN19" s="228"/>
      <c r="AO19" s="279"/>
      <c r="AP19" s="140"/>
    </row>
    <row r="20" spans="1:42" s="48" customFormat="1" x14ac:dyDescent="0.2">
      <c r="A20" s="291"/>
      <c r="B20" s="292">
        <v>1645</v>
      </c>
      <c r="C20" s="292" t="s">
        <v>29</v>
      </c>
      <c r="D20" s="292" t="s">
        <v>787</v>
      </c>
      <c r="E20" s="292" t="s">
        <v>38</v>
      </c>
      <c r="F20" s="292" t="s">
        <v>788</v>
      </c>
      <c r="G20" s="292" t="s">
        <v>44</v>
      </c>
      <c r="H20" s="292" t="s">
        <v>128</v>
      </c>
      <c r="I20" s="292" t="s">
        <v>128</v>
      </c>
      <c r="J20" s="296">
        <v>12500000</v>
      </c>
      <c r="K20" s="295">
        <v>0</v>
      </c>
      <c r="L20" s="198" t="s">
        <v>128</v>
      </c>
      <c r="M20" s="198" t="s">
        <v>128</v>
      </c>
      <c r="N20" s="197" t="s">
        <v>128</v>
      </c>
      <c r="O20" s="195">
        <v>1</v>
      </c>
      <c r="P20" s="45" t="s">
        <v>27</v>
      </c>
      <c r="Q20" s="45" t="s">
        <v>128</v>
      </c>
      <c r="R20" s="45" t="s">
        <v>27</v>
      </c>
      <c r="S20" s="45" t="s">
        <v>128</v>
      </c>
      <c r="T20" s="45" t="s">
        <v>232</v>
      </c>
      <c r="U20" s="45" t="s">
        <v>128</v>
      </c>
      <c r="V20" s="45" t="s">
        <v>128</v>
      </c>
      <c r="W20" s="45" t="s">
        <v>128</v>
      </c>
      <c r="X20" s="45" t="s">
        <v>128</v>
      </c>
      <c r="Y20" s="45" t="s">
        <v>128</v>
      </c>
      <c r="Z20" s="45" t="s">
        <v>128</v>
      </c>
      <c r="AA20" s="45" t="s">
        <v>128</v>
      </c>
      <c r="AB20" s="45" t="s">
        <v>128</v>
      </c>
      <c r="AC20" s="45" t="s">
        <v>128</v>
      </c>
      <c r="AD20" s="45" t="s">
        <v>128</v>
      </c>
      <c r="AE20" s="45" t="s">
        <v>128</v>
      </c>
      <c r="AF20" s="45" t="s">
        <v>128</v>
      </c>
      <c r="AG20" s="107" t="s">
        <v>128</v>
      </c>
      <c r="AH20" s="107" t="s">
        <v>128</v>
      </c>
      <c r="AI20" s="228"/>
      <c r="AJ20" s="228"/>
      <c r="AK20" s="228"/>
      <c r="AL20" s="228"/>
      <c r="AM20" s="228"/>
      <c r="AN20" s="228"/>
      <c r="AO20" s="279"/>
      <c r="AP20" s="140"/>
    </row>
    <row r="21" spans="1:42" s="48" customFormat="1" x14ac:dyDescent="0.2">
      <c r="A21" s="22"/>
      <c r="B21" s="22">
        <v>1646</v>
      </c>
      <c r="C21" s="22" t="s">
        <v>29</v>
      </c>
      <c r="D21" s="22" t="s">
        <v>789</v>
      </c>
      <c r="E21" s="22" t="s">
        <v>38</v>
      </c>
      <c r="F21" s="22" t="s">
        <v>97</v>
      </c>
      <c r="G21" s="22" t="s">
        <v>44</v>
      </c>
      <c r="H21" s="22">
        <v>31330</v>
      </c>
      <c r="I21" s="22" t="s">
        <v>128</v>
      </c>
      <c r="J21" s="36">
        <v>15500000</v>
      </c>
      <c r="K21" s="19">
        <v>0</v>
      </c>
      <c r="L21" s="198" t="s">
        <v>128</v>
      </c>
      <c r="M21" s="198" t="s">
        <v>128</v>
      </c>
      <c r="N21" s="197" t="s">
        <v>128</v>
      </c>
      <c r="O21" s="195">
        <v>1</v>
      </c>
      <c r="P21" s="45" t="s">
        <v>27</v>
      </c>
      <c r="Q21" s="45" t="s">
        <v>128</v>
      </c>
      <c r="R21" s="45" t="s">
        <v>232</v>
      </c>
      <c r="S21" s="45" t="s">
        <v>128</v>
      </c>
      <c r="T21" s="45" t="s">
        <v>128</v>
      </c>
      <c r="U21" s="45" t="s">
        <v>128</v>
      </c>
      <c r="V21" s="45" t="s">
        <v>128</v>
      </c>
      <c r="W21" s="45" t="s">
        <v>128</v>
      </c>
      <c r="X21" s="45" t="s">
        <v>128</v>
      </c>
      <c r="Y21" s="45" t="s">
        <v>128</v>
      </c>
      <c r="Z21" s="45" t="s">
        <v>128</v>
      </c>
      <c r="AA21" s="45" t="s">
        <v>128</v>
      </c>
      <c r="AB21" s="45" t="s">
        <v>128</v>
      </c>
      <c r="AC21" s="45" t="s">
        <v>128</v>
      </c>
      <c r="AD21" s="45" t="s">
        <v>128</v>
      </c>
      <c r="AE21" s="45" t="s">
        <v>128</v>
      </c>
      <c r="AF21" s="45" t="s">
        <v>128</v>
      </c>
      <c r="AG21" s="107" t="s">
        <v>128</v>
      </c>
      <c r="AH21" s="107" t="s">
        <v>128</v>
      </c>
      <c r="AI21" s="228"/>
      <c r="AJ21" s="228"/>
      <c r="AK21" s="228"/>
      <c r="AL21" s="228"/>
      <c r="AM21" s="228"/>
      <c r="AN21" s="228"/>
      <c r="AO21" s="140"/>
      <c r="AP21" s="140"/>
    </row>
    <row r="22" spans="1:42" s="48" customFormat="1" x14ac:dyDescent="0.2">
      <c r="A22" s="206" t="s">
        <v>354</v>
      </c>
      <c r="B22" s="26">
        <v>1648</v>
      </c>
      <c r="C22" s="26" t="s">
        <v>22</v>
      </c>
      <c r="D22" s="26" t="s">
        <v>23</v>
      </c>
      <c r="E22" s="26" t="s">
        <v>38</v>
      </c>
      <c r="F22" s="26" t="s">
        <v>97</v>
      </c>
      <c r="G22" s="26" t="s">
        <v>23</v>
      </c>
      <c r="H22" s="26" t="s">
        <v>790</v>
      </c>
      <c r="I22" s="26">
        <v>190644</v>
      </c>
      <c r="J22" s="230">
        <v>0</v>
      </c>
      <c r="K22" s="27">
        <v>1</v>
      </c>
      <c r="L22" s="198">
        <v>1</v>
      </c>
      <c r="M22" s="198" t="s">
        <v>27</v>
      </c>
      <c r="N22" s="282">
        <v>45022</v>
      </c>
      <c r="O22" s="195">
        <v>1</v>
      </c>
      <c r="P22" s="45" t="s">
        <v>27</v>
      </c>
      <c r="Q22" s="45" t="s">
        <v>128</v>
      </c>
      <c r="R22" s="45" t="s">
        <v>27</v>
      </c>
      <c r="S22" s="45" t="s">
        <v>128</v>
      </c>
      <c r="T22" s="45" t="s">
        <v>27</v>
      </c>
      <c r="U22" s="45" t="s">
        <v>128</v>
      </c>
      <c r="V22" s="45" t="s">
        <v>128</v>
      </c>
      <c r="W22" s="45" t="s">
        <v>27</v>
      </c>
      <c r="X22" s="45" t="s">
        <v>128</v>
      </c>
      <c r="Y22" s="45" t="s">
        <v>128</v>
      </c>
      <c r="Z22" s="45" t="s">
        <v>27</v>
      </c>
      <c r="AA22" s="45" t="s">
        <v>128</v>
      </c>
      <c r="AB22" s="45" t="s">
        <v>128</v>
      </c>
      <c r="AC22" s="45" t="s">
        <v>27</v>
      </c>
      <c r="AD22" s="45" t="s">
        <v>128</v>
      </c>
      <c r="AE22" s="45" t="s">
        <v>128</v>
      </c>
      <c r="AF22" s="45" t="s">
        <v>27</v>
      </c>
      <c r="AG22" s="107" t="s">
        <v>128</v>
      </c>
      <c r="AH22" s="107" t="s">
        <v>128</v>
      </c>
      <c r="AI22" s="228"/>
      <c r="AJ22" s="228"/>
      <c r="AK22" s="228"/>
      <c r="AL22" s="228"/>
      <c r="AM22" s="228"/>
      <c r="AN22" s="228"/>
      <c r="AO22" s="140"/>
      <c r="AP22" s="140"/>
    </row>
    <row r="23" spans="1:42" s="48" customFormat="1" x14ac:dyDescent="0.2">
      <c r="A23" s="22"/>
      <c r="B23" s="22"/>
      <c r="C23" s="22"/>
      <c r="D23" s="22"/>
      <c r="E23" s="22"/>
      <c r="F23" s="22"/>
      <c r="G23" s="22"/>
      <c r="H23" s="22"/>
      <c r="I23" s="22"/>
      <c r="J23" s="36"/>
      <c r="K23" s="19">
        <v>0</v>
      </c>
      <c r="L23" s="198" t="s">
        <v>128</v>
      </c>
      <c r="M23" s="198" t="s">
        <v>128</v>
      </c>
      <c r="N23" s="197" t="s">
        <v>128</v>
      </c>
      <c r="O23" s="195">
        <v>1</v>
      </c>
      <c r="P23" s="45" t="s">
        <v>128</v>
      </c>
      <c r="Q23" s="45" t="s">
        <v>128</v>
      </c>
      <c r="R23" s="45" t="s">
        <v>128</v>
      </c>
      <c r="S23" s="45" t="s">
        <v>128</v>
      </c>
      <c r="T23" s="45" t="s">
        <v>128</v>
      </c>
      <c r="U23" s="45" t="s">
        <v>128</v>
      </c>
      <c r="V23" s="45" t="s">
        <v>128</v>
      </c>
      <c r="W23" s="45" t="s">
        <v>128</v>
      </c>
      <c r="X23" s="45" t="s">
        <v>128</v>
      </c>
      <c r="Y23" s="45" t="s">
        <v>128</v>
      </c>
      <c r="Z23" s="45" t="s">
        <v>128</v>
      </c>
      <c r="AA23" s="45" t="s">
        <v>128</v>
      </c>
      <c r="AB23" s="45" t="s">
        <v>128</v>
      </c>
      <c r="AC23" s="107" t="s">
        <v>128</v>
      </c>
      <c r="AD23" s="107" t="s">
        <v>128</v>
      </c>
      <c r="AE23" s="107" t="s">
        <v>128</v>
      </c>
      <c r="AF23" s="107" t="s">
        <v>128</v>
      </c>
      <c r="AG23" s="107" t="s">
        <v>128</v>
      </c>
      <c r="AH23" s="107" t="s">
        <v>128</v>
      </c>
      <c r="AI23" s="228"/>
      <c r="AJ23" s="228"/>
      <c r="AK23" s="228"/>
      <c r="AL23" s="228"/>
      <c r="AM23" s="228"/>
      <c r="AN23" s="228"/>
      <c r="AO23" s="140"/>
      <c r="AP23" s="140"/>
    </row>
    <row r="24" spans="1:42" s="48" customFormat="1" x14ac:dyDescent="0.2">
      <c r="A24" s="209"/>
      <c r="B24" s="8"/>
      <c r="C24" s="8"/>
      <c r="D24" s="8"/>
      <c r="E24" s="8"/>
      <c r="F24" s="8"/>
      <c r="G24" s="8"/>
      <c r="H24" s="8"/>
      <c r="I24" s="8"/>
      <c r="J24" s="37"/>
      <c r="K24" s="19">
        <v>0</v>
      </c>
      <c r="L24" s="198" t="s">
        <v>128</v>
      </c>
      <c r="M24" s="198" t="s">
        <v>128</v>
      </c>
      <c r="N24" s="197" t="s">
        <v>128</v>
      </c>
      <c r="O24" s="195">
        <v>1</v>
      </c>
      <c r="P24" s="45" t="s">
        <v>128</v>
      </c>
      <c r="Q24" s="45" t="s">
        <v>128</v>
      </c>
      <c r="R24" s="45" t="s">
        <v>128</v>
      </c>
      <c r="S24" s="45" t="s">
        <v>128</v>
      </c>
      <c r="T24" s="45" t="s">
        <v>128</v>
      </c>
      <c r="U24" s="45" t="s">
        <v>128</v>
      </c>
      <c r="V24" s="45" t="s">
        <v>128</v>
      </c>
      <c r="W24" s="45" t="s">
        <v>128</v>
      </c>
      <c r="X24" s="45" t="s">
        <v>128</v>
      </c>
      <c r="Y24" s="45" t="s">
        <v>128</v>
      </c>
      <c r="Z24" s="45" t="s">
        <v>128</v>
      </c>
      <c r="AA24" s="45" t="s">
        <v>128</v>
      </c>
      <c r="AB24" s="45" t="s">
        <v>128</v>
      </c>
      <c r="AC24" s="107" t="s">
        <v>128</v>
      </c>
      <c r="AD24" s="107" t="s">
        <v>128</v>
      </c>
      <c r="AE24" s="107" t="s">
        <v>128</v>
      </c>
      <c r="AF24" s="107" t="s">
        <v>128</v>
      </c>
      <c r="AG24" s="107" t="s">
        <v>128</v>
      </c>
      <c r="AH24" s="107" t="s">
        <v>128</v>
      </c>
      <c r="AI24" s="228"/>
      <c r="AJ24" s="228"/>
      <c r="AK24" s="228"/>
      <c r="AL24" s="228"/>
      <c r="AM24" s="228"/>
      <c r="AN24" s="228"/>
      <c r="AO24" s="140"/>
      <c r="AP24" s="140"/>
    </row>
    <row r="25" spans="1:42" s="48" customFormat="1" x14ac:dyDescent="0.2">
      <c r="A25" s="22"/>
      <c r="B25" s="22"/>
      <c r="C25" s="22"/>
      <c r="D25" s="22"/>
      <c r="E25" s="22"/>
      <c r="F25" s="22"/>
      <c r="G25" s="22"/>
      <c r="H25" s="22"/>
      <c r="I25" s="22"/>
      <c r="J25" s="36"/>
      <c r="K25" s="19">
        <v>0</v>
      </c>
      <c r="L25" s="198" t="s">
        <v>128</v>
      </c>
      <c r="M25" s="198" t="s">
        <v>128</v>
      </c>
      <c r="N25" s="197" t="s">
        <v>128</v>
      </c>
      <c r="O25" s="195">
        <v>1</v>
      </c>
      <c r="P25" s="45" t="s">
        <v>128</v>
      </c>
      <c r="Q25" s="45" t="s">
        <v>128</v>
      </c>
      <c r="R25" s="45" t="s">
        <v>128</v>
      </c>
      <c r="S25" s="45" t="s">
        <v>128</v>
      </c>
      <c r="T25" s="45" t="s">
        <v>128</v>
      </c>
      <c r="U25" s="45" t="s">
        <v>128</v>
      </c>
      <c r="V25" s="45" t="s">
        <v>128</v>
      </c>
      <c r="W25" s="45" t="s">
        <v>128</v>
      </c>
      <c r="X25" s="45" t="s">
        <v>128</v>
      </c>
      <c r="Y25" s="45" t="s">
        <v>128</v>
      </c>
      <c r="Z25" s="45" t="s">
        <v>128</v>
      </c>
      <c r="AA25" s="45" t="s">
        <v>128</v>
      </c>
      <c r="AB25" s="45" t="s">
        <v>128</v>
      </c>
      <c r="AC25" s="107" t="s">
        <v>128</v>
      </c>
      <c r="AD25" s="107" t="s">
        <v>128</v>
      </c>
      <c r="AE25" s="107" t="s">
        <v>128</v>
      </c>
      <c r="AF25" s="107" t="s">
        <v>128</v>
      </c>
      <c r="AG25" s="107" t="s">
        <v>128</v>
      </c>
      <c r="AH25" s="107" t="s">
        <v>128</v>
      </c>
      <c r="AI25" s="228"/>
      <c r="AJ25" s="228"/>
      <c r="AK25" s="228"/>
      <c r="AL25" s="228"/>
      <c r="AM25" s="228"/>
      <c r="AN25" s="228"/>
      <c r="AO25" s="140"/>
      <c r="AP25" s="140"/>
    </row>
    <row r="26" spans="1:42" s="48" customFormat="1" x14ac:dyDescent="0.2">
      <c r="A26" s="209"/>
      <c r="B26" s="8"/>
      <c r="C26" s="8"/>
      <c r="D26" s="8"/>
      <c r="E26" s="8"/>
      <c r="F26" s="8"/>
      <c r="G26" s="8"/>
      <c r="H26" s="8"/>
      <c r="I26" s="8"/>
      <c r="J26" s="37"/>
      <c r="K26" s="19">
        <v>0</v>
      </c>
      <c r="L26" s="198" t="s">
        <v>128</v>
      </c>
      <c r="M26" s="198" t="s">
        <v>128</v>
      </c>
      <c r="N26" s="197" t="s">
        <v>128</v>
      </c>
      <c r="O26" s="195">
        <v>1</v>
      </c>
      <c r="P26" s="45" t="s">
        <v>128</v>
      </c>
      <c r="Q26" s="45" t="s">
        <v>128</v>
      </c>
      <c r="R26" s="45" t="s">
        <v>128</v>
      </c>
      <c r="S26" s="45" t="s">
        <v>128</v>
      </c>
      <c r="T26" s="45" t="s">
        <v>128</v>
      </c>
      <c r="U26" s="45" t="s">
        <v>128</v>
      </c>
      <c r="V26" s="45" t="s">
        <v>128</v>
      </c>
      <c r="W26" s="45" t="s">
        <v>128</v>
      </c>
      <c r="X26" s="45" t="s">
        <v>128</v>
      </c>
      <c r="Y26" s="45" t="s">
        <v>128</v>
      </c>
      <c r="Z26" s="45" t="s">
        <v>128</v>
      </c>
      <c r="AA26" s="45" t="s">
        <v>128</v>
      </c>
      <c r="AB26" s="45" t="s">
        <v>128</v>
      </c>
      <c r="AC26" s="107" t="s">
        <v>128</v>
      </c>
      <c r="AD26" s="107" t="s">
        <v>128</v>
      </c>
      <c r="AE26" s="107" t="s">
        <v>128</v>
      </c>
      <c r="AF26" s="107" t="s">
        <v>128</v>
      </c>
      <c r="AG26" s="107" t="s">
        <v>128</v>
      </c>
      <c r="AH26" s="107" t="s">
        <v>128</v>
      </c>
      <c r="AI26" s="228"/>
      <c r="AJ26" s="228"/>
      <c r="AK26" s="228"/>
      <c r="AL26" s="228"/>
      <c r="AM26" s="228"/>
      <c r="AN26" s="228"/>
      <c r="AO26" s="140"/>
      <c r="AP26" s="140"/>
    </row>
    <row r="27" spans="1:42" s="48" customFormat="1" x14ac:dyDescent="0.2">
      <c r="A27" s="22"/>
      <c r="B27" s="22"/>
      <c r="C27" s="22"/>
      <c r="D27" s="22"/>
      <c r="E27" s="22"/>
      <c r="F27" s="22"/>
      <c r="G27" s="22"/>
      <c r="H27" s="22"/>
      <c r="I27" s="22"/>
      <c r="J27" s="36"/>
      <c r="K27" s="19">
        <v>0</v>
      </c>
      <c r="L27" s="198" t="s">
        <v>128</v>
      </c>
      <c r="M27" s="198" t="s">
        <v>128</v>
      </c>
      <c r="N27" s="197" t="s">
        <v>128</v>
      </c>
      <c r="O27" s="195">
        <v>1</v>
      </c>
      <c r="P27" s="45" t="s">
        <v>128</v>
      </c>
      <c r="Q27" s="45" t="s">
        <v>128</v>
      </c>
      <c r="R27" s="45" t="s">
        <v>128</v>
      </c>
      <c r="S27" s="45" t="s">
        <v>128</v>
      </c>
      <c r="T27" s="45" t="s">
        <v>128</v>
      </c>
      <c r="U27" s="45" t="s">
        <v>128</v>
      </c>
      <c r="V27" s="45" t="s">
        <v>128</v>
      </c>
      <c r="W27" s="45" t="s">
        <v>128</v>
      </c>
      <c r="X27" s="45" t="s">
        <v>128</v>
      </c>
      <c r="Y27" s="45" t="s">
        <v>128</v>
      </c>
      <c r="Z27" s="45" t="s">
        <v>128</v>
      </c>
      <c r="AA27" s="45" t="s">
        <v>128</v>
      </c>
      <c r="AB27" s="45" t="s">
        <v>128</v>
      </c>
      <c r="AC27" s="107" t="s">
        <v>128</v>
      </c>
      <c r="AD27" s="107" t="s">
        <v>128</v>
      </c>
      <c r="AE27" s="107" t="s">
        <v>128</v>
      </c>
      <c r="AF27" s="107" t="s">
        <v>128</v>
      </c>
      <c r="AG27" s="107" t="s">
        <v>128</v>
      </c>
      <c r="AH27" s="107" t="s">
        <v>128</v>
      </c>
      <c r="AI27" s="228"/>
      <c r="AJ27" s="228"/>
      <c r="AK27" s="228"/>
      <c r="AL27" s="228"/>
      <c r="AM27" s="228"/>
      <c r="AN27" s="228"/>
      <c r="AO27" s="140"/>
      <c r="AP27" s="140"/>
    </row>
    <row r="28" spans="1:42" s="48" customFormat="1" x14ac:dyDescent="0.2">
      <c r="A28" s="209"/>
      <c r="B28" s="8"/>
      <c r="C28" s="8"/>
      <c r="D28" s="8"/>
      <c r="E28" s="8"/>
      <c r="F28" s="8"/>
      <c r="G28" s="8"/>
      <c r="H28" s="8"/>
      <c r="I28" s="8"/>
      <c r="J28" s="37"/>
      <c r="K28" s="19">
        <v>0</v>
      </c>
      <c r="L28" s="198" t="s">
        <v>128</v>
      </c>
      <c r="M28" s="198" t="s">
        <v>128</v>
      </c>
      <c r="N28" s="197" t="s">
        <v>128</v>
      </c>
      <c r="O28" s="195">
        <v>1</v>
      </c>
      <c r="P28" s="45" t="s">
        <v>128</v>
      </c>
      <c r="Q28" s="45" t="s">
        <v>128</v>
      </c>
      <c r="R28" s="45" t="s">
        <v>128</v>
      </c>
      <c r="S28" s="45" t="s">
        <v>128</v>
      </c>
      <c r="T28" s="45" t="s">
        <v>128</v>
      </c>
      <c r="U28" s="45" t="s">
        <v>128</v>
      </c>
      <c r="V28" s="45" t="s">
        <v>128</v>
      </c>
      <c r="W28" s="45" t="s">
        <v>128</v>
      </c>
      <c r="X28" s="45" t="s">
        <v>128</v>
      </c>
      <c r="Y28" s="45" t="s">
        <v>128</v>
      </c>
      <c r="Z28" s="45" t="s">
        <v>128</v>
      </c>
      <c r="AA28" s="45" t="s">
        <v>128</v>
      </c>
      <c r="AB28" s="45" t="s">
        <v>128</v>
      </c>
      <c r="AC28" s="107" t="s">
        <v>128</v>
      </c>
      <c r="AD28" s="107" t="s">
        <v>128</v>
      </c>
      <c r="AE28" s="107" t="s">
        <v>128</v>
      </c>
      <c r="AF28" s="107" t="s">
        <v>128</v>
      </c>
      <c r="AG28" s="107" t="s">
        <v>128</v>
      </c>
      <c r="AH28" s="107" t="s">
        <v>128</v>
      </c>
      <c r="AI28" s="228"/>
      <c r="AJ28" s="228"/>
      <c r="AK28" s="228"/>
      <c r="AL28" s="228"/>
      <c r="AM28" s="228"/>
      <c r="AN28" s="228"/>
      <c r="AO28" s="140"/>
      <c r="AP28" s="140"/>
    </row>
    <row r="29" spans="1:42" s="48" customFormat="1" x14ac:dyDescent="0.2">
      <c r="A29" s="22"/>
      <c r="B29" s="22"/>
      <c r="C29" s="22"/>
      <c r="D29" s="22"/>
      <c r="E29" s="22"/>
      <c r="F29" s="22"/>
      <c r="G29" s="22"/>
      <c r="H29" s="22"/>
      <c r="I29" s="22"/>
      <c r="J29" s="36"/>
      <c r="K29" s="19">
        <v>0</v>
      </c>
      <c r="L29" s="198" t="s">
        <v>128</v>
      </c>
      <c r="M29" s="198" t="s">
        <v>128</v>
      </c>
      <c r="N29" s="197" t="s">
        <v>128</v>
      </c>
      <c r="O29" s="195">
        <v>1</v>
      </c>
      <c r="P29" s="45" t="s">
        <v>128</v>
      </c>
      <c r="Q29" s="45" t="s">
        <v>128</v>
      </c>
      <c r="R29" s="45" t="s">
        <v>128</v>
      </c>
      <c r="S29" s="45" t="s">
        <v>128</v>
      </c>
      <c r="T29" s="45" t="s">
        <v>128</v>
      </c>
      <c r="U29" s="45" t="s">
        <v>128</v>
      </c>
      <c r="V29" s="45" t="s">
        <v>128</v>
      </c>
      <c r="W29" s="45" t="s">
        <v>128</v>
      </c>
      <c r="X29" s="45" t="s">
        <v>128</v>
      </c>
      <c r="Y29" s="45" t="s">
        <v>128</v>
      </c>
      <c r="Z29" s="45" t="s">
        <v>128</v>
      </c>
      <c r="AA29" s="45" t="s">
        <v>128</v>
      </c>
      <c r="AB29" s="45" t="s">
        <v>128</v>
      </c>
      <c r="AC29" s="107" t="s">
        <v>128</v>
      </c>
      <c r="AD29" s="107" t="s">
        <v>128</v>
      </c>
      <c r="AE29" s="107" t="s">
        <v>128</v>
      </c>
      <c r="AF29" s="107" t="s">
        <v>128</v>
      </c>
      <c r="AG29" s="107" t="s">
        <v>128</v>
      </c>
      <c r="AH29" s="107" t="s">
        <v>128</v>
      </c>
      <c r="AI29" s="228"/>
      <c r="AJ29" s="228"/>
      <c r="AK29" s="228"/>
      <c r="AL29" s="228"/>
      <c r="AM29" s="228"/>
      <c r="AN29" s="228"/>
      <c r="AO29" s="140"/>
      <c r="AP29" s="140"/>
    </row>
    <row r="30" spans="1:42" s="48" customFormat="1" x14ac:dyDescent="0.2">
      <c r="A30" s="209"/>
      <c r="B30" s="8"/>
      <c r="C30" s="8"/>
      <c r="D30" s="8"/>
      <c r="E30" s="8"/>
      <c r="F30" s="8"/>
      <c r="G30" s="8"/>
      <c r="H30" s="8"/>
      <c r="I30" s="8"/>
      <c r="J30" s="37"/>
      <c r="K30" s="19">
        <v>0</v>
      </c>
      <c r="L30" s="198" t="s">
        <v>128</v>
      </c>
      <c r="M30" s="198" t="s">
        <v>128</v>
      </c>
      <c r="N30" s="197" t="s">
        <v>128</v>
      </c>
      <c r="O30" s="195">
        <v>1</v>
      </c>
      <c r="P30" s="45" t="s">
        <v>128</v>
      </c>
      <c r="Q30" s="45" t="s">
        <v>128</v>
      </c>
      <c r="R30" s="45" t="s">
        <v>128</v>
      </c>
      <c r="S30" s="45" t="s">
        <v>128</v>
      </c>
      <c r="T30" s="45" t="s">
        <v>128</v>
      </c>
      <c r="U30" s="45" t="s">
        <v>128</v>
      </c>
      <c r="V30" s="45" t="s">
        <v>128</v>
      </c>
      <c r="W30" s="45" t="s">
        <v>128</v>
      </c>
      <c r="X30" s="45" t="s">
        <v>128</v>
      </c>
      <c r="Y30" s="45" t="s">
        <v>128</v>
      </c>
      <c r="Z30" s="45" t="s">
        <v>128</v>
      </c>
      <c r="AA30" s="45" t="s">
        <v>128</v>
      </c>
      <c r="AB30" s="45" t="s">
        <v>128</v>
      </c>
      <c r="AC30" s="107" t="s">
        <v>128</v>
      </c>
      <c r="AD30" s="107" t="s">
        <v>128</v>
      </c>
      <c r="AE30" s="107" t="s">
        <v>128</v>
      </c>
      <c r="AF30" s="107" t="s">
        <v>128</v>
      </c>
      <c r="AG30" s="107" t="s">
        <v>128</v>
      </c>
      <c r="AH30" s="107" t="s">
        <v>128</v>
      </c>
      <c r="AI30" s="228"/>
      <c r="AJ30" s="228"/>
      <c r="AK30" s="228"/>
      <c r="AL30" s="228"/>
      <c r="AM30" s="228"/>
      <c r="AN30" s="228"/>
      <c r="AO30" s="140"/>
      <c r="AP30" s="140"/>
    </row>
    <row r="31" spans="1:42" s="48" customFormat="1" x14ac:dyDescent="0.2">
      <c r="A31" s="22"/>
      <c r="B31" s="22"/>
      <c r="C31" s="22"/>
      <c r="D31" s="22"/>
      <c r="E31" s="22"/>
      <c r="F31" s="22"/>
      <c r="G31" s="22"/>
      <c r="H31" s="22"/>
      <c r="I31" s="22"/>
      <c r="J31" s="36"/>
      <c r="K31" s="19">
        <v>0</v>
      </c>
      <c r="L31" s="198" t="s">
        <v>128</v>
      </c>
      <c r="M31" s="198" t="s">
        <v>128</v>
      </c>
      <c r="N31" s="197" t="s">
        <v>128</v>
      </c>
      <c r="O31" s="195">
        <v>1</v>
      </c>
      <c r="P31" s="45" t="s">
        <v>128</v>
      </c>
      <c r="Q31" s="45" t="s">
        <v>128</v>
      </c>
      <c r="R31" s="45" t="s">
        <v>128</v>
      </c>
      <c r="S31" s="45" t="s">
        <v>128</v>
      </c>
      <c r="T31" s="45" t="s">
        <v>128</v>
      </c>
      <c r="U31" s="45" t="s">
        <v>128</v>
      </c>
      <c r="V31" s="45" t="s">
        <v>128</v>
      </c>
      <c r="W31" s="45" t="s">
        <v>128</v>
      </c>
      <c r="X31" s="45" t="s">
        <v>128</v>
      </c>
      <c r="Y31" s="45" t="s">
        <v>128</v>
      </c>
      <c r="Z31" s="45" t="s">
        <v>128</v>
      </c>
      <c r="AA31" s="45" t="s">
        <v>128</v>
      </c>
      <c r="AB31" s="45" t="s">
        <v>128</v>
      </c>
      <c r="AC31" s="107" t="s">
        <v>128</v>
      </c>
      <c r="AD31" s="107" t="s">
        <v>128</v>
      </c>
      <c r="AE31" s="107" t="s">
        <v>128</v>
      </c>
      <c r="AF31" s="107" t="s">
        <v>128</v>
      </c>
      <c r="AG31" s="107" t="s">
        <v>128</v>
      </c>
      <c r="AH31" s="107" t="s">
        <v>128</v>
      </c>
      <c r="AI31" s="228"/>
      <c r="AJ31" s="228"/>
      <c r="AK31" s="228"/>
      <c r="AL31" s="228"/>
      <c r="AM31" s="228"/>
      <c r="AN31" s="228"/>
      <c r="AO31" s="140"/>
      <c r="AP31" s="140"/>
    </row>
    <row r="32" spans="1:42" s="48" customFormat="1" x14ac:dyDescent="0.2">
      <c r="A32" s="209"/>
      <c r="B32" s="8"/>
      <c r="C32" s="8"/>
      <c r="D32" s="8"/>
      <c r="E32" s="8"/>
      <c r="F32" s="8"/>
      <c r="G32" s="8"/>
      <c r="H32" s="8"/>
      <c r="I32" s="8"/>
      <c r="J32" s="37"/>
      <c r="K32" s="19">
        <v>0</v>
      </c>
      <c r="L32" s="198" t="s">
        <v>128</v>
      </c>
      <c r="M32" s="198" t="s">
        <v>128</v>
      </c>
      <c r="N32" s="197" t="s">
        <v>128</v>
      </c>
      <c r="O32" s="195">
        <v>1</v>
      </c>
      <c r="P32" s="45" t="s">
        <v>128</v>
      </c>
      <c r="Q32" s="45" t="s">
        <v>128</v>
      </c>
      <c r="R32" s="45" t="s">
        <v>128</v>
      </c>
      <c r="S32" s="45" t="s">
        <v>128</v>
      </c>
      <c r="T32" s="45" t="s">
        <v>128</v>
      </c>
      <c r="U32" s="45" t="s">
        <v>128</v>
      </c>
      <c r="V32" s="45" t="s">
        <v>128</v>
      </c>
      <c r="W32" s="45" t="s">
        <v>128</v>
      </c>
      <c r="X32" s="45" t="s">
        <v>128</v>
      </c>
      <c r="Y32" s="45" t="s">
        <v>128</v>
      </c>
      <c r="Z32" s="45" t="s">
        <v>128</v>
      </c>
      <c r="AA32" s="45" t="s">
        <v>128</v>
      </c>
      <c r="AB32" s="45" t="s">
        <v>128</v>
      </c>
      <c r="AC32" s="107" t="s">
        <v>128</v>
      </c>
      <c r="AD32" s="107" t="s">
        <v>128</v>
      </c>
      <c r="AE32" s="107" t="s">
        <v>128</v>
      </c>
      <c r="AF32" s="107" t="s">
        <v>128</v>
      </c>
      <c r="AG32" s="107" t="s">
        <v>128</v>
      </c>
      <c r="AH32" s="107" t="s">
        <v>128</v>
      </c>
      <c r="AI32" s="228"/>
      <c r="AJ32" s="228"/>
      <c r="AK32" s="228"/>
      <c r="AL32" s="228"/>
      <c r="AM32" s="228"/>
      <c r="AN32" s="228"/>
      <c r="AO32" s="140"/>
      <c r="AP32" s="140"/>
    </row>
    <row r="33" spans="1:42" s="48" customFormat="1" x14ac:dyDescent="0.2">
      <c r="A33" s="22"/>
      <c r="B33" s="22"/>
      <c r="C33" s="22"/>
      <c r="D33" s="22"/>
      <c r="E33" s="22"/>
      <c r="F33" s="22"/>
      <c r="G33" s="22"/>
      <c r="H33" s="22"/>
      <c r="I33" s="22"/>
      <c r="J33" s="36"/>
      <c r="K33" s="19">
        <v>0</v>
      </c>
      <c r="L33" s="198" t="s">
        <v>128</v>
      </c>
      <c r="M33" s="198" t="s">
        <v>128</v>
      </c>
      <c r="N33" s="197" t="s">
        <v>128</v>
      </c>
      <c r="O33" s="195">
        <v>1</v>
      </c>
      <c r="P33" s="45" t="s">
        <v>128</v>
      </c>
      <c r="Q33" s="45" t="s">
        <v>128</v>
      </c>
      <c r="R33" s="45" t="s">
        <v>128</v>
      </c>
      <c r="S33" s="45" t="s">
        <v>128</v>
      </c>
      <c r="T33" s="45" t="s">
        <v>128</v>
      </c>
      <c r="U33" s="45" t="s">
        <v>128</v>
      </c>
      <c r="V33" s="45" t="s">
        <v>128</v>
      </c>
      <c r="W33" s="45" t="s">
        <v>128</v>
      </c>
      <c r="X33" s="45" t="s">
        <v>128</v>
      </c>
      <c r="Y33" s="45" t="s">
        <v>128</v>
      </c>
      <c r="Z33" s="45" t="s">
        <v>128</v>
      </c>
      <c r="AA33" s="45" t="s">
        <v>128</v>
      </c>
      <c r="AB33" s="45" t="s">
        <v>128</v>
      </c>
      <c r="AC33" s="107" t="s">
        <v>128</v>
      </c>
      <c r="AD33" s="107" t="s">
        <v>128</v>
      </c>
      <c r="AE33" s="107" t="s">
        <v>128</v>
      </c>
      <c r="AF33" s="107" t="s">
        <v>128</v>
      </c>
      <c r="AG33" s="107" t="s">
        <v>128</v>
      </c>
      <c r="AH33" s="107" t="s">
        <v>128</v>
      </c>
      <c r="AI33" s="228"/>
      <c r="AJ33" s="228"/>
      <c r="AK33" s="228"/>
      <c r="AL33" s="228"/>
      <c r="AM33" s="228"/>
      <c r="AN33" s="228"/>
      <c r="AO33" s="140"/>
      <c r="AP33" s="140"/>
    </row>
    <row r="34" spans="1:42" s="48" customFormat="1" x14ac:dyDescent="0.2">
      <c r="A34" s="209"/>
      <c r="B34" s="8"/>
      <c r="C34" s="8"/>
      <c r="D34" s="8"/>
      <c r="E34" s="8"/>
      <c r="F34" s="8"/>
      <c r="G34" s="8"/>
      <c r="H34" s="8"/>
      <c r="I34" s="8"/>
      <c r="J34" s="37"/>
      <c r="K34" s="19">
        <v>0</v>
      </c>
      <c r="L34" s="198" t="s">
        <v>128</v>
      </c>
      <c r="M34" s="198" t="s">
        <v>128</v>
      </c>
      <c r="N34" s="197" t="s">
        <v>128</v>
      </c>
      <c r="O34" s="195">
        <v>1</v>
      </c>
      <c r="P34" s="45" t="s">
        <v>128</v>
      </c>
      <c r="Q34" s="45" t="s">
        <v>128</v>
      </c>
      <c r="R34" s="45" t="s">
        <v>128</v>
      </c>
      <c r="S34" s="45" t="s">
        <v>128</v>
      </c>
      <c r="T34" s="45" t="s">
        <v>128</v>
      </c>
      <c r="U34" s="45" t="s">
        <v>128</v>
      </c>
      <c r="V34" s="45" t="s">
        <v>128</v>
      </c>
      <c r="W34" s="45" t="s">
        <v>128</v>
      </c>
      <c r="X34" s="45" t="s">
        <v>128</v>
      </c>
      <c r="Y34" s="45" t="s">
        <v>128</v>
      </c>
      <c r="Z34" s="45" t="s">
        <v>128</v>
      </c>
      <c r="AA34" s="45" t="s">
        <v>128</v>
      </c>
      <c r="AB34" s="45" t="s">
        <v>128</v>
      </c>
      <c r="AC34" s="107" t="s">
        <v>128</v>
      </c>
      <c r="AD34" s="107" t="s">
        <v>128</v>
      </c>
      <c r="AE34" s="107" t="s">
        <v>128</v>
      </c>
      <c r="AF34" s="107" t="s">
        <v>128</v>
      </c>
      <c r="AG34" s="107" t="s">
        <v>128</v>
      </c>
      <c r="AH34" s="107" t="s">
        <v>128</v>
      </c>
      <c r="AI34" s="228"/>
      <c r="AJ34" s="228"/>
      <c r="AK34" s="228"/>
      <c r="AL34" s="228"/>
      <c r="AM34" s="228"/>
      <c r="AN34" s="228"/>
      <c r="AO34" s="228"/>
      <c r="AP34" s="228"/>
    </row>
    <row r="35" spans="1:42" s="48" customFormat="1" x14ac:dyDescent="0.2">
      <c r="A35" s="22"/>
      <c r="B35" s="22"/>
      <c r="C35" s="22"/>
      <c r="D35" s="22"/>
      <c r="E35" s="22"/>
      <c r="F35" s="22"/>
      <c r="G35" s="22"/>
      <c r="H35" s="22"/>
      <c r="I35" s="22"/>
      <c r="J35" s="36"/>
      <c r="K35" s="19">
        <v>0</v>
      </c>
      <c r="L35" s="198" t="s">
        <v>128</v>
      </c>
      <c r="M35" s="198" t="s">
        <v>128</v>
      </c>
      <c r="N35" s="197" t="s">
        <v>128</v>
      </c>
      <c r="O35" s="195">
        <v>1</v>
      </c>
      <c r="P35" s="45" t="s">
        <v>128</v>
      </c>
      <c r="Q35" s="45" t="s">
        <v>128</v>
      </c>
      <c r="R35" s="45" t="s">
        <v>128</v>
      </c>
      <c r="S35" s="45" t="s">
        <v>128</v>
      </c>
      <c r="T35" s="45" t="s">
        <v>128</v>
      </c>
      <c r="U35" s="45" t="s">
        <v>128</v>
      </c>
      <c r="V35" s="45" t="s">
        <v>128</v>
      </c>
      <c r="W35" s="45" t="s">
        <v>128</v>
      </c>
      <c r="X35" s="45" t="s">
        <v>128</v>
      </c>
      <c r="Y35" s="45" t="s">
        <v>128</v>
      </c>
      <c r="Z35" s="45" t="s">
        <v>128</v>
      </c>
      <c r="AA35" s="45" t="s">
        <v>128</v>
      </c>
      <c r="AB35" s="45" t="s">
        <v>128</v>
      </c>
      <c r="AC35" s="107" t="s">
        <v>128</v>
      </c>
      <c r="AD35" s="107" t="s">
        <v>128</v>
      </c>
      <c r="AE35" s="107" t="s">
        <v>128</v>
      </c>
      <c r="AF35" s="107" t="s">
        <v>128</v>
      </c>
      <c r="AG35" s="107" t="s">
        <v>128</v>
      </c>
      <c r="AH35" s="107" t="s">
        <v>128</v>
      </c>
      <c r="AI35" s="228"/>
      <c r="AJ35" s="228"/>
      <c r="AK35" s="228"/>
      <c r="AL35" s="228"/>
      <c r="AM35" s="228"/>
      <c r="AN35" s="228"/>
      <c r="AO35" s="228"/>
      <c r="AP35" s="228"/>
    </row>
    <row r="36" spans="1:42" s="48" customFormat="1" x14ac:dyDescent="0.2">
      <c r="A36" s="209"/>
      <c r="B36" s="8"/>
      <c r="C36" s="8"/>
      <c r="D36" s="8"/>
      <c r="E36" s="8"/>
      <c r="F36" s="8"/>
      <c r="G36" s="8"/>
      <c r="H36" s="8"/>
      <c r="I36" s="8"/>
      <c r="J36" s="37"/>
      <c r="K36" s="19">
        <v>0</v>
      </c>
      <c r="L36" s="198" t="s">
        <v>128</v>
      </c>
      <c r="M36" s="198" t="s">
        <v>128</v>
      </c>
      <c r="N36" s="197" t="s">
        <v>128</v>
      </c>
      <c r="O36" s="195">
        <v>1</v>
      </c>
      <c r="P36" s="45" t="s">
        <v>128</v>
      </c>
      <c r="Q36" s="45" t="s">
        <v>128</v>
      </c>
      <c r="R36" s="45" t="s">
        <v>128</v>
      </c>
      <c r="S36" s="45" t="s">
        <v>128</v>
      </c>
      <c r="T36" s="45" t="s">
        <v>128</v>
      </c>
      <c r="U36" s="45" t="s">
        <v>128</v>
      </c>
      <c r="V36" s="45" t="s">
        <v>128</v>
      </c>
      <c r="W36" s="45" t="s">
        <v>128</v>
      </c>
      <c r="X36" s="45" t="s">
        <v>128</v>
      </c>
      <c r="Y36" s="45" t="s">
        <v>128</v>
      </c>
      <c r="Z36" s="45" t="s">
        <v>128</v>
      </c>
      <c r="AA36" s="45" t="s">
        <v>128</v>
      </c>
      <c r="AB36" s="45" t="s">
        <v>128</v>
      </c>
      <c r="AC36" s="107" t="s">
        <v>128</v>
      </c>
      <c r="AD36" s="107" t="s">
        <v>128</v>
      </c>
      <c r="AE36" s="107" t="s">
        <v>128</v>
      </c>
      <c r="AF36" s="107" t="s">
        <v>128</v>
      </c>
      <c r="AG36" s="107" t="s">
        <v>128</v>
      </c>
      <c r="AH36" s="107" t="s">
        <v>128</v>
      </c>
      <c r="AI36" s="228"/>
      <c r="AJ36" s="228"/>
      <c r="AK36" s="228"/>
      <c r="AL36" s="228"/>
      <c r="AM36" s="228"/>
      <c r="AN36" s="228"/>
      <c r="AO36" s="228"/>
      <c r="AP36" s="228"/>
    </row>
    <row r="37" spans="1:42" s="48" customFormat="1" x14ac:dyDescent="0.2">
      <c r="A37" s="22"/>
      <c r="B37" s="22"/>
      <c r="C37" s="22"/>
      <c r="D37" s="22"/>
      <c r="E37" s="22"/>
      <c r="F37" s="22"/>
      <c r="G37" s="22"/>
      <c r="H37" s="22"/>
      <c r="I37" s="22"/>
      <c r="J37" s="36"/>
      <c r="K37" s="19">
        <v>0</v>
      </c>
      <c r="L37" s="198" t="s">
        <v>128</v>
      </c>
      <c r="M37" s="198" t="s">
        <v>128</v>
      </c>
      <c r="N37" s="197" t="s">
        <v>128</v>
      </c>
      <c r="O37" s="195">
        <v>1</v>
      </c>
      <c r="P37" s="45" t="s">
        <v>128</v>
      </c>
      <c r="Q37" s="45" t="s">
        <v>128</v>
      </c>
      <c r="R37" s="45" t="s">
        <v>128</v>
      </c>
      <c r="S37" s="45" t="s">
        <v>128</v>
      </c>
      <c r="T37" s="45" t="s">
        <v>128</v>
      </c>
      <c r="U37" s="45" t="s">
        <v>128</v>
      </c>
      <c r="V37" s="45" t="s">
        <v>128</v>
      </c>
      <c r="W37" s="45" t="s">
        <v>128</v>
      </c>
      <c r="X37" s="45" t="s">
        <v>128</v>
      </c>
      <c r="Y37" s="45" t="s">
        <v>128</v>
      </c>
      <c r="Z37" s="45" t="s">
        <v>128</v>
      </c>
      <c r="AA37" s="45" t="s">
        <v>128</v>
      </c>
      <c r="AB37" s="45" t="s">
        <v>128</v>
      </c>
      <c r="AC37" s="107" t="s">
        <v>128</v>
      </c>
      <c r="AD37" s="107" t="s">
        <v>128</v>
      </c>
      <c r="AE37" s="107" t="s">
        <v>128</v>
      </c>
      <c r="AF37" s="107" t="s">
        <v>128</v>
      </c>
      <c r="AG37" s="107" t="s">
        <v>128</v>
      </c>
      <c r="AH37" s="107" t="s">
        <v>128</v>
      </c>
      <c r="AI37" s="228"/>
      <c r="AJ37" s="228"/>
      <c r="AK37" s="228"/>
      <c r="AL37" s="228"/>
      <c r="AM37" s="228"/>
      <c r="AN37" s="228"/>
      <c r="AO37" s="228"/>
      <c r="AP37" s="228"/>
    </row>
    <row r="38" spans="1:42" s="48" customFormat="1" x14ac:dyDescent="0.15">
      <c r="A38" s="209"/>
      <c r="B38" s="8"/>
      <c r="C38" s="8"/>
      <c r="D38" s="8"/>
      <c r="E38" s="8"/>
      <c r="F38" s="8"/>
      <c r="G38" s="8"/>
      <c r="H38" s="8"/>
      <c r="I38" s="8"/>
      <c r="J38" s="37"/>
      <c r="K38" s="19">
        <v>0</v>
      </c>
      <c r="L38" s="198" t="s">
        <v>128</v>
      </c>
      <c r="M38" s="198" t="s">
        <v>128</v>
      </c>
      <c r="N38" s="197" t="s">
        <v>128</v>
      </c>
      <c r="O38" s="195">
        <v>1</v>
      </c>
      <c r="P38" s="45" t="s">
        <v>128</v>
      </c>
      <c r="Q38" s="45" t="s">
        <v>128</v>
      </c>
      <c r="R38" s="45" t="s">
        <v>128</v>
      </c>
      <c r="S38" s="45" t="s">
        <v>128</v>
      </c>
      <c r="T38" s="45" t="s">
        <v>128</v>
      </c>
      <c r="U38" s="45" t="s">
        <v>128</v>
      </c>
      <c r="V38" s="45" t="s">
        <v>128</v>
      </c>
      <c r="W38" s="45" t="s">
        <v>128</v>
      </c>
      <c r="X38" s="45" t="s">
        <v>128</v>
      </c>
      <c r="Y38" s="45" t="s">
        <v>128</v>
      </c>
      <c r="Z38" s="45" t="s">
        <v>128</v>
      </c>
      <c r="AA38" s="45" t="s">
        <v>128</v>
      </c>
      <c r="AB38" s="45" t="s">
        <v>128</v>
      </c>
      <c r="AC38" s="107" t="s">
        <v>128</v>
      </c>
      <c r="AD38" s="107" t="s">
        <v>128</v>
      </c>
      <c r="AE38" s="107" t="s">
        <v>128</v>
      </c>
      <c r="AF38" s="107" t="s">
        <v>128</v>
      </c>
      <c r="AG38" s="107" t="s">
        <v>128</v>
      </c>
      <c r="AH38" s="107" t="s">
        <v>128</v>
      </c>
      <c r="AI38" s="205"/>
      <c r="AJ38" s="140"/>
      <c r="AK38" s="305"/>
      <c r="AL38" s="306"/>
      <c r="AM38" s="228"/>
      <c r="AN38" s="140"/>
      <c r="AO38" s="140"/>
      <c r="AP38" s="140"/>
    </row>
    <row r="39" spans="1:42" s="48" customFormat="1" x14ac:dyDescent="0.2">
      <c r="A39" s="22"/>
      <c r="B39" s="22"/>
      <c r="C39" s="22"/>
      <c r="D39" s="22"/>
      <c r="E39" s="22"/>
      <c r="F39" s="22"/>
      <c r="G39" s="22"/>
      <c r="H39" s="22"/>
      <c r="I39" s="22"/>
      <c r="J39" s="36"/>
      <c r="K39" s="19">
        <v>0</v>
      </c>
      <c r="L39" s="198" t="s">
        <v>128</v>
      </c>
      <c r="M39" s="198" t="s">
        <v>128</v>
      </c>
      <c r="N39" s="197" t="s">
        <v>128</v>
      </c>
      <c r="O39" s="195">
        <v>1</v>
      </c>
      <c r="P39" s="45" t="s">
        <v>128</v>
      </c>
      <c r="Q39" s="45" t="s">
        <v>128</v>
      </c>
      <c r="R39" s="45" t="s">
        <v>128</v>
      </c>
      <c r="S39" s="45" t="s">
        <v>128</v>
      </c>
      <c r="T39" s="45" t="s">
        <v>128</v>
      </c>
      <c r="U39" s="45" t="s">
        <v>128</v>
      </c>
      <c r="V39" s="45" t="s">
        <v>128</v>
      </c>
      <c r="W39" s="45" t="s">
        <v>128</v>
      </c>
      <c r="X39" s="45" t="s">
        <v>128</v>
      </c>
      <c r="Y39" s="45" t="s">
        <v>128</v>
      </c>
      <c r="Z39" s="45" t="s">
        <v>128</v>
      </c>
      <c r="AA39" s="45" t="s">
        <v>128</v>
      </c>
      <c r="AB39" s="45" t="s">
        <v>128</v>
      </c>
      <c r="AC39" s="107" t="s">
        <v>128</v>
      </c>
      <c r="AD39" s="107" t="s">
        <v>128</v>
      </c>
      <c r="AE39" s="107" t="s">
        <v>128</v>
      </c>
      <c r="AF39" s="107" t="s">
        <v>128</v>
      </c>
      <c r="AG39" s="107" t="s">
        <v>128</v>
      </c>
      <c r="AH39" s="107" t="s">
        <v>128</v>
      </c>
      <c r="AI39" s="228"/>
      <c r="AJ39" s="228"/>
      <c r="AK39" s="228"/>
      <c r="AL39" s="228"/>
      <c r="AM39" s="228"/>
      <c r="AN39" s="140"/>
      <c r="AO39" s="228"/>
      <c r="AP39" s="228"/>
    </row>
    <row r="40" spans="1:42" s="48" customFormat="1" x14ac:dyDescent="0.2">
      <c r="A40" s="209"/>
      <c r="B40" s="8"/>
      <c r="C40" s="8"/>
      <c r="D40" s="8"/>
      <c r="E40" s="8"/>
      <c r="F40" s="8"/>
      <c r="G40" s="8"/>
      <c r="H40" s="8"/>
      <c r="I40" s="8"/>
      <c r="J40" s="37"/>
      <c r="K40" s="19">
        <v>0</v>
      </c>
      <c r="L40" s="198" t="s">
        <v>128</v>
      </c>
      <c r="M40" s="198" t="s">
        <v>128</v>
      </c>
      <c r="N40" s="197" t="s">
        <v>128</v>
      </c>
      <c r="O40" s="195">
        <v>1</v>
      </c>
      <c r="P40" s="45" t="s">
        <v>128</v>
      </c>
      <c r="Q40" s="45" t="s">
        <v>128</v>
      </c>
      <c r="R40" s="45" t="s">
        <v>128</v>
      </c>
      <c r="S40" s="45" t="s">
        <v>128</v>
      </c>
      <c r="T40" s="45" t="s">
        <v>128</v>
      </c>
      <c r="U40" s="45" t="s">
        <v>128</v>
      </c>
      <c r="V40" s="45" t="s">
        <v>128</v>
      </c>
      <c r="W40" s="45" t="s">
        <v>128</v>
      </c>
      <c r="X40" s="45" t="s">
        <v>128</v>
      </c>
      <c r="Y40" s="45" t="s">
        <v>128</v>
      </c>
      <c r="Z40" s="45" t="s">
        <v>128</v>
      </c>
      <c r="AA40" s="45" t="s">
        <v>128</v>
      </c>
      <c r="AB40" s="45" t="s">
        <v>128</v>
      </c>
      <c r="AC40" s="107" t="s">
        <v>128</v>
      </c>
      <c r="AD40" s="107" t="s">
        <v>128</v>
      </c>
      <c r="AE40" s="107" t="s">
        <v>128</v>
      </c>
      <c r="AF40" s="107" t="s">
        <v>128</v>
      </c>
      <c r="AG40" s="107" t="s">
        <v>128</v>
      </c>
      <c r="AH40" s="107" t="s">
        <v>128</v>
      </c>
      <c r="AI40" s="228"/>
      <c r="AJ40" s="228"/>
      <c r="AK40" s="228"/>
      <c r="AL40" s="228"/>
      <c r="AM40" s="228"/>
      <c r="AN40" s="140"/>
      <c r="AO40" s="228"/>
      <c r="AP40" s="228"/>
    </row>
    <row r="41" spans="1:42" s="48" customFormat="1" x14ac:dyDescent="0.15">
      <c r="A41" s="22"/>
      <c r="B41" s="22"/>
      <c r="C41" s="22"/>
      <c r="D41" s="22"/>
      <c r="E41" s="22"/>
      <c r="F41" s="22"/>
      <c r="G41" s="22"/>
      <c r="H41" s="22"/>
      <c r="I41" s="22"/>
      <c r="J41" s="36"/>
      <c r="K41" s="19">
        <v>0</v>
      </c>
      <c r="L41" s="198" t="s">
        <v>128</v>
      </c>
      <c r="M41" s="198" t="s">
        <v>128</v>
      </c>
      <c r="N41" s="197" t="s">
        <v>128</v>
      </c>
      <c r="O41" s="195">
        <v>1</v>
      </c>
      <c r="P41" s="45" t="s">
        <v>128</v>
      </c>
      <c r="Q41" s="45" t="s">
        <v>128</v>
      </c>
      <c r="R41" s="45" t="s">
        <v>128</v>
      </c>
      <c r="S41" s="45" t="s">
        <v>128</v>
      </c>
      <c r="T41" s="45" t="s">
        <v>128</v>
      </c>
      <c r="U41" s="45" t="s">
        <v>128</v>
      </c>
      <c r="V41" s="45" t="s">
        <v>128</v>
      </c>
      <c r="W41" s="45" t="s">
        <v>128</v>
      </c>
      <c r="X41" s="45" t="s">
        <v>128</v>
      </c>
      <c r="Y41" s="45" t="s">
        <v>128</v>
      </c>
      <c r="Z41" s="45" t="s">
        <v>128</v>
      </c>
      <c r="AA41" s="45" t="s">
        <v>128</v>
      </c>
      <c r="AB41" s="45" t="s">
        <v>128</v>
      </c>
      <c r="AC41" s="107" t="s">
        <v>128</v>
      </c>
      <c r="AD41" s="107" t="s">
        <v>128</v>
      </c>
      <c r="AE41" s="107" t="s">
        <v>128</v>
      </c>
      <c r="AF41" s="107" t="s">
        <v>128</v>
      </c>
      <c r="AG41" s="107" t="s">
        <v>128</v>
      </c>
      <c r="AH41" s="107" t="s">
        <v>128</v>
      </c>
      <c r="AI41" s="205"/>
      <c r="AJ41" s="140"/>
      <c r="AK41" s="305"/>
      <c r="AL41" s="306"/>
      <c r="AM41" s="228"/>
      <c r="AN41" s="140"/>
      <c r="AO41" s="140"/>
      <c r="AP41" s="140"/>
    </row>
    <row r="42" spans="1:42" s="48" customFormat="1" x14ac:dyDescent="0.2">
      <c r="A42" s="209"/>
      <c r="B42" s="8"/>
      <c r="C42" s="8"/>
      <c r="D42" s="8"/>
      <c r="E42" s="8"/>
      <c r="F42" s="8"/>
      <c r="G42" s="8"/>
      <c r="H42" s="8"/>
      <c r="I42" s="8"/>
      <c r="J42" s="37"/>
      <c r="K42" s="19">
        <v>0</v>
      </c>
      <c r="L42" s="198" t="s">
        <v>128</v>
      </c>
      <c r="M42" s="198" t="s">
        <v>128</v>
      </c>
      <c r="N42" s="197" t="s">
        <v>128</v>
      </c>
      <c r="O42" s="195">
        <v>1</v>
      </c>
      <c r="P42" s="45" t="s">
        <v>128</v>
      </c>
      <c r="Q42" s="45" t="s">
        <v>128</v>
      </c>
      <c r="R42" s="45" t="s">
        <v>128</v>
      </c>
      <c r="S42" s="45" t="s">
        <v>128</v>
      </c>
      <c r="T42" s="45" t="s">
        <v>128</v>
      </c>
      <c r="U42" s="45" t="s">
        <v>128</v>
      </c>
      <c r="V42" s="45" t="s">
        <v>128</v>
      </c>
      <c r="W42" s="45" t="s">
        <v>128</v>
      </c>
      <c r="X42" s="45" t="s">
        <v>128</v>
      </c>
      <c r="Y42" s="45" t="s">
        <v>128</v>
      </c>
      <c r="Z42" s="45" t="s">
        <v>128</v>
      </c>
      <c r="AA42" s="45" t="s">
        <v>128</v>
      </c>
      <c r="AB42" s="45" t="s">
        <v>128</v>
      </c>
      <c r="AC42" s="107" t="s">
        <v>128</v>
      </c>
      <c r="AD42" s="107" t="s">
        <v>128</v>
      </c>
      <c r="AE42" s="107" t="s">
        <v>128</v>
      </c>
      <c r="AF42" s="107" t="s">
        <v>128</v>
      </c>
      <c r="AG42" s="107" t="s">
        <v>128</v>
      </c>
      <c r="AH42" s="107" t="s">
        <v>128</v>
      </c>
      <c r="AI42" s="228"/>
      <c r="AJ42" s="140"/>
      <c r="AK42" s="228"/>
      <c r="AL42" s="228"/>
      <c r="AM42" s="228"/>
      <c r="AN42" s="140"/>
      <c r="AO42" s="228"/>
      <c r="AP42" s="228"/>
    </row>
    <row r="43" spans="1:42" s="48" customFormat="1" x14ac:dyDescent="0.15">
      <c r="A43" s="22"/>
      <c r="B43" s="22"/>
      <c r="C43" s="22"/>
      <c r="D43" s="22"/>
      <c r="E43" s="22"/>
      <c r="F43" s="22"/>
      <c r="G43" s="22"/>
      <c r="H43" s="22"/>
      <c r="I43" s="22"/>
      <c r="J43" s="36"/>
      <c r="K43" s="19">
        <v>0</v>
      </c>
      <c r="L43" s="198" t="s">
        <v>128</v>
      </c>
      <c r="M43" s="198" t="s">
        <v>128</v>
      </c>
      <c r="N43" s="197" t="s">
        <v>128</v>
      </c>
      <c r="O43" s="195">
        <v>1</v>
      </c>
      <c r="P43" s="45" t="s">
        <v>128</v>
      </c>
      <c r="Q43" s="45" t="s">
        <v>128</v>
      </c>
      <c r="R43" s="45" t="s">
        <v>128</v>
      </c>
      <c r="S43" s="45" t="s">
        <v>128</v>
      </c>
      <c r="T43" s="45" t="s">
        <v>128</v>
      </c>
      <c r="U43" s="45" t="s">
        <v>128</v>
      </c>
      <c r="V43" s="45" t="s">
        <v>128</v>
      </c>
      <c r="W43" s="45" t="s">
        <v>128</v>
      </c>
      <c r="X43" s="45" t="s">
        <v>128</v>
      </c>
      <c r="Y43" s="45" t="s">
        <v>128</v>
      </c>
      <c r="Z43" s="45" t="s">
        <v>128</v>
      </c>
      <c r="AA43" s="45" t="s">
        <v>128</v>
      </c>
      <c r="AB43" s="45" t="s">
        <v>128</v>
      </c>
      <c r="AC43" s="107" t="s">
        <v>128</v>
      </c>
      <c r="AD43" s="107" t="s">
        <v>128</v>
      </c>
      <c r="AE43" s="107" t="s">
        <v>128</v>
      </c>
      <c r="AF43" s="107" t="s">
        <v>128</v>
      </c>
      <c r="AG43" s="107" t="s">
        <v>128</v>
      </c>
      <c r="AH43" s="107" t="s">
        <v>128</v>
      </c>
      <c r="AI43" s="280"/>
      <c r="AJ43" s="274"/>
      <c r="AK43" s="307"/>
      <c r="AL43" s="308"/>
      <c r="AM43" s="273"/>
      <c r="AN43" s="274"/>
      <c r="AO43" s="274"/>
      <c r="AP43" s="274"/>
    </row>
    <row r="44" spans="1:42" s="48" customFormat="1" x14ac:dyDescent="0.2">
      <c r="A44" s="209"/>
      <c r="B44" s="8"/>
      <c r="C44" s="8"/>
      <c r="D44" s="8"/>
      <c r="E44" s="8"/>
      <c r="F44" s="8"/>
      <c r="G44" s="8"/>
      <c r="H44" s="8"/>
      <c r="I44" s="8"/>
      <c r="J44" s="37"/>
      <c r="K44" s="19">
        <v>0</v>
      </c>
      <c r="L44" s="198" t="s">
        <v>128</v>
      </c>
      <c r="M44" s="198" t="s">
        <v>128</v>
      </c>
      <c r="N44" s="197" t="s">
        <v>128</v>
      </c>
      <c r="O44" s="195">
        <v>1</v>
      </c>
      <c r="P44" s="45" t="s">
        <v>128</v>
      </c>
      <c r="Q44" s="45" t="s">
        <v>128</v>
      </c>
      <c r="R44" s="45" t="s">
        <v>128</v>
      </c>
      <c r="S44" s="45" t="s">
        <v>128</v>
      </c>
      <c r="T44" s="45" t="s">
        <v>128</v>
      </c>
      <c r="U44" s="45" t="s">
        <v>128</v>
      </c>
      <c r="V44" s="45" t="s">
        <v>128</v>
      </c>
      <c r="W44" s="45" t="s">
        <v>128</v>
      </c>
      <c r="X44" s="45" t="s">
        <v>128</v>
      </c>
      <c r="Y44" s="45" t="s">
        <v>128</v>
      </c>
      <c r="Z44" s="45" t="s">
        <v>128</v>
      </c>
      <c r="AA44" s="45" t="s">
        <v>128</v>
      </c>
      <c r="AB44" s="45" t="s">
        <v>128</v>
      </c>
      <c r="AC44" s="107" t="s">
        <v>128</v>
      </c>
      <c r="AD44" s="107" t="s">
        <v>128</v>
      </c>
      <c r="AE44" s="107" t="s">
        <v>128</v>
      </c>
      <c r="AF44" s="107" t="s">
        <v>128</v>
      </c>
      <c r="AG44" s="107" t="s">
        <v>128</v>
      </c>
      <c r="AH44" s="107" t="s">
        <v>128</v>
      </c>
      <c r="AI44" s="228"/>
      <c r="AJ44" s="228"/>
      <c r="AK44" s="228"/>
      <c r="AL44" s="228"/>
      <c r="AM44" s="228"/>
      <c r="AN44" s="228"/>
      <c r="AO44" s="228"/>
      <c r="AP44" s="228"/>
    </row>
    <row r="45" spans="1:42" s="48" customFormat="1" x14ac:dyDescent="0.2">
      <c r="A45" s="22"/>
      <c r="B45" s="22"/>
      <c r="C45" s="22"/>
      <c r="D45" s="22"/>
      <c r="E45" s="22"/>
      <c r="F45" s="22"/>
      <c r="G45" s="22"/>
      <c r="H45" s="22"/>
      <c r="I45" s="22"/>
      <c r="J45" s="36"/>
      <c r="K45" s="19">
        <v>0</v>
      </c>
      <c r="L45" s="198" t="s">
        <v>128</v>
      </c>
      <c r="M45" s="198" t="s">
        <v>128</v>
      </c>
      <c r="N45" s="197" t="s">
        <v>128</v>
      </c>
      <c r="O45" s="195">
        <v>1</v>
      </c>
      <c r="P45" s="45" t="s">
        <v>128</v>
      </c>
      <c r="Q45" s="45" t="s">
        <v>128</v>
      </c>
      <c r="R45" s="45" t="s">
        <v>128</v>
      </c>
      <c r="S45" s="45" t="s">
        <v>128</v>
      </c>
      <c r="T45" s="45" t="s">
        <v>128</v>
      </c>
      <c r="U45" s="45" t="s">
        <v>128</v>
      </c>
      <c r="V45" s="45" t="s">
        <v>128</v>
      </c>
      <c r="W45" s="45" t="s">
        <v>128</v>
      </c>
      <c r="X45" s="45" t="s">
        <v>128</v>
      </c>
      <c r="Y45" s="45" t="s">
        <v>128</v>
      </c>
      <c r="Z45" s="45" t="s">
        <v>128</v>
      </c>
      <c r="AA45" s="45" t="s">
        <v>128</v>
      </c>
      <c r="AB45" s="45" t="s">
        <v>128</v>
      </c>
      <c r="AC45" s="107" t="s">
        <v>128</v>
      </c>
      <c r="AD45" s="107" t="s">
        <v>128</v>
      </c>
      <c r="AE45" s="107" t="s">
        <v>128</v>
      </c>
      <c r="AF45" s="107" t="s">
        <v>128</v>
      </c>
      <c r="AG45" s="107" t="s">
        <v>128</v>
      </c>
      <c r="AH45" s="107" t="s">
        <v>128</v>
      </c>
      <c r="AI45" s="228"/>
      <c r="AJ45" s="228"/>
      <c r="AK45" s="228"/>
      <c r="AL45" s="228"/>
      <c r="AM45" s="228"/>
      <c r="AN45" s="228"/>
      <c r="AO45" s="228"/>
      <c r="AP45" s="228"/>
    </row>
    <row r="46" spans="1:42" s="48" customFormat="1" x14ac:dyDescent="0.2">
      <c r="A46" s="209"/>
      <c r="B46" s="8"/>
      <c r="C46" s="8"/>
      <c r="D46" s="8"/>
      <c r="E46" s="8"/>
      <c r="F46" s="8"/>
      <c r="G46" s="8"/>
      <c r="H46" s="8"/>
      <c r="I46" s="8"/>
      <c r="J46" s="37"/>
      <c r="K46" s="19">
        <v>0</v>
      </c>
      <c r="L46" s="198" t="s">
        <v>128</v>
      </c>
      <c r="M46" s="198" t="s">
        <v>128</v>
      </c>
      <c r="N46" s="197" t="s">
        <v>128</v>
      </c>
      <c r="O46" s="195">
        <v>1</v>
      </c>
      <c r="P46" s="45" t="s">
        <v>128</v>
      </c>
      <c r="Q46" s="45" t="s">
        <v>128</v>
      </c>
      <c r="R46" s="45" t="s">
        <v>128</v>
      </c>
      <c r="S46" s="45" t="s">
        <v>128</v>
      </c>
      <c r="T46" s="45" t="s">
        <v>128</v>
      </c>
      <c r="U46" s="45" t="s">
        <v>128</v>
      </c>
      <c r="V46" s="45" t="s">
        <v>128</v>
      </c>
      <c r="W46" s="45" t="s">
        <v>128</v>
      </c>
      <c r="X46" s="45" t="s">
        <v>128</v>
      </c>
      <c r="Y46" s="45" t="s">
        <v>128</v>
      </c>
      <c r="Z46" s="45" t="s">
        <v>128</v>
      </c>
      <c r="AA46" s="45" t="s">
        <v>128</v>
      </c>
      <c r="AB46" s="45" t="s">
        <v>128</v>
      </c>
      <c r="AC46" s="107" t="s">
        <v>128</v>
      </c>
      <c r="AD46" s="107" t="s">
        <v>128</v>
      </c>
      <c r="AE46" s="107" t="s">
        <v>128</v>
      </c>
      <c r="AF46" s="107" t="s">
        <v>128</v>
      </c>
      <c r="AG46" s="107" t="s">
        <v>128</v>
      </c>
      <c r="AH46" s="107" t="s">
        <v>128</v>
      </c>
      <c r="AI46" s="228"/>
      <c r="AJ46" s="228"/>
      <c r="AK46" s="228"/>
      <c r="AL46" s="228"/>
      <c r="AM46" s="228"/>
      <c r="AN46" s="228"/>
      <c r="AO46" s="228"/>
      <c r="AP46" s="228"/>
    </row>
    <row r="47" spans="1:42" s="48" customFormat="1" x14ac:dyDescent="0.2">
      <c r="A47" s="22"/>
      <c r="B47" s="22"/>
      <c r="C47" s="22"/>
      <c r="D47" s="22"/>
      <c r="E47" s="22"/>
      <c r="F47" s="22"/>
      <c r="G47" s="22"/>
      <c r="H47" s="22"/>
      <c r="I47" s="22"/>
      <c r="J47" s="36"/>
      <c r="K47" s="19">
        <v>0</v>
      </c>
      <c r="L47" s="198" t="s">
        <v>128</v>
      </c>
      <c r="M47" s="198" t="s">
        <v>128</v>
      </c>
      <c r="N47" s="197" t="s">
        <v>128</v>
      </c>
      <c r="O47" s="195">
        <v>1</v>
      </c>
      <c r="P47" s="45" t="s">
        <v>128</v>
      </c>
      <c r="Q47" s="45" t="s">
        <v>128</v>
      </c>
      <c r="R47" s="45" t="s">
        <v>128</v>
      </c>
      <c r="S47" s="45" t="s">
        <v>128</v>
      </c>
      <c r="T47" s="45" t="s">
        <v>128</v>
      </c>
      <c r="U47" s="45" t="s">
        <v>128</v>
      </c>
      <c r="V47" s="45" t="s">
        <v>128</v>
      </c>
      <c r="W47" s="45" t="s">
        <v>128</v>
      </c>
      <c r="X47" s="45" t="s">
        <v>128</v>
      </c>
      <c r="Y47" s="45" t="s">
        <v>128</v>
      </c>
      <c r="Z47" s="45" t="s">
        <v>128</v>
      </c>
      <c r="AA47" s="45" t="s">
        <v>128</v>
      </c>
      <c r="AB47" s="45" t="s">
        <v>128</v>
      </c>
      <c r="AC47" s="107" t="s">
        <v>128</v>
      </c>
      <c r="AD47" s="107" t="s">
        <v>128</v>
      </c>
      <c r="AE47" s="107" t="s">
        <v>128</v>
      </c>
      <c r="AF47" s="107" t="s">
        <v>128</v>
      </c>
      <c r="AG47" s="107" t="s">
        <v>128</v>
      </c>
      <c r="AH47" s="107" t="s">
        <v>128</v>
      </c>
      <c r="AI47" s="228"/>
      <c r="AJ47" s="228"/>
      <c r="AK47" s="228"/>
      <c r="AL47" s="228"/>
      <c r="AM47" s="228"/>
      <c r="AN47" s="228"/>
      <c r="AO47" s="228"/>
      <c r="AP47" s="228"/>
    </row>
    <row r="48" spans="1:42" s="48" customFormat="1" x14ac:dyDescent="0.2">
      <c r="A48" s="209"/>
      <c r="B48" s="8"/>
      <c r="C48" s="8"/>
      <c r="D48" s="8"/>
      <c r="E48" s="8"/>
      <c r="F48" s="8"/>
      <c r="G48" s="8"/>
      <c r="H48" s="8"/>
      <c r="I48" s="8"/>
      <c r="J48" s="37"/>
      <c r="K48" s="19">
        <v>0</v>
      </c>
      <c r="L48" s="198" t="s">
        <v>128</v>
      </c>
      <c r="M48" s="198" t="s">
        <v>128</v>
      </c>
      <c r="N48" s="197" t="s">
        <v>128</v>
      </c>
      <c r="O48" s="195">
        <v>1</v>
      </c>
      <c r="P48" s="45" t="s">
        <v>128</v>
      </c>
      <c r="Q48" s="45" t="s">
        <v>128</v>
      </c>
      <c r="R48" s="45" t="s">
        <v>128</v>
      </c>
      <c r="S48" s="45" t="s">
        <v>128</v>
      </c>
      <c r="T48" s="45" t="s">
        <v>128</v>
      </c>
      <c r="U48" s="45" t="s">
        <v>128</v>
      </c>
      <c r="V48" s="45" t="s">
        <v>128</v>
      </c>
      <c r="W48" s="45" t="s">
        <v>128</v>
      </c>
      <c r="X48" s="45" t="s">
        <v>128</v>
      </c>
      <c r="Y48" s="45" t="s">
        <v>128</v>
      </c>
      <c r="Z48" s="45" t="s">
        <v>128</v>
      </c>
      <c r="AA48" s="45" t="s">
        <v>128</v>
      </c>
      <c r="AB48" s="45" t="s">
        <v>128</v>
      </c>
      <c r="AC48" s="107" t="s">
        <v>128</v>
      </c>
      <c r="AD48" s="107" t="s">
        <v>128</v>
      </c>
      <c r="AE48" s="107" t="s">
        <v>128</v>
      </c>
      <c r="AF48" s="107" t="s">
        <v>128</v>
      </c>
      <c r="AG48" s="107" t="s">
        <v>128</v>
      </c>
      <c r="AH48" s="107" t="s">
        <v>128</v>
      </c>
      <c r="AI48" s="228"/>
      <c r="AJ48" s="228"/>
      <c r="AK48" s="228"/>
      <c r="AL48" s="228"/>
      <c r="AM48" s="228"/>
      <c r="AN48" s="228"/>
      <c r="AO48" s="228"/>
      <c r="AP48" s="228"/>
    </row>
    <row r="49" spans="1:42" s="48" customFormat="1" x14ac:dyDescent="0.2">
      <c r="A49" s="22"/>
      <c r="B49" s="22"/>
      <c r="C49" s="22"/>
      <c r="D49" s="22"/>
      <c r="E49" s="22"/>
      <c r="F49" s="22"/>
      <c r="G49" s="22"/>
      <c r="H49" s="22"/>
      <c r="I49" s="22"/>
      <c r="J49" s="36"/>
      <c r="K49" s="19">
        <v>0</v>
      </c>
      <c r="L49" s="198" t="s">
        <v>128</v>
      </c>
      <c r="M49" s="198" t="s">
        <v>128</v>
      </c>
      <c r="N49" s="197" t="s">
        <v>128</v>
      </c>
      <c r="O49" s="195">
        <v>1</v>
      </c>
      <c r="P49" s="45" t="s">
        <v>128</v>
      </c>
      <c r="Q49" s="45" t="s">
        <v>128</v>
      </c>
      <c r="R49" s="45" t="s">
        <v>128</v>
      </c>
      <c r="S49" s="45" t="s">
        <v>128</v>
      </c>
      <c r="T49" s="45" t="s">
        <v>128</v>
      </c>
      <c r="U49" s="45" t="s">
        <v>128</v>
      </c>
      <c r="V49" s="45" t="s">
        <v>128</v>
      </c>
      <c r="W49" s="45" t="s">
        <v>128</v>
      </c>
      <c r="X49" s="45" t="s">
        <v>128</v>
      </c>
      <c r="Y49" s="45" t="s">
        <v>128</v>
      </c>
      <c r="Z49" s="45" t="s">
        <v>128</v>
      </c>
      <c r="AA49" s="45" t="s">
        <v>128</v>
      </c>
      <c r="AB49" s="45" t="s">
        <v>128</v>
      </c>
      <c r="AC49" s="107" t="s">
        <v>128</v>
      </c>
      <c r="AD49" s="107" t="s">
        <v>128</v>
      </c>
      <c r="AE49" s="107" t="s">
        <v>128</v>
      </c>
      <c r="AF49" s="107" t="s">
        <v>128</v>
      </c>
      <c r="AG49" s="107" t="s">
        <v>128</v>
      </c>
      <c r="AH49" s="107" t="s">
        <v>128</v>
      </c>
      <c r="AI49" s="228"/>
      <c r="AJ49" s="228"/>
      <c r="AK49" s="228"/>
      <c r="AL49" s="228"/>
      <c r="AM49" s="228"/>
      <c r="AN49" s="228"/>
      <c r="AO49" s="228"/>
      <c r="AP49" s="228"/>
    </row>
    <row r="50" spans="1:42" s="48" customFormat="1" x14ac:dyDescent="0.2">
      <c r="A50" s="209"/>
      <c r="B50" s="8"/>
      <c r="C50" s="8"/>
      <c r="D50" s="8"/>
      <c r="E50" s="8"/>
      <c r="F50" s="8"/>
      <c r="G50" s="8"/>
      <c r="H50" s="8"/>
      <c r="I50" s="8"/>
      <c r="J50" s="37"/>
      <c r="K50" s="19">
        <v>0</v>
      </c>
      <c r="L50" s="198" t="s">
        <v>128</v>
      </c>
      <c r="M50" s="198" t="s">
        <v>128</v>
      </c>
      <c r="N50" s="197" t="s">
        <v>128</v>
      </c>
      <c r="O50" s="195">
        <v>1</v>
      </c>
      <c r="P50" s="45" t="s">
        <v>128</v>
      </c>
      <c r="Q50" s="45" t="s">
        <v>128</v>
      </c>
      <c r="R50" s="45" t="s">
        <v>128</v>
      </c>
      <c r="S50" s="45" t="s">
        <v>128</v>
      </c>
      <c r="T50" s="45" t="s">
        <v>128</v>
      </c>
      <c r="U50" s="45" t="s">
        <v>128</v>
      </c>
      <c r="V50" s="45" t="s">
        <v>128</v>
      </c>
      <c r="W50" s="45" t="s">
        <v>128</v>
      </c>
      <c r="X50" s="45" t="s">
        <v>128</v>
      </c>
      <c r="Y50" s="45" t="s">
        <v>128</v>
      </c>
      <c r="Z50" s="45" t="s">
        <v>128</v>
      </c>
      <c r="AA50" s="45" t="s">
        <v>128</v>
      </c>
      <c r="AB50" s="45" t="s">
        <v>128</v>
      </c>
      <c r="AC50" s="107" t="s">
        <v>128</v>
      </c>
      <c r="AD50" s="107" t="s">
        <v>128</v>
      </c>
      <c r="AE50" s="107" t="s">
        <v>128</v>
      </c>
      <c r="AF50" s="107" t="s">
        <v>128</v>
      </c>
      <c r="AG50" s="107" t="s">
        <v>128</v>
      </c>
      <c r="AH50" s="107" t="s">
        <v>128</v>
      </c>
      <c r="AI50" s="228"/>
      <c r="AJ50" s="228"/>
      <c r="AK50" s="228"/>
      <c r="AL50" s="228"/>
      <c r="AM50" s="228"/>
      <c r="AN50" s="228"/>
      <c r="AO50" s="228"/>
      <c r="AP50" s="228"/>
    </row>
    <row r="51" spans="1:42" s="48" customFormat="1" x14ac:dyDescent="0.2">
      <c r="A51" s="22"/>
      <c r="B51" s="22"/>
      <c r="C51" s="22"/>
      <c r="D51" s="22"/>
      <c r="E51" s="22"/>
      <c r="F51" s="22"/>
      <c r="G51" s="22"/>
      <c r="H51" s="22"/>
      <c r="I51" s="22"/>
      <c r="J51" s="36"/>
      <c r="K51" s="19">
        <v>0</v>
      </c>
      <c r="L51" s="198" t="s">
        <v>128</v>
      </c>
      <c r="M51" s="198" t="s">
        <v>128</v>
      </c>
      <c r="N51" s="197" t="s">
        <v>128</v>
      </c>
      <c r="O51" s="195">
        <v>1</v>
      </c>
      <c r="P51" s="45" t="s">
        <v>128</v>
      </c>
      <c r="Q51" s="45" t="s">
        <v>128</v>
      </c>
      <c r="R51" s="45" t="s">
        <v>128</v>
      </c>
      <c r="S51" s="45" t="s">
        <v>128</v>
      </c>
      <c r="T51" s="45" t="s">
        <v>128</v>
      </c>
      <c r="U51" s="45" t="s">
        <v>128</v>
      </c>
      <c r="V51" s="45" t="s">
        <v>128</v>
      </c>
      <c r="W51" s="45" t="s">
        <v>128</v>
      </c>
      <c r="X51" s="45" t="s">
        <v>128</v>
      </c>
      <c r="Y51" s="45" t="s">
        <v>128</v>
      </c>
      <c r="Z51" s="45" t="s">
        <v>128</v>
      </c>
      <c r="AA51" s="45" t="s">
        <v>128</v>
      </c>
      <c r="AB51" s="45" t="s">
        <v>128</v>
      </c>
      <c r="AC51" s="107" t="s">
        <v>128</v>
      </c>
      <c r="AD51" s="107" t="s">
        <v>128</v>
      </c>
      <c r="AE51" s="107" t="s">
        <v>128</v>
      </c>
      <c r="AF51" s="107" t="s">
        <v>128</v>
      </c>
      <c r="AG51" s="107" t="s">
        <v>128</v>
      </c>
      <c r="AH51" s="107" t="s">
        <v>128</v>
      </c>
      <c r="AI51" s="228"/>
      <c r="AJ51" s="228"/>
      <c r="AK51" s="228"/>
      <c r="AL51" s="228"/>
      <c r="AM51" s="228"/>
      <c r="AN51" s="228"/>
      <c r="AO51" s="228"/>
      <c r="AP51" s="228"/>
    </row>
    <row r="52" spans="1:42" s="48" customFormat="1" x14ac:dyDescent="0.2">
      <c r="A52" s="209"/>
      <c r="B52" s="8"/>
      <c r="C52" s="8"/>
      <c r="D52" s="8"/>
      <c r="E52" s="8"/>
      <c r="F52" s="8"/>
      <c r="G52" s="8"/>
      <c r="H52" s="8"/>
      <c r="I52" s="8"/>
      <c r="J52" s="37"/>
      <c r="K52" s="19">
        <v>0</v>
      </c>
      <c r="L52" s="198" t="s">
        <v>128</v>
      </c>
      <c r="M52" s="198" t="s">
        <v>128</v>
      </c>
      <c r="N52" s="197" t="s">
        <v>128</v>
      </c>
      <c r="O52" s="195">
        <v>1</v>
      </c>
      <c r="P52" s="45" t="s">
        <v>128</v>
      </c>
      <c r="Q52" s="45" t="s">
        <v>128</v>
      </c>
      <c r="R52" s="45" t="s">
        <v>128</v>
      </c>
      <c r="S52" s="45" t="s">
        <v>128</v>
      </c>
      <c r="T52" s="45" t="s">
        <v>128</v>
      </c>
      <c r="U52" s="45" t="s">
        <v>128</v>
      </c>
      <c r="V52" s="45" t="s">
        <v>128</v>
      </c>
      <c r="W52" s="45" t="s">
        <v>128</v>
      </c>
      <c r="X52" s="45" t="s">
        <v>128</v>
      </c>
      <c r="Y52" s="45" t="s">
        <v>128</v>
      </c>
      <c r="Z52" s="45" t="s">
        <v>128</v>
      </c>
      <c r="AA52" s="45" t="s">
        <v>128</v>
      </c>
      <c r="AB52" s="45" t="s">
        <v>128</v>
      </c>
      <c r="AC52" s="107" t="s">
        <v>128</v>
      </c>
      <c r="AD52" s="107" t="s">
        <v>128</v>
      </c>
      <c r="AE52" s="107" t="s">
        <v>128</v>
      </c>
      <c r="AF52" s="107" t="s">
        <v>128</v>
      </c>
      <c r="AG52" s="107" t="s">
        <v>128</v>
      </c>
      <c r="AH52" s="107" t="s">
        <v>128</v>
      </c>
      <c r="AI52" s="228"/>
      <c r="AJ52" s="228"/>
      <c r="AK52" s="228"/>
      <c r="AL52" s="228"/>
      <c r="AM52" s="228"/>
      <c r="AN52" s="228"/>
      <c r="AO52" s="228"/>
      <c r="AP52" s="228"/>
    </row>
    <row r="53" spans="1:42" s="48" customFormat="1" x14ac:dyDescent="0.2">
      <c r="A53" s="22"/>
      <c r="B53" s="22"/>
      <c r="C53" s="22"/>
      <c r="D53" s="22"/>
      <c r="E53" s="22"/>
      <c r="F53" s="22"/>
      <c r="G53" s="22"/>
      <c r="H53" s="22"/>
      <c r="I53" s="22"/>
      <c r="J53" s="36"/>
      <c r="K53" s="19">
        <v>0</v>
      </c>
      <c r="L53" s="198" t="s">
        <v>128</v>
      </c>
      <c r="M53" s="198" t="s">
        <v>128</v>
      </c>
      <c r="N53" s="197" t="s">
        <v>128</v>
      </c>
      <c r="O53" s="195">
        <v>1</v>
      </c>
      <c r="P53" s="45" t="s">
        <v>128</v>
      </c>
      <c r="Q53" s="45" t="s">
        <v>128</v>
      </c>
      <c r="R53" s="45" t="s">
        <v>128</v>
      </c>
      <c r="S53" s="45" t="s">
        <v>128</v>
      </c>
      <c r="T53" s="45" t="s">
        <v>128</v>
      </c>
      <c r="U53" s="45" t="s">
        <v>128</v>
      </c>
      <c r="V53" s="45" t="s">
        <v>128</v>
      </c>
      <c r="W53" s="45" t="s">
        <v>128</v>
      </c>
      <c r="X53" s="45" t="s">
        <v>128</v>
      </c>
      <c r="Y53" s="45" t="s">
        <v>128</v>
      </c>
      <c r="Z53" s="45" t="s">
        <v>128</v>
      </c>
      <c r="AA53" s="45" t="s">
        <v>128</v>
      </c>
      <c r="AB53" s="45" t="s">
        <v>128</v>
      </c>
      <c r="AC53" s="107" t="s">
        <v>128</v>
      </c>
      <c r="AD53" s="107" t="s">
        <v>128</v>
      </c>
      <c r="AE53" s="107" t="s">
        <v>128</v>
      </c>
      <c r="AF53" s="107" t="s">
        <v>128</v>
      </c>
      <c r="AG53" s="107" t="s">
        <v>128</v>
      </c>
      <c r="AH53" s="107" t="s">
        <v>128</v>
      </c>
      <c r="AI53" s="228"/>
      <c r="AJ53" s="228"/>
      <c r="AK53" s="228"/>
      <c r="AL53" s="228"/>
      <c r="AM53" s="228"/>
      <c r="AN53" s="228"/>
      <c r="AO53" s="228"/>
      <c r="AP53" s="228"/>
    </row>
    <row r="54" spans="1:42" s="48" customFormat="1" x14ac:dyDescent="0.2">
      <c r="A54" s="209"/>
      <c r="B54" s="8"/>
      <c r="C54" s="8"/>
      <c r="D54" s="8"/>
      <c r="E54" s="8"/>
      <c r="F54" s="8"/>
      <c r="G54" s="8"/>
      <c r="H54" s="8"/>
      <c r="I54" s="8"/>
      <c r="J54" s="37"/>
      <c r="K54" s="19">
        <v>0</v>
      </c>
      <c r="L54" s="198" t="s">
        <v>128</v>
      </c>
      <c r="M54" s="198" t="s">
        <v>128</v>
      </c>
      <c r="N54" s="197" t="s">
        <v>128</v>
      </c>
      <c r="O54" s="195">
        <v>1</v>
      </c>
      <c r="P54" s="45" t="s">
        <v>128</v>
      </c>
      <c r="Q54" s="45" t="s">
        <v>128</v>
      </c>
      <c r="R54" s="45" t="s">
        <v>128</v>
      </c>
      <c r="S54" s="45" t="s">
        <v>128</v>
      </c>
      <c r="T54" s="45" t="s">
        <v>128</v>
      </c>
      <c r="U54" s="45" t="s">
        <v>128</v>
      </c>
      <c r="V54" s="45" t="s">
        <v>128</v>
      </c>
      <c r="W54" s="45" t="s">
        <v>128</v>
      </c>
      <c r="X54" s="45" t="s">
        <v>128</v>
      </c>
      <c r="Y54" s="45" t="s">
        <v>128</v>
      </c>
      <c r="Z54" s="45" t="s">
        <v>128</v>
      </c>
      <c r="AA54" s="45" t="s">
        <v>128</v>
      </c>
      <c r="AB54" s="45" t="s">
        <v>128</v>
      </c>
      <c r="AC54" s="107" t="s">
        <v>128</v>
      </c>
      <c r="AD54" s="107" t="s">
        <v>128</v>
      </c>
      <c r="AE54" s="107" t="s">
        <v>128</v>
      </c>
      <c r="AF54" s="107" t="s">
        <v>128</v>
      </c>
      <c r="AG54" s="107" t="s">
        <v>128</v>
      </c>
      <c r="AH54" s="107" t="s">
        <v>128</v>
      </c>
      <c r="AI54" s="228"/>
      <c r="AJ54" s="228"/>
      <c r="AK54" s="228"/>
      <c r="AL54" s="228"/>
      <c r="AM54" s="228"/>
      <c r="AN54" s="228"/>
      <c r="AO54" s="228"/>
      <c r="AP54" s="228"/>
    </row>
    <row r="55" spans="1:42" s="48" customFormat="1" x14ac:dyDescent="0.2">
      <c r="A55" s="22"/>
      <c r="B55" s="22"/>
      <c r="C55" s="22"/>
      <c r="D55" s="22"/>
      <c r="E55" s="22"/>
      <c r="F55" s="22"/>
      <c r="G55" s="22"/>
      <c r="H55" s="22"/>
      <c r="I55" s="22"/>
      <c r="J55" s="36"/>
      <c r="K55" s="19">
        <v>0</v>
      </c>
      <c r="L55" s="198" t="s">
        <v>128</v>
      </c>
      <c r="M55" s="198" t="s">
        <v>128</v>
      </c>
      <c r="N55" s="197" t="s">
        <v>128</v>
      </c>
      <c r="O55" s="195">
        <v>1</v>
      </c>
      <c r="P55" s="45" t="s">
        <v>128</v>
      </c>
      <c r="Q55" s="45" t="s">
        <v>128</v>
      </c>
      <c r="R55" s="45" t="s">
        <v>128</v>
      </c>
      <c r="S55" s="45" t="s">
        <v>128</v>
      </c>
      <c r="T55" s="45" t="s">
        <v>128</v>
      </c>
      <c r="U55" s="45" t="s">
        <v>128</v>
      </c>
      <c r="V55" s="45" t="s">
        <v>128</v>
      </c>
      <c r="W55" s="45" t="s">
        <v>128</v>
      </c>
      <c r="X55" s="45" t="s">
        <v>128</v>
      </c>
      <c r="Y55" s="45" t="s">
        <v>128</v>
      </c>
      <c r="Z55" s="45" t="s">
        <v>128</v>
      </c>
      <c r="AA55" s="45" t="s">
        <v>128</v>
      </c>
      <c r="AB55" s="45" t="s">
        <v>128</v>
      </c>
      <c r="AC55" s="107" t="s">
        <v>128</v>
      </c>
      <c r="AD55" s="107" t="s">
        <v>128</v>
      </c>
      <c r="AE55" s="107" t="s">
        <v>128</v>
      </c>
      <c r="AF55" s="107" t="s">
        <v>128</v>
      </c>
      <c r="AG55" s="107" t="s">
        <v>128</v>
      </c>
      <c r="AH55" s="107" t="s">
        <v>128</v>
      </c>
      <c r="AI55" s="228"/>
      <c r="AJ55" s="228"/>
      <c r="AK55" s="228"/>
      <c r="AL55" s="228"/>
      <c r="AM55" s="228"/>
      <c r="AN55" s="228"/>
      <c r="AO55" s="228"/>
      <c r="AP55" s="228"/>
    </row>
    <row r="56" spans="1:42" s="48" customFormat="1" x14ac:dyDescent="0.2">
      <c r="A56" s="209"/>
      <c r="B56" s="8"/>
      <c r="C56" s="8"/>
      <c r="D56" s="8"/>
      <c r="E56" s="8"/>
      <c r="F56" s="8"/>
      <c r="G56" s="8"/>
      <c r="H56" s="8"/>
      <c r="I56" s="8"/>
      <c r="J56" s="37"/>
      <c r="K56" s="19">
        <v>0</v>
      </c>
      <c r="L56" s="198" t="s">
        <v>128</v>
      </c>
      <c r="M56" s="198" t="s">
        <v>128</v>
      </c>
      <c r="N56" s="197" t="s">
        <v>128</v>
      </c>
      <c r="O56" s="195">
        <v>1</v>
      </c>
      <c r="P56" s="45" t="s">
        <v>128</v>
      </c>
      <c r="Q56" s="45" t="s">
        <v>128</v>
      </c>
      <c r="R56" s="45" t="s">
        <v>128</v>
      </c>
      <c r="S56" s="45" t="s">
        <v>128</v>
      </c>
      <c r="T56" s="45" t="s">
        <v>128</v>
      </c>
      <c r="U56" s="45" t="s">
        <v>128</v>
      </c>
      <c r="V56" s="45" t="s">
        <v>128</v>
      </c>
      <c r="W56" s="45" t="s">
        <v>128</v>
      </c>
      <c r="X56" s="45" t="s">
        <v>128</v>
      </c>
      <c r="Y56" s="45" t="s">
        <v>128</v>
      </c>
      <c r="Z56" s="45" t="s">
        <v>128</v>
      </c>
      <c r="AA56" s="45" t="s">
        <v>128</v>
      </c>
      <c r="AB56" s="45" t="s">
        <v>128</v>
      </c>
      <c r="AC56" s="107" t="s">
        <v>128</v>
      </c>
      <c r="AD56" s="107" t="s">
        <v>128</v>
      </c>
      <c r="AE56" s="107" t="s">
        <v>128</v>
      </c>
      <c r="AF56" s="107" t="s">
        <v>128</v>
      </c>
      <c r="AG56" s="107" t="s">
        <v>128</v>
      </c>
      <c r="AH56" s="107" t="s">
        <v>128</v>
      </c>
      <c r="AI56" s="228"/>
      <c r="AJ56" s="228"/>
      <c r="AK56" s="228"/>
      <c r="AL56" s="228"/>
      <c r="AM56" s="228"/>
      <c r="AN56" s="228"/>
      <c r="AO56" s="228"/>
      <c r="AP56" s="228"/>
    </row>
    <row r="57" spans="1:42" s="48" customFormat="1" x14ac:dyDescent="0.2">
      <c r="A57" s="22"/>
      <c r="B57" s="22"/>
      <c r="C57" s="22"/>
      <c r="D57" s="22"/>
      <c r="E57" s="22"/>
      <c r="F57" s="22"/>
      <c r="G57" s="22"/>
      <c r="H57" s="22"/>
      <c r="I57" s="22"/>
      <c r="J57" s="36"/>
      <c r="K57" s="19">
        <v>0</v>
      </c>
      <c r="L57" s="198" t="s">
        <v>128</v>
      </c>
      <c r="M57" s="198" t="s">
        <v>128</v>
      </c>
      <c r="N57" s="197" t="s">
        <v>128</v>
      </c>
      <c r="O57" s="195">
        <v>1</v>
      </c>
      <c r="P57" s="45" t="s">
        <v>128</v>
      </c>
      <c r="Q57" s="45" t="s">
        <v>128</v>
      </c>
      <c r="R57" s="45" t="s">
        <v>128</v>
      </c>
      <c r="S57" s="45" t="s">
        <v>128</v>
      </c>
      <c r="T57" s="45" t="s">
        <v>128</v>
      </c>
      <c r="U57" s="45" t="s">
        <v>128</v>
      </c>
      <c r="V57" s="45" t="s">
        <v>128</v>
      </c>
      <c r="W57" s="45" t="s">
        <v>128</v>
      </c>
      <c r="X57" s="45" t="s">
        <v>128</v>
      </c>
      <c r="Y57" s="45" t="s">
        <v>128</v>
      </c>
      <c r="Z57" s="45" t="s">
        <v>128</v>
      </c>
      <c r="AA57" s="45" t="s">
        <v>128</v>
      </c>
      <c r="AB57" s="45" t="s">
        <v>128</v>
      </c>
      <c r="AC57" s="107" t="s">
        <v>128</v>
      </c>
      <c r="AD57" s="107" t="s">
        <v>128</v>
      </c>
      <c r="AE57" s="107" t="s">
        <v>128</v>
      </c>
      <c r="AF57" s="107" t="s">
        <v>128</v>
      </c>
      <c r="AG57" s="107" t="s">
        <v>128</v>
      </c>
      <c r="AH57" s="107" t="s">
        <v>128</v>
      </c>
      <c r="AI57" s="228"/>
      <c r="AJ57" s="228"/>
      <c r="AK57" s="228"/>
      <c r="AL57" s="228"/>
      <c r="AM57" s="228"/>
      <c r="AN57" s="228"/>
      <c r="AO57" s="228"/>
      <c r="AP57" s="228"/>
    </row>
    <row r="58" spans="1:42" s="48" customFormat="1" x14ac:dyDescent="0.2">
      <c r="A58" s="209"/>
      <c r="B58" s="8"/>
      <c r="C58" s="8"/>
      <c r="D58" s="8"/>
      <c r="E58" s="8"/>
      <c r="F58" s="8"/>
      <c r="G58" s="8"/>
      <c r="H58" s="8"/>
      <c r="I58" s="8"/>
      <c r="J58" s="37"/>
      <c r="K58" s="19">
        <v>0</v>
      </c>
      <c r="L58" s="198" t="s">
        <v>128</v>
      </c>
      <c r="M58" s="198" t="s">
        <v>128</v>
      </c>
      <c r="N58" s="197" t="s">
        <v>128</v>
      </c>
      <c r="O58" s="195">
        <v>1</v>
      </c>
      <c r="P58" s="45" t="s">
        <v>128</v>
      </c>
      <c r="Q58" s="45" t="s">
        <v>128</v>
      </c>
      <c r="R58" s="45" t="s">
        <v>128</v>
      </c>
      <c r="S58" s="45" t="s">
        <v>128</v>
      </c>
      <c r="T58" s="45" t="s">
        <v>128</v>
      </c>
      <c r="U58" s="45" t="s">
        <v>128</v>
      </c>
      <c r="V58" s="45" t="s">
        <v>128</v>
      </c>
      <c r="W58" s="45" t="s">
        <v>128</v>
      </c>
      <c r="X58" s="45" t="s">
        <v>128</v>
      </c>
      <c r="Y58" s="45" t="s">
        <v>128</v>
      </c>
      <c r="Z58" s="45" t="s">
        <v>128</v>
      </c>
      <c r="AA58" s="45" t="s">
        <v>128</v>
      </c>
      <c r="AB58" s="45" t="s">
        <v>128</v>
      </c>
      <c r="AC58" s="107" t="s">
        <v>128</v>
      </c>
      <c r="AD58" s="107" t="s">
        <v>128</v>
      </c>
      <c r="AE58" s="107" t="s">
        <v>128</v>
      </c>
      <c r="AF58" s="107" t="s">
        <v>128</v>
      </c>
      <c r="AG58" s="107" t="s">
        <v>128</v>
      </c>
      <c r="AH58" s="107" t="s">
        <v>128</v>
      </c>
      <c r="AI58" s="228"/>
      <c r="AJ58" s="228"/>
      <c r="AK58" s="228"/>
      <c r="AL58" s="228"/>
      <c r="AM58" s="228"/>
      <c r="AN58" s="228"/>
      <c r="AO58" s="228"/>
      <c r="AP58" s="228"/>
    </row>
    <row r="59" spans="1:42" s="48" customFormat="1" x14ac:dyDescent="0.2">
      <c r="A59" s="22"/>
      <c r="B59" s="22"/>
      <c r="C59" s="22"/>
      <c r="D59" s="22"/>
      <c r="E59" s="22"/>
      <c r="F59" s="22"/>
      <c r="G59" s="22"/>
      <c r="H59" s="22"/>
      <c r="I59" s="22"/>
      <c r="J59" s="36"/>
      <c r="K59" s="19">
        <v>0</v>
      </c>
      <c r="L59" s="198" t="s">
        <v>128</v>
      </c>
      <c r="M59" s="198" t="s">
        <v>128</v>
      </c>
      <c r="N59" s="197" t="s">
        <v>128</v>
      </c>
      <c r="O59" s="195">
        <v>1</v>
      </c>
      <c r="P59" s="45" t="s">
        <v>128</v>
      </c>
      <c r="Q59" s="45" t="s">
        <v>128</v>
      </c>
      <c r="R59" s="45" t="s">
        <v>128</v>
      </c>
      <c r="S59" s="45" t="s">
        <v>128</v>
      </c>
      <c r="T59" s="45" t="s">
        <v>128</v>
      </c>
      <c r="U59" s="45" t="s">
        <v>128</v>
      </c>
      <c r="V59" s="45" t="s">
        <v>128</v>
      </c>
      <c r="W59" s="45" t="s">
        <v>128</v>
      </c>
      <c r="X59" s="45" t="s">
        <v>128</v>
      </c>
      <c r="Y59" s="45" t="s">
        <v>128</v>
      </c>
      <c r="Z59" s="45" t="s">
        <v>128</v>
      </c>
      <c r="AA59" s="45" t="s">
        <v>128</v>
      </c>
      <c r="AB59" s="45" t="s">
        <v>128</v>
      </c>
      <c r="AC59" s="107" t="s">
        <v>128</v>
      </c>
      <c r="AD59" s="107" t="s">
        <v>128</v>
      </c>
      <c r="AE59" s="107" t="s">
        <v>128</v>
      </c>
      <c r="AF59" s="107" t="s">
        <v>128</v>
      </c>
      <c r="AG59" s="107" t="s">
        <v>128</v>
      </c>
      <c r="AH59" s="107" t="s">
        <v>128</v>
      </c>
      <c r="AI59" s="228"/>
      <c r="AJ59" s="228"/>
      <c r="AK59" s="228"/>
      <c r="AL59" s="228"/>
      <c r="AM59" s="228"/>
      <c r="AN59" s="228"/>
      <c r="AO59" s="228"/>
      <c r="AP59" s="228"/>
    </row>
    <row r="60" spans="1:42" s="48" customFormat="1" x14ac:dyDescent="0.2">
      <c r="A60" s="209"/>
      <c r="B60" s="8"/>
      <c r="C60" s="8"/>
      <c r="D60" s="8"/>
      <c r="E60" s="8"/>
      <c r="F60" s="8"/>
      <c r="G60" s="8"/>
      <c r="H60" s="8"/>
      <c r="I60" s="8"/>
      <c r="J60" s="37"/>
      <c r="K60" s="19">
        <v>0</v>
      </c>
      <c r="L60" s="198" t="s">
        <v>128</v>
      </c>
      <c r="M60" s="198" t="s">
        <v>128</v>
      </c>
      <c r="N60" s="197" t="s">
        <v>128</v>
      </c>
      <c r="O60" s="195">
        <v>1</v>
      </c>
      <c r="P60" s="45" t="s">
        <v>128</v>
      </c>
      <c r="Q60" s="45" t="s">
        <v>128</v>
      </c>
      <c r="R60" s="45" t="s">
        <v>128</v>
      </c>
      <c r="S60" s="45" t="s">
        <v>128</v>
      </c>
      <c r="T60" s="45" t="s">
        <v>128</v>
      </c>
      <c r="U60" s="45" t="s">
        <v>128</v>
      </c>
      <c r="V60" s="45" t="s">
        <v>128</v>
      </c>
      <c r="W60" s="45" t="s">
        <v>128</v>
      </c>
      <c r="X60" s="45" t="s">
        <v>128</v>
      </c>
      <c r="Y60" s="45" t="s">
        <v>128</v>
      </c>
      <c r="Z60" s="45" t="s">
        <v>128</v>
      </c>
      <c r="AA60" s="45" t="s">
        <v>128</v>
      </c>
      <c r="AB60" s="45" t="s">
        <v>128</v>
      </c>
      <c r="AC60" s="107" t="s">
        <v>128</v>
      </c>
      <c r="AD60" s="107" t="s">
        <v>128</v>
      </c>
      <c r="AE60" s="107" t="s">
        <v>128</v>
      </c>
      <c r="AF60" s="107" t="s">
        <v>128</v>
      </c>
      <c r="AG60" s="107" t="s">
        <v>128</v>
      </c>
      <c r="AH60" s="107" t="s">
        <v>128</v>
      </c>
      <c r="AI60" s="228"/>
      <c r="AJ60" s="228"/>
      <c r="AK60" s="228"/>
      <c r="AL60" s="228"/>
      <c r="AM60" s="228"/>
      <c r="AN60" s="228"/>
      <c r="AO60" s="228"/>
      <c r="AP60" s="228"/>
    </row>
    <row r="61" spans="1:42" s="48" customFormat="1" x14ac:dyDescent="0.2">
      <c r="A61" s="22"/>
      <c r="B61" s="22"/>
      <c r="C61" s="22"/>
      <c r="D61" s="22"/>
      <c r="E61" s="22"/>
      <c r="F61" s="22"/>
      <c r="G61" s="22"/>
      <c r="H61" s="22"/>
      <c r="I61" s="22"/>
      <c r="J61" s="36"/>
      <c r="K61" s="19">
        <v>0</v>
      </c>
      <c r="L61" s="198" t="s">
        <v>128</v>
      </c>
      <c r="M61" s="198" t="s">
        <v>128</v>
      </c>
      <c r="N61" s="197" t="s">
        <v>128</v>
      </c>
      <c r="O61" s="195">
        <v>1</v>
      </c>
      <c r="P61" s="45" t="s">
        <v>128</v>
      </c>
      <c r="Q61" s="45" t="s">
        <v>128</v>
      </c>
      <c r="R61" s="45" t="s">
        <v>128</v>
      </c>
      <c r="S61" s="45" t="s">
        <v>128</v>
      </c>
      <c r="T61" s="45" t="s">
        <v>128</v>
      </c>
      <c r="U61" s="45" t="s">
        <v>128</v>
      </c>
      <c r="V61" s="45" t="s">
        <v>128</v>
      </c>
      <c r="W61" s="45" t="s">
        <v>128</v>
      </c>
      <c r="X61" s="45" t="s">
        <v>128</v>
      </c>
      <c r="Y61" s="45" t="s">
        <v>128</v>
      </c>
      <c r="Z61" s="45" t="s">
        <v>128</v>
      </c>
      <c r="AA61" s="45" t="s">
        <v>128</v>
      </c>
      <c r="AB61" s="45" t="s">
        <v>128</v>
      </c>
      <c r="AC61" s="107" t="s">
        <v>128</v>
      </c>
      <c r="AD61" s="107" t="s">
        <v>128</v>
      </c>
      <c r="AE61" s="107" t="s">
        <v>128</v>
      </c>
      <c r="AF61" s="107" t="s">
        <v>128</v>
      </c>
      <c r="AG61" s="107" t="s">
        <v>128</v>
      </c>
      <c r="AH61" s="107" t="s">
        <v>128</v>
      </c>
      <c r="AI61" s="228"/>
      <c r="AJ61" s="228"/>
      <c r="AK61" s="228"/>
      <c r="AL61" s="228"/>
      <c r="AM61" s="228"/>
      <c r="AN61" s="228"/>
      <c r="AO61" s="228"/>
      <c r="AP61" s="228"/>
    </row>
    <row r="62" spans="1:42" x14ac:dyDescent="0.2">
      <c r="A62" s="209"/>
      <c r="C62" s="8"/>
      <c r="D62" s="8"/>
      <c r="E62" s="8"/>
      <c r="F62" s="8"/>
      <c r="G62" s="8"/>
      <c r="H62" s="8"/>
      <c r="I62" s="8"/>
      <c r="J62" s="37"/>
      <c r="K62" s="19"/>
      <c r="L62" s="33"/>
      <c r="M62" s="19"/>
      <c r="N62"/>
      <c r="O62"/>
      <c r="P62"/>
      <c r="Q62"/>
      <c r="R62"/>
      <c r="S62"/>
      <c r="T62"/>
      <c r="U62"/>
      <c r="V62"/>
      <c r="W62"/>
      <c r="X62"/>
      <c r="Y62"/>
      <c r="Z62"/>
      <c r="AA62"/>
      <c r="AB62"/>
      <c r="AC62"/>
    </row>
    <row r="63" spans="1:42" s="8" customFormat="1" x14ac:dyDescent="0.2">
      <c r="C63" s="366" t="s">
        <v>83</v>
      </c>
      <c r="D63" s="366"/>
      <c r="E63" s="43" t="s">
        <v>4</v>
      </c>
      <c r="F63" s="1"/>
      <c r="G63" s="1"/>
      <c r="H63" s="285" t="s">
        <v>741</v>
      </c>
      <c r="I63" s="30">
        <f>SUM(O2:O61)</f>
        <v>60</v>
      </c>
      <c r="J63" s="20">
        <f>SUM(J2:J61)</f>
        <v>718480000</v>
      </c>
      <c r="K63" s="24">
        <f>SUM(P63:AH63)</f>
        <v>1</v>
      </c>
      <c r="L63" s="1"/>
      <c r="M63" s="1"/>
      <c r="N63" s="21"/>
      <c r="P63" s="271">
        <v>0.03</v>
      </c>
      <c r="Q63" s="209"/>
      <c r="R63" s="271">
        <v>0.1</v>
      </c>
      <c r="S63" s="209"/>
      <c r="T63" s="436">
        <v>0.3</v>
      </c>
      <c r="U63" s="438"/>
      <c r="V63" s="438"/>
      <c r="W63" s="436">
        <v>0.3</v>
      </c>
      <c r="X63" s="438"/>
      <c r="Y63" s="438"/>
      <c r="Z63" s="436">
        <v>0.1</v>
      </c>
      <c r="AA63" s="438"/>
      <c r="AB63" s="438"/>
      <c r="AC63" s="436">
        <v>0.12</v>
      </c>
      <c r="AD63" s="438"/>
      <c r="AE63" s="438"/>
      <c r="AF63" s="436">
        <v>0.05</v>
      </c>
      <c r="AG63" s="438"/>
      <c r="AH63" s="438"/>
    </row>
    <row r="64" spans="1:42" x14ac:dyDescent="0.2">
      <c r="C64" s="23" t="s">
        <v>24</v>
      </c>
      <c r="D64" s="8">
        <f t="shared" ref="D64:D70" si="0">SUMIF($E$2:$E$61,C64,$O$2:$O$61)</f>
        <v>6</v>
      </c>
      <c r="E64" s="23" t="s">
        <v>29</v>
      </c>
      <c r="F64" s="8">
        <f>SUMIF($C$2:$C$61,E64,$O$2:$O$61)</f>
        <v>5</v>
      </c>
      <c r="M64" s="360" t="s">
        <v>406</v>
      </c>
      <c r="N64" s="360"/>
      <c r="O64" s="360"/>
    </row>
    <row r="65" spans="1:32" s="8" customFormat="1" x14ac:dyDescent="0.2">
      <c r="C65" s="23" t="s">
        <v>66</v>
      </c>
      <c r="D65" s="8">
        <f t="shared" si="0"/>
        <v>1</v>
      </c>
      <c r="E65" s="23" t="s">
        <v>22</v>
      </c>
      <c r="F65" s="8">
        <f t="shared" ref="F65:F66" si="1">SUMIF($C$2:$C$61,E65,$O$2:$O$61)</f>
        <v>13</v>
      </c>
      <c r="G65" s="1"/>
      <c r="H65" s="348" t="s">
        <v>75</v>
      </c>
      <c r="I65" s="348"/>
      <c r="J65" s="20">
        <f>SUMIF(K2:K61,K65,J2:J61)</f>
        <v>0</v>
      </c>
      <c r="K65" s="24">
        <v>1</v>
      </c>
      <c r="L65" s="1"/>
      <c r="M65" s="48"/>
      <c r="N65" s="43">
        <f>SUMIF($K$2:$K$61,K65,$O$2:$O$61)</f>
        <v>1</v>
      </c>
      <c r="O65" s="43"/>
      <c r="P65" s="1"/>
      <c r="Q65" s="1"/>
      <c r="R65" s="1"/>
      <c r="S65" s="1"/>
      <c r="T65" s="1"/>
      <c r="U65" s="1"/>
      <c r="V65" s="1"/>
      <c r="W65" s="1"/>
      <c r="X65" s="1"/>
      <c r="Y65" s="1"/>
      <c r="Z65" s="1"/>
      <c r="AA65" s="1"/>
      <c r="AB65" s="1"/>
      <c r="AC65" s="1"/>
      <c r="AD65" s="43"/>
      <c r="AE65" s="43"/>
      <c r="AF65" s="43"/>
    </row>
    <row r="66" spans="1:32" s="8" customFormat="1" x14ac:dyDescent="0.2">
      <c r="C66" s="1" t="s">
        <v>34</v>
      </c>
      <c r="D66" s="8">
        <f t="shared" si="0"/>
        <v>0</v>
      </c>
      <c r="E66" s="1" t="s">
        <v>735</v>
      </c>
      <c r="F66" s="8">
        <f t="shared" si="1"/>
        <v>3</v>
      </c>
      <c r="G66" s="1"/>
      <c r="H66" s="1" t="s">
        <v>76</v>
      </c>
      <c r="I66" s="39" t="s">
        <v>767</v>
      </c>
      <c r="J66" s="20">
        <f>SUMIF($L$2:$L$61,K66,$J$2:$J$61)</f>
        <v>0</v>
      </c>
      <c r="K66" s="25">
        <v>1</v>
      </c>
      <c r="L66" s="1"/>
      <c r="M66" s="1"/>
      <c r="N66" s="21"/>
      <c r="P66" s="1"/>
      <c r="Q66" s="1"/>
      <c r="R66" s="1"/>
      <c r="S66" s="1"/>
      <c r="T66" s="1"/>
      <c r="U66" s="1"/>
      <c r="V66" s="1"/>
      <c r="W66" s="1"/>
      <c r="X66" s="1"/>
      <c r="Y66" s="1"/>
      <c r="Z66" s="1"/>
      <c r="AA66" s="1"/>
      <c r="AB66" s="1"/>
      <c r="AC66" s="1"/>
      <c r="AD66" s="43"/>
      <c r="AE66" s="43"/>
      <c r="AF66" s="43"/>
    </row>
    <row r="67" spans="1:32" s="8" customFormat="1" x14ac:dyDescent="0.2">
      <c r="C67" s="23" t="s">
        <v>31</v>
      </c>
      <c r="D67" s="8">
        <f t="shared" si="0"/>
        <v>4</v>
      </c>
      <c r="E67" s="1"/>
      <c r="F67" s="1"/>
      <c r="G67" s="1"/>
      <c r="H67" s="1" t="s">
        <v>76</v>
      </c>
      <c r="I67" s="39" t="s">
        <v>768</v>
      </c>
      <c r="J67" s="20">
        <f>SUMIF($L$2:$L$61,K67,$J$2:$J$61)</f>
        <v>0</v>
      </c>
      <c r="K67" s="25">
        <v>2</v>
      </c>
      <c r="L67" s="1"/>
      <c r="M67" s="1"/>
      <c r="N67" s="21"/>
      <c r="P67" s="1"/>
      <c r="Q67" s="1"/>
      <c r="R67" s="1"/>
      <c r="S67" s="1"/>
      <c r="T67" s="1"/>
      <c r="U67" s="1"/>
      <c r="V67" s="1"/>
      <c r="W67" s="1"/>
      <c r="X67" s="1"/>
      <c r="Y67" s="1"/>
      <c r="Z67" s="1"/>
      <c r="AA67" s="1"/>
      <c r="AB67" s="1"/>
      <c r="AC67" s="1"/>
      <c r="AD67" s="43"/>
      <c r="AE67" s="43"/>
      <c r="AF67" s="43"/>
    </row>
    <row r="68" spans="1:32" s="8" customFormat="1" x14ac:dyDescent="0.2">
      <c r="C68" s="23" t="s">
        <v>85</v>
      </c>
      <c r="D68" s="8">
        <f t="shared" si="0"/>
        <v>0</v>
      </c>
      <c r="E68" s="1"/>
      <c r="F68" s="1"/>
      <c r="G68" s="1"/>
      <c r="H68" s="1" t="s">
        <v>76</v>
      </c>
      <c r="I68" s="39" t="s">
        <v>791</v>
      </c>
      <c r="J68" s="20">
        <f>SUMIF($L$2:$L$61,K68,$J$2:$J$61)</f>
        <v>0</v>
      </c>
      <c r="K68" s="25">
        <v>3</v>
      </c>
      <c r="L68" s="1"/>
      <c r="M68" s="1"/>
      <c r="N68" s="21"/>
      <c r="P68" s="1"/>
      <c r="Q68" s="1"/>
      <c r="R68" s="1"/>
      <c r="S68" s="1"/>
      <c r="T68" s="1"/>
      <c r="U68" s="1"/>
      <c r="V68" s="1"/>
      <c r="W68" s="1"/>
      <c r="X68" s="1"/>
      <c r="Y68" s="1"/>
      <c r="Z68" s="1"/>
      <c r="AA68" s="1"/>
      <c r="AB68" s="1"/>
      <c r="AC68" s="1"/>
      <c r="AD68" s="43"/>
      <c r="AE68" s="43"/>
      <c r="AF68" s="43"/>
    </row>
    <row r="69" spans="1:32" s="8" customFormat="1" x14ac:dyDescent="0.2">
      <c r="C69" s="23" t="s">
        <v>46</v>
      </c>
      <c r="D69" s="8">
        <f t="shared" si="0"/>
        <v>0</v>
      </c>
      <c r="E69" s="1"/>
      <c r="F69" s="1"/>
      <c r="G69" s="1"/>
      <c r="H69" s="1" t="s">
        <v>76</v>
      </c>
      <c r="I69" s="39" t="s">
        <v>792</v>
      </c>
      <c r="J69" s="20">
        <f>SUMIF($L$2:$L$61,K69,$J$2:$J$61)</f>
        <v>0</v>
      </c>
      <c r="K69" s="25">
        <v>4</v>
      </c>
      <c r="L69" s="1"/>
      <c r="M69" s="1"/>
      <c r="N69" s="21"/>
      <c r="P69" s="1"/>
      <c r="Q69" s="1"/>
      <c r="R69" s="1"/>
      <c r="S69" s="1"/>
      <c r="T69" s="1"/>
      <c r="U69" s="1"/>
      <c r="V69" s="1"/>
      <c r="W69" s="1"/>
      <c r="X69" s="1"/>
      <c r="Y69" s="1"/>
      <c r="Z69" s="1"/>
      <c r="AA69" s="1"/>
      <c r="AB69" s="1"/>
      <c r="AC69" s="1"/>
      <c r="AD69" s="43"/>
      <c r="AE69" s="43"/>
      <c r="AF69" s="43"/>
    </row>
    <row r="70" spans="1:32" x14ac:dyDescent="0.2">
      <c r="C70" s="23" t="s">
        <v>38</v>
      </c>
      <c r="D70" s="8">
        <f t="shared" si="0"/>
        <v>8</v>
      </c>
      <c r="H70" s="1" t="s">
        <v>76</v>
      </c>
      <c r="I70" s="39" t="s">
        <v>793</v>
      </c>
      <c r="J70" s="20">
        <f>SUMIF($L$2:$L$61,K70,$J$2:$J$61)</f>
        <v>0</v>
      </c>
      <c r="K70" s="25">
        <v>5</v>
      </c>
    </row>
    <row r="71" spans="1:32" x14ac:dyDescent="0.2">
      <c r="I71" s="2"/>
      <c r="J71" s="290"/>
      <c r="K71" s="25"/>
    </row>
    <row r="72" spans="1:32" x14ac:dyDescent="0.2">
      <c r="C72" s="23"/>
      <c r="D72" s="8"/>
      <c r="I72" s="2"/>
      <c r="J72" s="290"/>
      <c r="K72" s="25"/>
    </row>
    <row r="73" spans="1:32" x14ac:dyDescent="0.2">
      <c r="L73" s="33"/>
    </row>
    <row r="74" spans="1:32" x14ac:dyDescent="0.2">
      <c r="C74" s="3" t="s">
        <v>157</v>
      </c>
      <c r="D74" s="8">
        <f>SUM(D64:D73)</f>
        <v>19</v>
      </c>
      <c r="E74" s="3" t="s">
        <v>157</v>
      </c>
      <c r="F74" s="8">
        <f>SUM(F64:F73)</f>
        <v>21</v>
      </c>
    </row>
    <row r="75" spans="1:32" s="57" customFormat="1" ht="29.25" customHeight="1" x14ac:dyDescent="0.2">
      <c r="A75" s="383" t="s">
        <v>158</v>
      </c>
      <c r="B75" s="383"/>
      <c r="C75" s="383"/>
      <c r="I75" s="58" t="s">
        <v>159</v>
      </c>
      <c r="J75" s="58" t="s">
        <v>160</v>
      </c>
      <c r="N75" s="59"/>
      <c r="O75" s="7"/>
      <c r="AD75" s="60"/>
      <c r="AE75" s="60"/>
      <c r="AF75" s="60"/>
    </row>
    <row r="76" spans="1:32" x14ac:dyDescent="0.2">
      <c r="A76" s="286">
        <v>44896</v>
      </c>
      <c r="B76" s="287" t="s">
        <v>163</v>
      </c>
      <c r="C76" s="353"/>
      <c r="D76" s="353"/>
      <c r="E76" s="353"/>
      <c r="F76" s="353"/>
      <c r="G76" s="353"/>
      <c r="H76" s="353"/>
      <c r="I76" s="51"/>
      <c r="J76" s="51"/>
    </row>
    <row r="77" spans="1:32" x14ac:dyDescent="0.2">
      <c r="A77" s="49">
        <f>+A76+1</f>
        <v>44897</v>
      </c>
      <c r="B77" s="50" t="s">
        <v>164</v>
      </c>
      <c r="C77" s="353"/>
      <c r="D77" s="353"/>
      <c r="E77" s="353"/>
      <c r="F77" s="353"/>
      <c r="G77" s="353"/>
      <c r="H77" s="353"/>
      <c r="I77" s="51"/>
      <c r="J77" s="51"/>
    </row>
    <row r="78" spans="1:32" x14ac:dyDescent="0.2">
      <c r="A78" s="49">
        <f t="shared" ref="A78:A106" si="2">+A77+1</f>
        <v>44898</v>
      </c>
      <c r="B78" s="50" t="s">
        <v>165</v>
      </c>
      <c r="C78" s="353"/>
      <c r="D78" s="353"/>
      <c r="E78" s="353"/>
      <c r="F78" s="353"/>
      <c r="G78" s="353"/>
      <c r="H78" s="353"/>
      <c r="I78" s="51"/>
      <c r="J78" s="51"/>
    </row>
    <row r="79" spans="1:32" x14ac:dyDescent="0.2">
      <c r="A79" s="49">
        <f t="shared" si="2"/>
        <v>44899</v>
      </c>
      <c r="B79" s="50" t="s">
        <v>166</v>
      </c>
      <c r="C79" s="353"/>
      <c r="D79" s="353"/>
      <c r="E79" s="353"/>
      <c r="F79" s="353"/>
      <c r="G79" s="353"/>
      <c r="H79" s="353"/>
      <c r="I79" s="51"/>
      <c r="J79" s="51"/>
    </row>
    <row r="80" spans="1:32" x14ac:dyDescent="0.2">
      <c r="A80" s="49">
        <f t="shared" si="2"/>
        <v>44900</v>
      </c>
      <c r="B80" s="50" t="s">
        <v>167</v>
      </c>
      <c r="C80" s="353"/>
      <c r="D80" s="353"/>
      <c r="E80" s="353"/>
      <c r="F80" s="353"/>
      <c r="G80" s="353"/>
      <c r="H80" s="353"/>
      <c r="I80" s="51"/>
      <c r="J80" s="51"/>
    </row>
    <row r="81" spans="1:10" x14ac:dyDescent="0.2">
      <c r="A81" s="49">
        <f t="shared" si="2"/>
        <v>44901</v>
      </c>
      <c r="B81" s="50" t="s">
        <v>161</v>
      </c>
      <c r="C81" s="353"/>
      <c r="D81" s="353"/>
      <c r="E81" s="353"/>
      <c r="F81" s="353"/>
      <c r="G81" s="353"/>
      <c r="H81" s="353"/>
      <c r="I81" s="51"/>
      <c r="J81" s="51"/>
    </row>
    <row r="82" spans="1:10" x14ac:dyDescent="0.2">
      <c r="A82" s="49">
        <f t="shared" si="2"/>
        <v>44902</v>
      </c>
      <c r="B82" s="50" t="s">
        <v>162</v>
      </c>
      <c r="C82" s="353"/>
      <c r="D82" s="353"/>
      <c r="E82" s="353"/>
      <c r="F82" s="353"/>
      <c r="G82" s="353"/>
      <c r="H82" s="353"/>
      <c r="I82" s="51"/>
      <c r="J82" s="51"/>
    </row>
    <row r="83" spans="1:10" x14ac:dyDescent="0.2">
      <c r="A83" s="61">
        <f t="shared" si="2"/>
        <v>44903</v>
      </c>
      <c r="B83" s="62" t="s">
        <v>163</v>
      </c>
      <c r="C83" s="429"/>
      <c r="D83" s="429"/>
      <c r="E83" s="429"/>
      <c r="F83" s="429"/>
      <c r="G83" s="429"/>
      <c r="H83" s="429"/>
      <c r="I83" s="63"/>
      <c r="J83" s="63"/>
    </row>
    <row r="84" spans="1:10" x14ac:dyDescent="0.2">
      <c r="A84" s="49">
        <f t="shared" si="2"/>
        <v>44904</v>
      </c>
      <c r="B84" s="50" t="s">
        <v>164</v>
      </c>
      <c r="C84" s="353"/>
      <c r="D84" s="353"/>
      <c r="E84" s="353"/>
      <c r="F84" s="353"/>
      <c r="G84" s="353"/>
      <c r="H84" s="353"/>
      <c r="I84" s="51"/>
      <c r="J84" s="51"/>
    </row>
    <row r="85" spans="1:10" x14ac:dyDescent="0.2">
      <c r="A85" s="49">
        <f t="shared" si="2"/>
        <v>44905</v>
      </c>
      <c r="B85" s="50" t="s">
        <v>165</v>
      </c>
      <c r="C85" s="353"/>
      <c r="D85" s="353"/>
      <c r="E85" s="353"/>
      <c r="F85" s="353"/>
      <c r="G85" s="353"/>
      <c r="H85" s="353"/>
      <c r="I85" s="51"/>
      <c r="J85" s="51"/>
    </row>
    <row r="86" spans="1:10" x14ac:dyDescent="0.2">
      <c r="A86" s="49">
        <f t="shared" si="2"/>
        <v>44906</v>
      </c>
      <c r="B86" s="50" t="s">
        <v>166</v>
      </c>
      <c r="C86" s="353"/>
      <c r="D86" s="353"/>
      <c r="E86" s="353"/>
      <c r="F86" s="353"/>
      <c r="G86" s="353"/>
      <c r="H86" s="353"/>
      <c r="I86" s="51"/>
      <c r="J86" s="51"/>
    </row>
    <row r="87" spans="1:10" x14ac:dyDescent="0.2">
      <c r="A87" s="49">
        <f t="shared" si="2"/>
        <v>44907</v>
      </c>
      <c r="B87" s="50" t="s">
        <v>167</v>
      </c>
      <c r="C87" s="353"/>
      <c r="D87" s="353"/>
      <c r="E87" s="353"/>
      <c r="F87" s="353"/>
      <c r="G87" s="353"/>
      <c r="H87" s="353"/>
      <c r="I87" s="51"/>
      <c r="J87" s="51"/>
    </row>
    <row r="88" spans="1:10" x14ac:dyDescent="0.2">
      <c r="A88" s="49">
        <f t="shared" si="2"/>
        <v>44908</v>
      </c>
      <c r="B88" s="50" t="s">
        <v>161</v>
      </c>
      <c r="C88" s="353"/>
      <c r="D88" s="353"/>
      <c r="E88" s="353"/>
      <c r="F88" s="353"/>
      <c r="G88" s="353"/>
      <c r="H88" s="353"/>
      <c r="I88" s="51"/>
      <c r="J88" s="51"/>
    </row>
    <row r="89" spans="1:10" x14ac:dyDescent="0.2">
      <c r="A89" s="49">
        <f t="shared" si="2"/>
        <v>44909</v>
      </c>
      <c r="B89" s="50" t="s">
        <v>162</v>
      </c>
      <c r="C89" s="353"/>
      <c r="D89" s="353"/>
      <c r="E89" s="353"/>
      <c r="F89" s="353"/>
      <c r="G89" s="353"/>
      <c r="H89" s="353"/>
      <c r="I89" s="51"/>
      <c r="J89" s="51"/>
    </row>
    <row r="90" spans="1:10" x14ac:dyDescent="0.2">
      <c r="A90" s="49">
        <f t="shared" si="2"/>
        <v>44910</v>
      </c>
      <c r="B90" s="50" t="s">
        <v>163</v>
      </c>
      <c r="C90" s="353"/>
      <c r="D90" s="353"/>
      <c r="E90" s="353"/>
      <c r="F90" s="353"/>
      <c r="G90" s="353"/>
      <c r="H90" s="353"/>
      <c r="I90" s="51"/>
      <c r="J90" s="51"/>
    </row>
    <row r="91" spans="1:10" x14ac:dyDescent="0.2">
      <c r="A91" s="49">
        <f t="shared" si="2"/>
        <v>44911</v>
      </c>
      <c r="B91" s="50" t="s">
        <v>164</v>
      </c>
      <c r="C91" s="353"/>
      <c r="D91" s="353"/>
      <c r="E91" s="353"/>
      <c r="F91" s="353"/>
      <c r="G91" s="353"/>
      <c r="H91" s="353"/>
      <c r="I91" s="51"/>
      <c r="J91" s="51"/>
    </row>
    <row r="92" spans="1:10" x14ac:dyDescent="0.2">
      <c r="A92" s="49">
        <f t="shared" si="2"/>
        <v>44912</v>
      </c>
      <c r="B92" s="50" t="s">
        <v>165</v>
      </c>
      <c r="C92" s="353"/>
      <c r="D92" s="353"/>
      <c r="E92" s="353"/>
      <c r="F92" s="353"/>
      <c r="G92" s="353"/>
      <c r="H92" s="353"/>
      <c r="I92" s="51"/>
      <c r="J92" s="51"/>
    </row>
    <row r="93" spans="1:10" x14ac:dyDescent="0.2">
      <c r="A93" s="49">
        <f t="shared" si="2"/>
        <v>44913</v>
      </c>
      <c r="B93" s="50" t="s">
        <v>166</v>
      </c>
      <c r="C93" s="353"/>
      <c r="D93" s="353"/>
      <c r="E93" s="353"/>
      <c r="F93" s="353"/>
      <c r="G93" s="353"/>
      <c r="H93" s="353"/>
      <c r="I93" s="51"/>
      <c r="J93" s="51"/>
    </row>
    <row r="94" spans="1:10" x14ac:dyDescent="0.2">
      <c r="A94" s="49">
        <f t="shared" si="2"/>
        <v>44914</v>
      </c>
      <c r="B94" s="50" t="s">
        <v>167</v>
      </c>
      <c r="C94" s="353"/>
      <c r="D94" s="353"/>
      <c r="E94" s="353"/>
      <c r="F94" s="353"/>
      <c r="G94" s="353"/>
      <c r="H94" s="353"/>
      <c r="I94" s="51"/>
      <c r="J94" s="51"/>
    </row>
    <row r="95" spans="1:10" x14ac:dyDescent="0.2">
      <c r="A95" s="49">
        <f t="shared" si="2"/>
        <v>44915</v>
      </c>
      <c r="B95" s="50" t="s">
        <v>161</v>
      </c>
      <c r="C95" s="353"/>
      <c r="D95" s="353"/>
      <c r="E95" s="353"/>
      <c r="F95" s="353"/>
      <c r="G95" s="353"/>
      <c r="H95" s="353"/>
      <c r="I95" s="51"/>
      <c r="J95" s="51"/>
    </row>
    <row r="96" spans="1:10" x14ac:dyDescent="0.2">
      <c r="A96" s="49">
        <f t="shared" si="2"/>
        <v>44916</v>
      </c>
      <c r="B96" s="50" t="s">
        <v>162</v>
      </c>
      <c r="C96" s="353"/>
      <c r="D96" s="353"/>
      <c r="E96" s="353"/>
      <c r="F96" s="353"/>
      <c r="G96" s="353"/>
      <c r="H96" s="353"/>
      <c r="I96" s="51"/>
      <c r="J96" s="51"/>
    </row>
    <row r="97" spans="1:21" x14ac:dyDescent="0.2">
      <c r="A97" s="49">
        <f t="shared" si="2"/>
        <v>44917</v>
      </c>
      <c r="B97" s="50" t="s">
        <v>163</v>
      </c>
      <c r="C97" s="353"/>
      <c r="D97" s="353"/>
      <c r="E97" s="353"/>
      <c r="F97" s="353"/>
      <c r="G97" s="353"/>
      <c r="H97" s="353"/>
      <c r="I97" s="51"/>
      <c r="J97" s="51"/>
    </row>
    <row r="98" spans="1:21" x14ac:dyDescent="0.2">
      <c r="A98" s="49">
        <f t="shared" si="2"/>
        <v>44918</v>
      </c>
      <c r="B98" s="50" t="s">
        <v>164</v>
      </c>
      <c r="C98" s="353"/>
      <c r="D98" s="353"/>
      <c r="E98" s="353"/>
      <c r="F98" s="353"/>
      <c r="G98" s="353"/>
      <c r="H98" s="353"/>
      <c r="I98" s="51"/>
      <c r="J98" s="51"/>
    </row>
    <row r="99" spans="1:21" x14ac:dyDescent="0.2">
      <c r="A99" s="49">
        <f t="shared" si="2"/>
        <v>44919</v>
      </c>
      <c r="B99" s="50" t="s">
        <v>165</v>
      </c>
      <c r="C99" s="353"/>
      <c r="D99" s="353"/>
      <c r="E99" s="353"/>
      <c r="F99" s="353"/>
      <c r="G99" s="353"/>
      <c r="H99" s="353"/>
      <c r="I99" s="51"/>
      <c r="J99" s="51"/>
    </row>
    <row r="100" spans="1:21" x14ac:dyDescent="0.2">
      <c r="A100" s="61">
        <f t="shared" si="2"/>
        <v>44920</v>
      </c>
      <c r="B100" s="62" t="s">
        <v>166</v>
      </c>
      <c r="C100" s="429"/>
      <c r="D100" s="429"/>
      <c r="E100" s="429"/>
      <c r="F100" s="429"/>
      <c r="G100" s="429"/>
      <c r="H100" s="429"/>
      <c r="I100" s="63"/>
      <c r="J100" s="63"/>
    </row>
    <row r="101" spans="1:21" x14ac:dyDescent="0.2">
      <c r="A101" s="49">
        <f t="shared" si="2"/>
        <v>44921</v>
      </c>
      <c r="B101" s="50" t="s">
        <v>167</v>
      </c>
      <c r="C101" s="353"/>
      <c r="D101" s="353"/>
      <c r="E101" s="353"/>
      <c r="F101" s="353"/>
      <c r="G101" s="353"/>
      <c r="H101" s="353"/>
      <c r="I101" s="51"/>
      <c r="J101" s="51"/>
    </row>
    <row r="102" spans="1:21" x14ac:dyDescent="0.2">
      <c r="A102" s="49">
        <f t="shared" si="2"/>
        <v>44922</v>
      </c>
      <c r="B102" s="50" t="s">
        <v>161</v>
      </c>
      <c r="C102" s="353"/>
      <c r="D102" s="353"/>
      <c r="E102" s="353"/>
      <c r="F102" s="353"/>
      <c r="G102" s="353"/>
      <c r="H102" s="353"/>
      <c r="I102" s="51"/>
      <c r="J102" s="51"/>
    </row>
    <row r="103" spans="1:21" x14ac:dyDescent="0.2">
      <c r="A103" s="49">
        <f t="shared" si="2"/>
        <v>44923</v>
      </c>
      <c r="B103" s="50" t="s">
        <v>162</v>
      </c>
      <c r="C103" s="353"/>
      <c r="D103" s="353"/>
      <c r="E103" s="353"/>
      <c r="F103" s="353"/>
      <c r="G103" s="353"/>
      <c r="H103" s="353"/>
      <c r="I103" s="51"/>
      <c r="J103" s="51"/>
    </row>
    <row r="104" spans="1:21" x14ac:dyDescent="0.2">
      <c r="A104" s="49">
        <f t="shared" si="2"/>
        <v>44924</v>
      </c>
      <c r="B104" s="50" t="s">
        <v>163</v>
      </c>
      <c r="C104" s="353"/>
      <c r="D104" s="353"/>
      <c r="E104" s="353"/>
      <c r="F104" s="353"/>
      <c r="G104" s="353"/>
      <c r="H104" s="353"/>
      <c r="I104" s="51"/>
      <c r="J104" s="51"/>
    </row>
    <row r="105" spans="1:21" x14ac:dyDescent="0.2">
      <c r="A105" s="49">
        <f t="shared" si="2"/>
        <v>44925</v>
      </c>
      <c r="B105" s="50" t="s">
        <v>164</v>
      </c>
      <c r="C105" s="353"/>
      <c r="D105" s="353"/>
      <c r="E105" s="353"/>
      <c r="F105" s="353"/>
      <c r="G105" s="353"/>
      <c r="H105" s="353"/>
      <c r="I105" s="51"/>
      <c r="J105" s="51"/>
    </row>
    <row r="106" spans="1:21" x14ac:dyDescent="0.2">
      <c r="A106" s="49">
        <f t="shared" si="2"/>
        <v>44926</v>
      </c>
      <c r="B106" s="50" t="s">
        <v>165</v>
      </c>
      <c r="C106" s="353"/>
      <c r="D106" s="353"/>
      <c r="E106" s="353"/>
      <c r="F106" s="353"/>
      <c r="G106" s="353"/>
      <c r="H106" s="353"/>
      <c r="I106" s="51"/>
      <c r="J106" s="51"/>
    </row>
    <row r="107" spans="1:21" x14ac:dyDescent="0.2">
      <c r="A107" s="32"/>
      <c r="I107" s="8"/>
      <c r="J107" s="8"/>
      <c r="R107" s="21"/>
      <c r="S107" s="21"/>
      <c r="T107" s="8"/>
      <c r="U107" s="8"/>
    </row>
    <row r="108" spans="1:21" x14ac:dyDescent="0.2">
      <c r="A108" s="367" t="s">
        <v>207</v>
      </c>
      <c r="B108" s="368"/>
      <c r="C108" s="368"/>
      <c r="D108" s="368"/>
      <c r="I108" s="8"/>
      <c r="J108" s="8"/>
      <c r="R108" s="21"/>
      <c r="S108" s="21"/>
      <c r="T108" s="8"/>
      <c r="U108" s="8"/>
    </row>
    <row r="109" spans="1:21" x14ac:dyDescent="0.2">
      <c r="A109" s="52">
        <f>COUNTIF($I$76:$I$109,B109)</f>
        <v>0</v>
      </c>
      <c r="B109" s="53" t="s">
        <v>208</v>
      </c>
      <c r="C109" s="370" t="s">
        <v>209</v>
      </c>
      <c r="D109" s="370"/>
      <c r="I109" s="8"/>
      <c r="J109" s="8"/>
      <c r="R109" s="21"/>
      <c r="S109" s="21"/>
      <c r="T109" s="8"/>
      <c r="U109" s="8"/>
    </row>
    <row r="110" spans="1:21" x14ac:dyDescent="0.2">
      <c r="A110" s="52">
        <f t="shared" ref="A110:A119" si="3">COUNTIF($I$76:$I$109,B110)</f>
        <v>0</v>
      </c>
      <c r="B110" s="53" t="s">
        <v>172</v>
      </c>
      <c r="C110" s="370" t="s">
        <v>210</v>
      </c>
      <c r="D110" s="370"/>
      <c r="I110" s="8"/>
      <c r="J110" s="8"/>
      <c r="R110" s="21"/>
      <c r="S110" s="21"/>
      <c r="T110" s="8"/>
      <c r="U110" s="8"/>
    </row>
    <row r="111" spans="1:21" x14ac:dyDescent="0.2">
      <c r="A111" s="52">
        <f t="shared" si="3"/>
        <v>0</v>
      </c>
      <c r="B111" s="53" t="s">
        <v>169</v>
      </c>
      <c r="C111" s="370" t="s">
        <v>211</v>
      </c>
      <c r="D111" s="370"/>
      <c r="I111" s="8"/>
      <c r="J111" s="8"/>
      <c r="R111" s="21"/>
      <c r="S111" s="21"/>
      <c r="T111" s="8"/>
      <c r="U111" s="8"/>
    </row>
    <row r="112" spans="1:21" x14ac:dyDescent="0.2">
      <c r="A112" s="52">
        <f t="shared" si="3"/>
        <v>0</v>
      </c>
      <c r="B112" s="53" t="s">
        <v>181</v>
      </c>
      <c r="C112" s="370" t="s">
        <v>212</v>
      </c>
      <c r="D112" s="370"/>
      <c r="I112" s="8"/>
      <c r="J112" s="8"/>
      <c r="R112" s="21"/>
      <c r="S112" s="21"/>
      <c r="T112" s="8"/>
      <c r="U112" s="8"/>
    </row>
    <row r="113" spans="1:21" x14ac:dyDescent="0.2">
      <c r="A113" s="52">
        <f t="shared" si="3"/>
        <v>0</v>
      </c>
      <c r="B113" s="53" t="s">
        <v>183</v>
      </c>
      <c r="C113" s="370" t="s">
        <v>213</v>
      </c>
      <c r="D113" s="370"/>
      <c r="I113" s="8"/>
      <c r="J113" s="8"/>
      <c r="R113" s="21"/>
      <c r="S113" s="21"/>
      <c r="T113" s="8"/>
      <c r="U113" s="8"/>
    </row>
    <row r="114" spans="1:21" x14ac:dyDescent="0.2">
      <c r="A114" s="52">
        <f t="shared" si="3"/>
        <v>0</v>
      </c>
      <c r="B114" s="53" t="s">
        <v>214</v>
      </c>
      <c r="C114" s="370" t="s">
        <v>215</v>
      </c>
      <c r="D114" s="370"/>
      <c r="I114" s="8"/>
      <c r="J114" s="8"/>
      <c r="R114" s="21"/>
      <c r="S114" s="21"/>
      <c r="T114" s="8"/>
      <c r="U114" s="8"/>
    </row>
    <row r="115" spans="1:21" x14ac:dyDescent="0.2">
      <c r="A115" s="52">
        <f t="shared" si="3"/>
        <v>0</v>
      </c>
      <c r="B115" s="53" t="s">
        <v>216</v>
      </c>
      <c r="C115" s="370" t="s">
        <v>217</v>
      </c>
      <c r="D115" s="370"/>
      <c r="I115" s="8"/>
      <c r="J115" s="8"/>
      <c r="R115" s="21"/>
      <c r="S115" s="21"/>
      <c r="T115" s="8"/>
      <c r="U115" s="8"/>
    </row>
    <row r="116" spans="1:21" x14ac:dyDescent="0.2">
      <c r="A116" s="52">
        <f t="shared" si="3"/>
        <v>0</v>
      </c>
      <c r="B116" s="53" t="s">
        <v>218</v>
      </c>
      <c r="C116" s="371" t="s">
        <v>219</v>
      </c>
      <c r="D116" s="372"/>
      <c r="I116" s="8"/>
      <c r="J116" s="8"/>
      <c r="R116" s="21"/>
      <c r="S116" s="21"/>
      <c r="T116" s="8"/>
      <c r="U116" s="8"/>
    </row>
    <row r="117" spans="1:21" x14ac:dyDescent="0.2">
      <c r="A117" s="52">
        <f t="shared" si="3"/>
        <v>0</v>
      </c>
      <c r="B117" s="53" t="s">
        <v>220</v>
      </c>
      <c r="C117" s="370" t="s">
        <v>221</v>
      </c>
      <c r="D117" s="370"/>
      <c r="I117" s="8"/>
      <c r="J117" s="8"/>
    </row>
    <row r="118" spans="1:21" x14ac:dyDescent="0.2">
      <c r="A118" s="52">
        <f>COUNTIF($I$76:$I$109,B118)</f>
        <v>0</v>
      </c>
      <c r="B118" s="53" t="s">
        <v>178</v>
      </c>
      <c r="C118" s="370" t="s">
        <v>222</v>
      </c>
      <c r="D118" s="370"/>
      <c r="I118" s="8"/>
      <c r="J118" s="8"/>
    </row>
    <row r="119" spans="1:21" x14ac:dyDescent="0.2">
      <c r="A119" s="52">
        <f t="shared" si="3"/>
        <v>0</v>
      </c>
      <c r="B119" s="53" t="s">
        <v>223</v>
      </c>
      <c r="C119" s="370" t="s">
        <v>224</v>
      </c>
      <c r="D119" s="370"/>
      <c r="I119" s="8"/>
      <c r="J119" s="8"/>
    </row>
    <row r="120" spans="1:21" x14ac:dyDescent="0.2">
      <c r="A120" s="54"/>
      <c r="B120" s="55"/>
      <c r="C120" s="56"/>
      <c r="D120" s="56"/>
      <c r="I120" s="8"/>
      <c r="J120" s="8"/>
    </row>
    <row r="121" spans="1:21" x14ac:dyDescent="0.2">
      <c r="A121" s="54"/>
      <c r="B121" s="55"/>
      <c r="C121" s="56"/>
      <c r="D121" s="56"/>
      <c r="I121" s="8"/>
      <c r="J121" s="8"/>
    </row>
    <row r="122" spans="1:21" x14ac:dyDescent="0.2">
      <c r="A122" s="54"/>
      <c r="B122" s="55"/>
      <c r="C122" s="56"/>
      <c r="D122" s="56"/>
      <c r="I122" s="8"/>
      <c r="J122" s="8"/>
    </row>
    <row r="123" spans="1:21" x14ac:dyDescent="0.2">
      <c r="A123" s="54"/>
      <c r="B123" s="55"/>
      <c r="C123" s="56"/>
      <c r="D123" s="56"/>
      <c r="I123" s="8"/>
      <c r="J123" s="8"/>
    </row>
    <row r="124" spans="1:21" x14ac:dyDescent="0.2">
      <c r="A124" s="32"/>
      <c r="I124" s="8"/>
      <c r="J124" s="8"/>
    </row>
    <row r="125" spans="1:21" x14ac:dyDescent="0.2">
      <c r="A125" s="367" t="s">
        <v>225</v>
      </c>
      <c r="B125" s="368"/>
      <c r="C125" s="368"/>
      <c r="D125" s="368"/>
      <c r="I125" s="8"/>
      <c r="J125" s="8"/>
    </row>
    <row r="126" spans="1:21" x14ac:dyDescent="0.2">
      <c r="A126" s="52">
        <f>COUNTIF($J$76:$J$109,B126)</f>
        <v>0</v>
      </c>
      <c r="B126" s="52" t="s">
        <v>170</v>
      </c>
      <c r="C126" s="356" t="s">
        <v>226</v>
      </c>
      <c r="D126" s="356"/>
      <c r="I126" s="8"/>
      <c r="J126" s="8"/>
    </row>
    <row r="127" spans="1:21" x14ac:dyDescent="0.2">
      <c r="A127" s="52">
        <f t="shared" ref="A127:A138" si="4">COUNTIF($J$76:$J$109,B127)</f>
        <v>0</v>
      </c>
      <c r="B127" s="52" t="s">
        <v>191</v>
      </c>
      <c r="C127" s="356" t="s">
        <v>227</v>
      </c>
      <c r="D127" s="356"/>
      <c r="I127" s="8"/>
      <c r="J127" s="8"/>
    </row>
    <row r="128" spans="1:21" x14ac:dyDescent="0.2">
      <c r="A128" s="52">
        <f t="shared" si="4"/>
        <v>0</v>
      </c>
      <c r="B128" s="52" t="s">
        <v>179</v>
      </c>
      <c r="C128" s="356" t="s">
        <v>228</v>
      </c>
      <c r="D128" s="356"/>
      <c r="I128" s="8"/>
      <c r="J128" s="8"/>
    </row>
    <row r="129" spans="1:10" x14ac:dyDescent="0.2">
      <c r="A129" s="52">
        <f t="shared" si="4"/>
        <v>0</v>
      </c>
      <c r="B129" s="52" t="s">
        <v>229</v>
      </c>
      <c r="C129" s="356" t="s">
        <v>230</v>
      </c>
      <c r="D129" s="356"/>
      <c r="I129" s="8"/>
      <c r="J129" s="8"/>
    </row>
    <row r="130" spans="1:10" x14ac:dyDescent="0.2">
      <c r="A130" s="52">
        <f t="shared" si="4"/>
        <v>0</v>
      </c>
      <c r="B130" s="52" t="s">
        <v>174</v>
      </c>
      <c r="C130" s="356" t="s">
        <v>231</v>
      </c>
      <c r="D130" s="356"/>
      <c r="I130" s="8"/>
      <c r="J130" s="8"/>
    </row>
    <row r="131" spans="1:10" x14ac:dyDescent="0.2">
      <c r="A131" s="52">
        <f t="shared" si="4"/>
        <v>0</v>
      </c>
      <c r="B131" s="52" t="s">
        <v>232</v>
      </c>
      <c r="C131" s="356" t="s">
        <v>233</v>
      </c>
      <c r="D131" s="356"/>
      <c r="I131" s="8"/>
      <c r="J131" s="8"/>
    </row>
    <row r="132" spans="1:10" x14ac:dyDescent="0.2">
      <c r="A132" s="52">
        <f t="shared" si="4"/>
        <v>0</v>
      </c>
      <c r="B132" s="52" t="s">
        <v>187</v>
      </c>
      <c r="C132" s="356" t="s">
        <v>234</v>
      </c>
      <c r="D132" s="356"/>
      <c r="I132" s="8"/>
      <c r="J132" s="8"/>
    </row>
    <row r="133" spans="1:10" x14ac:dyDescent="0.2">
      <c r="A133" s="52">
        <f t="shared" si="4"/>
        <v>0</v>
      </c>
      <c r="B133" s="52" t="s">
        <v>235</v>
      </c>
      <c r="C133" s="356" t="s">
        <v>236</v>
      </c>
      <c r="D133" s="356"/>
      <c r="I133" s="8"/>
      <c r="J133" s="8"/>
    </row>
    <row r="134" spans="1:10" x14ac:dyDescent="0.2">
      <c r="A134" s="52">
        <f t="shared" si="4"/>
        <v>0</v>
      </c>
      <c r="B134" s="52" t="s">
        <v>185</v>
      </c>
      <c r="C134" s="356" t="s">
        <v>237</v>
      </c>
      <c r="D134" s="356"/>
      <c r="I134" s="8"/>
      <c r="J134" s="8"/>
    </row>
    <row r="135" spans="1:10" x14ac:dyDescent="0.2">
      <c r="A135" s="52">
        <f t="shared" si="4"/>
        <v>0</v>
      </c>
      <c r="B135" s="52" t="s">
        <v>238</v>
      </c>
      <c r="C135" s="356" t="s">
        <v>239</v>
      </c>
      <c r="D135" s="356"/>
      <c r="I135" s="8"/>
      <c r="J135" s="8"/>
    </row>
    <row r="136" spans="1:10" x14ac:dyDescent="0.2">
      <c r="A136" s="52">
        <f>COUNTIF($J$76:$J$109,B136)</f>
        <v>0</v>
      </c>
      <c r="B136" s="52" t="s">
        <v>240</v>
      </c>
      <c r="C136" s="356" t="s">
        <v>241</v>
      </c>
      <c r="D136" s="356"/>
      <c r="I136" s="8"/>
      <c r="J136" s="8"/>
    </row>
    <row r="137" spans="1:10" x14ac:dyDescent="0.2">
      <c r="A137" s="52">
        <f>COUNTIF($J$76:$J$109,B137)</f>
        <v>0</v>
      </c>
      <c r="B137" s="52" t="s">
        <v>242</v>
      </c>
      <c r="C137" s="356" t="s">
        <v>243</v>
      </c>
      <c r="D137" s="356"/>
      <c r="I137" s="8"/>
      <c r="J137" s="8"/>
    </row>
    <row r="138" spans="1:10" x14ac:dyDescent="0.2">
      <c r="A138" s="52">
        <f t="shared" si="4"/>
        <v>0</v>
      </c>
      <c r="B138" s="52" t="s">
        <v>244</v>
      </c>
      <c r="C138" s="356" t="s">
        <v>245</v>
      </c>
      <c r="D138" s="356"/>
      <c r="I138" s="8"/>
      <c r="J138" s="8"/>
    </row>
    <row r="139" spans="1:10" x14ac:dyDescent="0.2">
      <c r="A139" s="32"/>
      <c r="I139" s="8"/>
      <c r="J139" s="8"/>
    </row>
    <row r="140" spans="1:10" x14ac:dyDescent="0.2">
      <c r="A140" s="32"/>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ht="19" x14ac:dyDescent="0.2">
      <c r="A145" s="32"/>
      <c r="C145" s="349" t="s">
        <v>86</v>
      </c>
      <c r="D145" s="350"/>
      <c r="E145" s="350"/>
      <c r="F145" s="350"/>
      <c r="G145" s="351"/>
      <c r="I145" s="8"/>
      <c r="J145" s="8"/>
    </row>
    <row r="146" spans="1:10" ht="32" x14ac:dyDescent="0.2">
      <c r="A146" s="32"/>
      <c r="C146" s="68" t="s">
        <v>87</v>
      </c>
      <c r="D146" s="64" t="s">
        <v>88</v>
      </c>
      <c r="E146" s="64" t="s">
        <v>89</v>
      </c>
      <c r="F146" s="64" t="s">
        <v>90</v>
      </c>
      <c r="G146" s="66" t="s">
        <v>91</v>
      </c>
      <c r="I146" s="8"/>
      <c r="J146" s="8"/>
    </row>
    <row r="147" spans="1:10" x14ac:dyDescent="0.2">
      <c r="A147" s="32"/>
      <c r="C147" s="65"/>
      <c r="D147" s="65"/>
      <c r="E147" s="65"/>
      <c r="F147" s="65"/>
      <c r="G147" s="67">
        <f>SUM(B147:F147)</f>
        <v>0</v>
      </c>
      <c r="I147" s="8"/>
      <c r="J147" s="8"/>
    </row>
    <row r="148" spans="1:10" x14ac:dyDescent="0.2">
      <c r="A148" s="32"/>
      <c r="G148"/>
      <c r="I148" s="8"/>
      <c r="J148" s="8"/>
    </row>
    <row r="149" spans="1:10" x14ac:dyDescent="0.2">
      <c r="A149" s="32"/>
      <c r="I149" s="8"/>
      <c r="J149" s="8"/>
    </row>
    <row r="150" spans="1:10" x14ac:dyDescent="0.2">
      <c r="A150" s="32"/>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row>
    <row r="224" spans="1:10" x14ac:dyDescent="0.2">
      <c r="A224" s="32"/>
    </row>
    <row r="225" spans="1:1" x14ac:dyDescent="0.2">
      <c r="A225" s="32"/>
    </row>
    <row r="226" spans="1:1" x14ac:dyDescent="0.2">
      <c r="A226" s="32"/>
    </row>
    <row r="227" spans="1:1" x14ac:dyDescent="0.2">
      <c r="A227" s="32"/>
    </row>
    <row r="228" spans="1:1" x14ac:dyDescent="0.2">
      <c r="A228" s="32"/>
    </row>
    <row r="229" spans="1:1" x14ac:dyDescent="0.2">
      <c r="A229" s="32"/>
    </row>
    <row r="230" spans="1:1" x14ac:dyDescent="0.2">
      <c r="A230" s="32"/>
    </row>
    <row r="231" spans="1:1" x14ac:dyDescent="0.2">
      <c r="A231" s="32"/>
    </row>
    <row r="232" spans="1:1" x14ac:dyDescent="0.2">
      <c r="A232" s="32"/>
    </row>
    <row r="233" spans="1:1" x14ac:dyDescent="0.2">
      <c r="A233" s="32"/>
    </row>
    <row r="234" spans="1:1" x14ac:dyDescent="0.2">
      <c r="A234" s="32"/>
    </row>
    <row r="235" spans="1:1" x14ac:dyDescent="0.2">
      <c r="A235" s="32"/>
    </row>
    <row r="236" spans="1:1" x14ac:dyDescent="0.2">
      <c r="A236" s="32"/>
    </row>
    <row r="237" spans="1:1" x14ac:dyDescent="0.2">
      <c r="A237" s="32"/>
    </row>
    <row r="238" spans="1:1" x14ac:dyDescent="0.2">
      <c r="A238" s="32"/>
    </row>
    <row r="239" spans="1:1" x14ac:dyDescent="0.2">
      <c r="A239" s="32"/>
    </row>
    <row r="240" spans="1:1" x14ac:dyDescent="0.2">
      <c r="A240" s="32"/>
    </row>
    <row r="241" spans="1:1" x14ac:dyDescent="0.2">
      <c r="A241" s="32"/>
    </row>
    <row r="242" spans="1:1" x14ac:dyDescent="0.2">
      <c r="A242" s="32"/>
    </row>
    <row r="243" spans="1:1" x14ac:dyDescent="0.2">
      <c r="A243" s="32"/>
    </row>
    <row r="244" spans="1:1" x14ac:dyDescent="0.2">
      <c r="A244" s="32"/>
    </row>
    <row r="245" spans="1:1" x14ac:dyDescent="0.2">
      <c r="A245" s="32"/>
    </row>
    <row r="246" spans="1:1" x14ac:dyDescent="0.2">
      <c r="A246" s="32"/>
    </row>
    <row r="247" spans="1:1" x14ac:dyDescent="0.2">
      <c r="A247" s="32"/>
    </row>
    <row r="248" spans="1:1" x14ac:dyDescent="0.2">
      <c r="A248" s="32"/>
    </row>
  </sheetData>
  <autoFilter ref="A1:AH1" xr:uid="{00000000-0001-0000-0800-000000000000}"/>
  <mergeCells count="67">
    <mergeCell ref="AC63:AE63"/>
    <mergeCell ref="AF63:AH63"/>
    <mergeCell ref="C78:H78"/>
    <mergeCell ref="C63:D63"/>
    <mergeCell ref="T63:V63"/>
    <mergeCell ref="W63:Y63"/>
    <mergeCell ref="Z63:AB63"/>
    <mergeCell ref="M64:O64"/>
    <mergeCell ref="H65:I65"/>
    <mergeCell ref="A75:C75"/>
    <mergeCell ref="C76:H76"/>
    <mergeCell ref="C77:H77"/>
    <mergeCell ref="C90:H90"/>
    <mergeCell ref="C79:H79"/>
    <mergeCell ref="C80:H80"/>
    <mergeCell ref="C81:H81"/>
    <mergeCell ref="C82:H82"/>
    <mergeCell ref="C83:H83"/>
    <mergeCell ref="C84:H84"/>
    <mergeCell ref="C85:H85"/>
    <mergeCell ref="C86:H86"/>
    <mergeCell ref="C87:H87"/>
    <mergeCell ref="C88:H88"/>
    <mergeCell ref="C89:H89"/>
    <mergeCell ref="C102:H102"/>
    <mergeCell ref="C91:H91"/>
    <mergeCell ref="C92:H92"/>
    <mergeCell ref="C93:H93"/>
    <mergeCell ref="C94:H94"/>
    <mergeCell ref="C95:H95"/>
    <mergeCell ref="C96:H96"/>
    <mergeCell ref="C97:H97"/>
    <mergeCell ref="C98:H98"/>
    <mergeCell ref="C99:H99"/>
    <mergeCell ref="C100:H100"/>
    <mergeCell ref="C101:H101"/>
    <mergeCell ref="C115:D115"/>
    <mergeCell ref="C103:H103"/>
    <mergeCell ref="C104:H104"/>
    <mergeCell ref="C105:H105"/>
    <mergeCell ref="C106:H106"/>
    <mergeCell ref="A108:D108"/>
    <mergeCell ref="C109:D109"/>
    <mergeCell ref="C110:D110"/>
    <mergeCell ref="C111:D111"/>
    <mergeCell ref="C112:D112"/>
    <mergeCell ref="C113:D113"/>
    <mergeCell ref="C114:D114"/>
    <mergeCell ref="C132:D132"/>
    <mergeCell ref="C116:D116"/>
    <mergeCell ref="C117:D117"/>
    <mergeCell ref="C118:D118"/>
    <mergeCell ref="C119:D119"/>
    <mergeCell ref="A125:D125"/>
    <mergeCell ref="C126:D126"/>
    <mergeCell ref="C127:D127"/>
    <mergeCell ref="C128:D128"/>
    <mergeCell ref="C129:D129"/>
    <mergeCell ref="C130:D130"/>
    <mergeCell ref="C131:D131"/>
    <mergeCell ref="C145:G145"/>
    <mergeCell ref="C133:D133"/>
    <mergeCell ref="C134:D134"/>
    <mergeCell ref="C135:D135"/>
    <mergeCell ref="C136:D136"/>
    <mergeCell ref="C137:D137"/>
    <mergeCell ref="C138:D138"/>
  </mergeCells>
  <dataValidations count="2">
    <dataValidation type="list" allowBlank="1" showInputMessage="1" showErrorMessage="1" sqref="J76:J106" xr:uid="{A7694A67-B2C3-4556-A11B-6605D76BCA1F}">
      <formula1>$B$125:$B$138</formula1>
    </dataValidation>
    <dataValidation type="list" allowBlank="1" showInputMessage="1" showErrorMessage="1" sqref="I76:I106" xr:uid="{5A474438-6312-4B72-A1F5-4427FBE60EBC}">
      <formula1>$B$109:$B$119</formula1>
    </dataValidation>
  </dataValidation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2E82B-EE47-4999-B3E9-C2B754E89F1C}">
  <sheetPr codeName="Hoja17"/>
  <dimension ref="A1:AP248"/>
  <sheetViews>
    <sheetView zoomScale="85" zoomScaleNormal="85" workbookViewId="0">
      <pane xSplit="11" ySplit="1" topLeftCell="L2"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13.5" style="1" customWidth="1"/>
    <col min="23" max="23" width="4.6640625" style="1" customWidth="1"/>
    <col min="24" max="24" width="13.5" style="1" customWidth="1"/>
    <col min="25" max="25" width="4.6640625" style="1" customWidth="1"/>
    <col min="26" max="26" width="13.5" style="1" customWidth="1"/>
    <col min="27" max="27" width="4.6640625" style="1" customWidth="1"/>
    <col min="28" max="28" width="13.5" style="1" customWidth="1"/>
    <col min="29" max="29" width="13" style="1" bestFit="1" customWidth="1"/>
    <col min="30" max="30" width="4.6640625" style="48" customWidth="1"/>
    <col min="31" max="31" width="11.5" style="48" bestFit="1" customWidth="1"/>
    <col min="32" max="32" width="16.6640625" style="48" bestFit="1" customWidth="1"/>
    <col min="33" max="33" width="4.6640625" style="1" customWidth="1"/>
    <col min="34" max="34" width="11.5" style="1" bestFit="1" customWidth="1"/>
    <col min="35" max="38" width="9.1640625" style="1"/>
    <col min="39" max="39" width="15.5" style="1" bestFit="1" customWidth="1"/>
    <col min="40" max="16384" width="11.5" style="1"/>
  </cols>
  <sheetData>
    <row r="1" spans="1:42"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125</v>
      </c>
      <c r="AO1" s="304" t="s">
        <v>255</v>
      </c>
      <c r="AP1" s="304" t="s">
        <v>257</v>
      </c>
    </row>
    <row r="2" spans="1:42" s="48" customFormat="1" x14ac:dyDescent="0.2">
      <c r="A2" s="209"/>
      <c r="B2" s="8"/>
      <c r="C2" s="8"/>
      <c r="D2" s="8"/>
      <c r="E2" s="8"/>
      <c r="F2" s="8"/>
      <c r="G2" s="8"/>
      <c r="H2" s="8"/>
      <c r="I2" s="8"/>
      <c r="J2" s="37"/>
      <c r="K2" s="19">
        <v>0</v>
      </c>
      <c r="L2" s="198" t="s">
        <v>128</v>
      </c>
      <c r="M2" s="198" t="s">
        <v>128</v>
      </c>
      <c r="N2" s="197" t="s">
        <v>128</v>
      </c>
      <c r="O2" s="195">
        <v>1</v>
      </c>
      <c r="P2" s="45" t="s">
        <v>128</v>
      </c>
      <c r="Q2" s="45" t="s">
        <v>128</v>
      </c>
      <c r="R2" s="45" t="s">
        <v>128</v>
      </c>
      <c r="S2" s="45" t="s">
        <v>128</v>
      </c>
      <c r="T2" s="45" t="s">
        <v>128</v>
      </c>
      <c r="U2" s="45" t="s">
        <v>128</v>
      </c>
      <c r="V2" s="45" t="s">
        <v>128</v>
      </c>
      <c r="W2" s="45" t="s">
        <v>128</v>
      </c>
      <c r="X2" s="45" t="s">
        <v>128</v>
      </c>
      <c r="Y2" s="45" t="s">
        <v>128</v>
      </c>
      <c r="Z2" s="45" t="s">
        <v>128</v>
      </c>
      <c r="AA2" s="45" t="s">
        <v>128</v>
      </c>
      <c r="AB2" s="45" t="s">
        <v>128</v>
      </c>
      <c r="AC2" s="107" t="s">
        <v>128</v>
      </c>
      <c r="AD2" s="107" t="s">
        <v>128</v>
      </c>
      <c r="AE2" s="107" t="s">
        <v>128</v>
      </c>
      <c r="AF2" s="107" t="s">
        <v>128</v>
      </c>
      <c r="AG2" s="107" t="s">
        <v>128</v>
      </c>
      <c r="AH2" s="107" t="s">
        <v>128</v>
      </c>
      <c r="AI2" s="228"/>
      <c r="AJ2" s="228"/>
      <c r="AK2" s="228"/>
      <c r="AL2" s="228"/>
      <c r="AM2" s="228"/>
      <c r="AN2" s="228"/>
      <c r="AO2" s="140"/>
      <c r="AP2" s="140"/>
    </row>
    <row r="3" spans="1:42" s="48" customFormat="1" x14ac:dyDescent="0.2">
      <c r="A3" s="22"/>
      <c r="B3" s="22"/>
      <c r="C3" s="22"/>
      <c r="D3" s="22"/>
      <c r="E3" s="22"/>
      <c r="F3" s="22"/>
      <c r="G3" s="22"/>
      <c r="H3" s="22"/>
      <c r="I3" s="22"/>
      <c r="J3" s="36"/>
      <c r="K3" s="19">
        <v>0</v>
      </c>
      <c r="L3" s="198" t="s">
        <v>128</v>
      </c>
      <c r="M3" s="198" t="s">
        <v>128</v>
      </c>
      <c r="N3" s="197" t="s">
        <v>128</v>
      </c>
      <c r="O3" s="195">
        <v>1</v>
      </c>
      <c r="P3" s="45" t="s">
        <v>128</v>
      </c>
      <c r="Q3" s="45" t="s">
        <v>128</v>
      </c>
      <c r="R3" s="45" t="s">
        <v>128</v>
      </c>
      <c r="S3" s="45" t="s">
        <v>128</v>
      </c>
      <c r="T3" s="45" t="s">
        <v>128</v>
      </c>
      <c r="U3" s="45" t="s">
        <v>128</v>
      </c>
      <c r="V3" s="45" t="s">
        <v>128</v>
      </c>
      <c r="W3" s="45" t="s">
        <v>128</v>
      </c>
      <c r="X3" s="45" t="s">
        <v>128</v>
      </c>
      <c r="Y3" s="45" t="s">
        <v>128</v>
      </c>
      <c r="Z3" s="45" t="s">
        <v>128</v>
      </c>
      <c r="AA3" s="45" t="s">
        <v>128</v>
      </c>
      <c r="AB3" s="45" t="s">
        <v>128</v>
      </c>
      <c r="AC3" s="107" t="s">
        <v>128</v>
      </c>
      <c r="AD3" s="107" t="s">
        <v>128</v>
      </c>
      <c r="AE3" s="107" t="s">
        <v>128</v>
      </c>
      <c r="AF3" s="107" t="s">
        <v>128</v>
      </c>
      <c r="AG3" s="107" t="s">
        <v>128</v>
      </c>
      <c r="AH3" s="107" t="s">
        <v>128</v>
      </c>
      <c r="AI3" s="228"/>
      <c r="AJ3" s="228"/>
      <c r="AK3" s="228"/>
      <c r="AL3" s="228"/>
      <c r="AM3" s="228"/>
      <c r="AN3" s="228"/>
      <c r="AO3" s="140"/>
      <c r="AP3" s="140"/>
    </row>
    <row r="4" spans="1:42" s="48" customFormat="1" x14ac:dyDescent="0.2">
      <c r="A4" s="209"/>
      <c r="B4" s="8"/>
      <c r="C4" s="8"/>
      <c r="D4" s="8"/>
      <c r="E4" s="8"/>
      <c r="F4" s="8"/>
      <c r="G4" s="8"/>
      <c r="H4" s="8"/>
      <c r="I4" s="8"/>
      <c r="J4" s="37"/>
      <c r="K4" s="19">
        <v>0</v>
      </c>
      <c r="L4" s="198" t="s">
        <v>128</v>
      </c>
      <c r="M4" s="198" t="s">
        <v>128</v>
      </c>
      <c r="N4" s="197" t="s">
        <v>128</v>
      </c>
      <c r="O4" s="195">
        <v>1</v>
      </c>
      <c r="P4" s="45" t="s">
        <v>128</v>
      </c>
      <c r="Q4" s="45" t="s">
        <v>128</v>
      </c>
      <c r="R4" s="45" t="s">
        <v>128</v>
      </c>
      <c r="S4" s="45" t="s">
        <v>128</v>
      </c>
      <c r="T4" s="45" t="s">
        <v>128</v>
      </c>
      <c r="U4" s="45" t="s">
        <v>128</v>
      </c>
      <c r="V4" s="45" t="s">
        <v>128</v>
      </c>
      <c r="W4" s="45" t="s">
        <v>128</v>
      </c>
      <c r="X4" s="45" t="s">
        <v>128</v>
      </c>
      <c r="Y4" s="45" t="s">
        <v>128</v>
      </c>
      <c r="Z4" s="45" t="s">
        <v>128</v>
      </c>
      <c r="AA4" s="45" t="s">
        <v>128</v>
      </c>
      <c r="AB4" s="45" t="s">
        <v>128</v>
      </c>
      <c r="AC4" s="107" t="s">
        <v>128</v>
      </c>
      <c r="AD4" s="107" t="s">
        <v>128</v>
      </c>
      <c r="AE4" s="107" t="s">
        <v>128</v>
      </c>
      <c r="AF4" s="107" t="s">
        <v>128</v>
      </c>
      <c r="AG4" s="107" t="s">
        <v>128</v>
      </c>
      <c r="AH4" s="107" t="s">
        <v>128</v>
      </c>
      <c r="AI4" s="228"/>
      <c r="AJ4" s="228"/>
      <c r="AK4" s="228"/>
      <c r="AL4" s="228"/>
      <c r="AM4" s="228"/>
      <c r="AN4" s="228"/>
      <c r="AO4" s="140"/>
      <c r="AP4" s="140"/>
    </row>
    <row r="5" spans="1:42" s="48" customFormat="1" x14ac:dyDescent="0.2">
      <c r="A5" s="22"/>
      <c r="B5" s="22"/>
      <c r="C5" s="22"/>
      <c r="D5" s="22"/>
      <c r="E5" s="22"/>
      <c r="F5" s="22"/>
      <c r="G5" s="22"/>
      <c r="H5" s="22"/>
      <c r="I5" s="22"/>
      <c r="J5" s="36"/>
      <c r="K5" s="19">
        <v>0</v>
      </c>
      <c r="L5" s="198" t="s">
        <v>128</v>
      </c>
      <c r="M5" s="198" t="s">
        <v>128</v>
      </c>
      <c r="N5" s="197" t="s">
        <v>128</v>
      </c>
      <c r="O5" s="195">
        <v>1</v>
      </c>
      <c r="P5" s="45" t="s">
        <v>128</v>
      </c>
      <c r="Q5" s="45" t="s">
        <v>128</v>
      </c>
      <c r="R5" s="45" t="s">
        <v>128</v>
      </c>
      <c r="S5" s="45" t="s">
        <v>128</v>
      </c>
      <c r="T5" s="45" t="s">
        <v>128</v>
      </c>
      <c r="U5" s="45" t="s">
        <v>128</v>
      </c>
      <c r="V5" s="45" t="s">
        <v>128</v>
      </c>
      <c r="W5" s="45" t="s">
        <v>128</v>
      </c>
      <c r="X5" s="45" t="s">
        <v>128</v>
      </c>
      <c r="Y5" s="45" t="s">
        <v>128</v>
      </c>
      <c r="Z5" s="45" t="s">
        <v>128</v>
      </c>
      <c r="AA5" s="45" t="s">
        <v>128</v>
      </c>
      <c r="AB5" s="45" t="s">
        <v>128</v>
      </c>
      <c r="AC5" s="107" t="s">
        <v>128</v>
      </c>
      <c r="AD5" s="107" t="s">
        <v>128</v>
      </c>
      <c r="AE5" s="107" t="s">
        <v>128</v>
      </c>
      <c r="AF5" s="107" t="s">
        <v>128</v>
      </c>
      <c r="AG5" s="107" t="s">
        <v>128</v>
      </c>
      <c r="AH5" s="107" t="s">
        <v>128</v>
      </c>
      <c r="AI5" s="228"/>
      <c r="AJ5" s="228"/>
      <c r="AK5" s="228"/>
      <c r="AL5" s="228"/>
      <c r="AM5" s="228"/>
      <c r="AN5" s="228"/>
      <c r="AO5" s="140"/>
      <c r="AP5" s="140"/>
    </row>
    <row r="6" spans="1:42" s="48" customFormat="1" x14ac:dyDescent="0.2">
      <c r="A6" s="209"/>
      <c r="B6" s="8"/>
      <c r="C6" s="8"/>
      <c r="D6" s="8"/>
      <c r="E6" s="8"/>
      <c r="F6" s="8"/>
      <c r="G6" s="8"/>
      <c r="H6" s="8"/>
      <c r="I6" s="8"/>
      <c r="J6" s="37"/>
      <c r="K6" s="19">
        <v>0</v>
      </c>
      <c r="L6" s="198" t="s">
        <v>128</v>
      </c>
      <c r="M6" s="198" t="s">
        <v>128</v>
      </c>
      <c r="N6" s="197" t="s">
        <v>128</v>
      </c>
      <c r="O6" s="195">
        <v>1</v>
      </c>
      <c r="P6" s="45" t="s">
        <v>128</v>
      </c>
      <c r="Q6" s="45" t="s">
        <v>128</v>
      </c>
      <c r="R6" s="45" t="s">
        <v>128</v>
      </c>
      <c r="S6" s="45" t="s">
        <v>128</v>
      </c>
      <c r="T6" s="45" t="s">
        <v>128</v>
      </c>
      <c r="U6" s="45" t="s">
        <v>128</v>
      </c>
      <c r="V6" s="45" t="s">
        <v>128</v>
      </c>
      <c r="W6" s="45" t="s">
        <v>128</v>
      </c>
      <c r="X6" s="45" t="s">
        <v>128</v>
      </c>
      <c r="Y6" s="45" t="s">
        <v>128</v>
      </c>
      <c r="Z6" s="45" t="s">
        <v>128</v>
      </c>
      <c r="AA6" s="45" t="s">
        <v>128</v>
      </c>
      <c r="AB6" s="45" t="s">
        <v>128</v>
      </c>
      <c r="AC6" s="107" t="s">
        <v>128</v>
      </c>
      <c r="AD6" s="107" t="s">
        <v>128</v>
      </c>
      <c r="AE6" s="107" t="s">
        <v>128</v>
      </c>
      <c r="AF6" s="107" t="s">
        <v>128</v>
      </c>
      <c r="AG6" s="107" t="s">
        <v>128</v>
      </c>
      <c r="AH6" s="107" t="s">
        <v>128</v>
      </c>
      <c r="AI6" s="228"/>
      <c r="AJ6" s="228"/>
      <c r="AK6" s="228"/>
      <c r="AL6" s="228"/>
      <c r="AM6" s="228"/>
      <c r="AN6" s="228"/>
      <c r="AO6" s="140"/>
      <c r="AP6" s="140"/>
    </row>
    <row r="7" spans="1:42" s="48" customFormat="1" x14ac:dyDescent="0.2">
      <c r="A7" s="22"/>
      <c r="B7" s="22"/>
      <c r="C7" s="22"/>
      <c r="D7" s="22"/>
      <c r="E7" s="22"/>
      <c r="F7" s="22"/>
      <c r="G7" s="22"/>
      <c r="H7" s="22"/>
      <c r="I7" s="22"/>
      <c r="J7" s="36"/>
      <c r="K7" s="19">
        <v>0</v>
      </c>
      <c r="L7" s="198" t="s">
        <v>128</v>
      </c>
      <c r="M7" s="198" t="s">
        <v>128</v>
      </c>
      <c r="N7" s="197" t="s">
        <v>128</v>
      </c>
      <c r="O7" s="195">
        <v>1</v>
      </c>
      <c r="P7" s="45" t="s">
        <v>128</v>
      </c>
      <c r="Q7" s="45" t="s">
        <v>128</v>
      </c>
      <c r="R7" s="45" t="s">
        <v>128</v>
      </c>
      <c r="S7" s="45" t="s">
        <v>128</v>
      </c>
      <c r="T7" s="45" t="s">
        <v>128</v>
      </c>
      <c r="U7" s="45" t="s">
        <v>128</v>
      </c>
      <c r="V7" s="45" t="s">
        <v>128</v>
      </c>
      <c r="W7" s="45" t="s">
        <v>128</v>
      </c>
      <c r="X7" s="45" t="s">
        <v>128</v>
      </c>
      <c r="Y7" s="45" t="s">
        <v>128</v>
      </c>
      <c r="Z7" s="45" t="s">
        <v>128</v>
      </c>
      <c r="AA7" s="45" t="s">
        <v>128</v>
      </c>
      <c r="AB7" s="45" t="s">
        <v>128</v>
      </c>
      <c r="AC7" s="107" t="s">
        <v>128</v>
      </c>
      <c r="AD7" s="107" t="s">
        <v>128</v>
      </c>
      <c r="AE7" s="107" t="s">
        <v>128</v>
      </c>
      <c r="AF7" s="107" t="s">
        <v>128</v>
      </c>
      <c r="AG7" s="107" t="s">
        <v>128</v>
      </c>
      <c r="AH7" s="107" t="s">
        <v>128</v>
      </c>
      <c r="AI7" s="228"/>
      <c r="AJ7" s="228"/>
      <c r="AK7" s="228"/>
      <c r="AL7" s="228"/>
      <c r="AM7" s="228"/>
      <c r="AN7" s="228"/>
      <c r="AO7" s="140"/>
      <c r="AP7" s="140"/>
    </row>
    <row r="8" spans="1:42" s="48" customFormat="1" x14ac:dyDescent="0.2">
      <c r="A8" s="209"/>
      <c r="B8" s="8"/>
      <c r="C8" s="8"/>
      <c r="D8" s="8"/>
      <c r="E8" s="8"/>
      <c r="F8" s="8"/>
      <c r="G8" s="8"/>
      <c r="H8" s="8"/>
      <c r="I8" s="8"/>
      <c r="J8" s="37"/>
      <c r="K8" s="19">
        <v>0</v>
      </c>
      <c r="L8" s="198" t="s">
        <v>128</v>
      </c>
      <c r="M8" s="198" t="s">
        <v>128</v>
      </c>
      <c r="N8" s="197" t="s">
        <v>128</v>
      </c>
      <c r="O8" s="195">
        <v>1</v>
      </c>
      <c r="P8" s="45" t="s">
        <v>128</v>
      </c>
      <c r="Q8" s="45" t="s">
        <v>128</v>
      </c>
      <c r="R8" s="45" t="s">
        <v>128</v>
      </c>
      <c r="S8" s="45" t="s">
        <v>128</v>
      </c>
      <c r="T8" s="45" t="s">
        <v>128</v>
      </c>
      <c r="U8" s="45" t="s">
        <v>128</v>
      </c>
      <c r="V8" s="45" t="s">
        <v>128</v>
      </c>
      <c r="W8" s="45" t="s">
        <v>128</v>
      </c>
      <c r="X8" s="45" t="s">
        <v>128</v>
      </c>
      <c r="Y8" s="45" t="s">
        <v>128</v>
      </c>
      <c r="Z8" s="45" t="s">
        <v>128</v>
      </c>
      <c r="AA8" s="45" t="s">
        <v>128</v>
      </c>
      <c r="AB8" s="45" t="s">
        <v>128</v>
      </c>
      <c r="AC8" s="107" t="s">
        <v>128</v>
      </c>
      <c r="AD8" s="107" t="s">
        <v>128</v>
      </c>
      <c r="AE8" s="107" t="s">
        <v>128</v>
      </c>
      <c r="AF8" s="107" t="s">
        <v>128</v>
      </c>
      <c r="AG8" s="107" t="s">
        <v>128</v>
      </c>
      <c r="AH8" s="107" t="s">
        <v>128</v>
      </c>
      <c r="AI8" s="228"/>
      <c r="AJ8" s="228"/>
      <c r="AK8" s="228"/>
      <c r="AL8" s="228"/>
      <c r="AM8" s="228"/>
      <c r="AN8" s="228"/>
      <c r="AO8" s="140"/>
      <c r="AP8" s="140"/>
    </row>
    <row r="9" spans="1:42" s="48" customFormat="1" x14ac:dyDescent="0.2">
      <c r="A9" s="22"/>
      <c r="B9" s="22"/>
      <c r="C9" s="22"/>
      <c r="D9" s="22"/>
      <c r="E9" s="22"/>
      <c r="F9" s="22"/>
      <c r="G9" s="22"/>
      <c r="H9" s="22"/>
      <c r="I9" s="22"/>
      <c r="J9" s="36"/>
      <c r="K9" s="19">
        <v>0</v>
      </c>
      <c r="L9" s="198" t="s">
        <v>128</v>
      </c>
      <c r="M9" s="198" t="s">
        <v>128</v>
      </c>
      <c r="N9" s="197" t="s">
        <v>128</v>
      </c>
      <c r="O9" s="195">
        <v>1</v>
      </c>
      <c r="P9" s="45" t="s">
        <v>128</v>
      </c>
      <c r="Q9" s="45" t="s">
        <v>128</v>
      </c>
      <c r="R9" s="45" t="s">
        <v>128</v>
      </c>
      <c r="S9" s="45" t="s">
        <v>128</v>
      </c>
      <c r="T9" s="45" t="s">
        <v>128</v>
      </c>
      <c r="U9" s="45" t="s">
        <v>128</v>
      </c>
      <c r="V9" s="45" t="s">
        <v>128</v>
      </c>
      <c r="W9" s="45" t="s">
        <v>128</v>
      </c>
      <c r="X9" s="45" t="s">
        <v>128</v>
      </c>
      <c r="Y9" s="45" t="s">
        <v>128</v>
      </c>
      <c r="Z9" s="45" t="s">
        <v>128</v>
      </c>
      <c r="AA9" s="45" t="s">
        <v>128</v>
      </c>
      <c r="AB9" s="45" t="s">
        <v>128</v>
      </c>
      <c r="AC9" s="107" t="s">
        <v>128</v>
      </c>
      <c r="AD9" s="107" t="s">
        <v>128</v>
      </c>
      <c r="AE9" s="107" t="s">
        <v>128</v>
      </c>
      <c r="AF9" s="107" t="s">
        <v>128</v>
      </c>
      <c r="AG9" s="107" t="s">
        <v>128</v>
      </c>
      <c r="AH9" s="107" t="s">
        <v>128</v>
      </c>
      <c r="AI9" s="228"/>
      <c r="AJ9" s="228"/>
      <c r="AK9" s="228"/>
      <c r="AL9" s="228"/>
      <c r="AM9" s="228"/>
      <c r="AN9" s="228"/>
      <c r="AO9" s="140"/>
      <c r="AP9" s="140"/>
    </row>
    <row r="10" spans="1:42" s="48" customFormat="1" x14ac:dyDescent="0.2">
      <c r="A10" s="209"/>
      <c r="B10" s="8"/>
      <c r="C10" s="8"/>
      <c r="D10" s="8"/>
      <c r="E10" s="8"/>
      <c r="F10" s="8"/>
      <c r="G10" s="8"/>
      <c r="H10" s="8"/>
      <c r="I10" s="8"/>
      <c r="J10" s="37"/>
      <c r="K10" s="19">
        <v>0</v>
      </c>
      <c r="L10" s="198" t="s">
        <v>128</v>
      </c>
      <c r="M10" s="198" t="s">
        <v>128</v>
      </c>
      <c r="N10" s="197" t="s">
        <v>128</v>
      </c>
      <c r="O10" s="195">
        <v>1</v>
      </c>
      <c r="P10" s="45" t="s">
        <v>128</v>
      </c>
      <c r="Q10" s="45" t="s">
        <v>128</v>
      </c>
      <c r="R10" s="45" t="s">
        <v>128</v>
      </c>
      <c r="S10" s="45" t="s">
        <v>128</v>
      </c>
      <c r="T10" s="45" t="s">
        <v>128</v>
      </c>
      <c r="U10" s="45" t="s">
        <v>128</v>
      </c>
      <c r="V10" s="45" t="s">
        <v>128</v>
      </c>
      <c r="W10" s="45" t="s">
        <v>128</v>
      </c>
      <c r="X10" s="45" t="s">
        <v>128</v>
      </c>
      <c r="Y10" s="45" t="s">
        <v>128</v>
      </c>
      <c r="Z10" s="45" t="s">
        <v>128</v>
      </c>
      <c r="AA10" s="45" t="s">
        <v>128</v>
      </c>
      <c r="AB10" s="45" t="s">
        <v>128</v>
      </c>
      <c r="AC10" s="107" t="s">
        <v>128</v>
      </c>
      <c r="AD10" s="107" t="s">
        <v>128</v>
      </c>
      <c r="AE10" s="107" t="s">
        <v>128</v>
      </c>
      <c r="AF10" s="107" t="s">
        <v>128</v>
      </c>
      <c r="AG10" s="107" t="s">
        <v>128</v>
      </c>
      <c r="AH10" s="107" t="s">
        <v>128</v>
      </c>
      <c r="AI10" s="228"/>
      <c r="AJ10" s="228"/>
      <c r="AK10" s="228"/>
      <c r="AL10" s="228"/>
      <c r="AM10" s="228"/>
      <c r="AN10" s="228"/>
      <c r="AO10" s="140"/>
      <c r="AP10" s="140"/>
    </row>
    <row r="11" spans="1:42" s="48" customFormat="1" x14ac:dyDescent="0.2">
      <c r="A11" s="22"/>
      <c r="B11" s="22"/>
      <c r="C11" s="22"/>
      <c r="D11" s="22"/>
      <c r="E11" s="22"/>
      <c r="F11" s="22"/>
      <c r="G11" s="22"/>
      <c r="H11" s="22"/>
      <c r="I11" s="22"/>
      <c r="J11" s="36"/>
      <c r="K11" s="19">
        <v>0</v>
      </c>
      <c r="L11" s="198" t="s">
        <v>128</v>
      </c>
      <c r="M11" s="198" t="s">
        <v>128</v>
      </c>
      <c r="N11" s="197" t="s">
        <v>128</v>
      </c>
      <c r="O11" s="195">
        <v>1</v>
      </c>
      <c r="P11" s="45" t="s">
        <v>128</v>
      </c>
      <c r="Q11" s="45" t="s">
        <v>128</v>
      </c>
      <c r="R11" s="45" t="s">
        <v>128</v>
      </c>
      <c r="S11" s="45" t="s">
        <v>128</v>
      </c>
      <c r="T11" s="45" t="s">
        <v>128</v>
      </c>
      <c r="U11" s="45" t="s">
        <v>128</v>
      </c>
      <c r="V11" s="45" t="s">
        <v>128</v>
      </c>
      <c r="W11" s="45" t="s">
        <v>128</v>
      </c>
      <c r="X11" s="45" t="s">
        <v>128</v>
      </c>
      <c r="Y11" s="45" t="s">
        <v>128</v>
      </c>
      <c r="Z11" s="45" t="s">
        <v>128</v>
      </c>
      <c r="AA11" s="45" t="s">
        <v>128</v>
      </c>
      <c r="AB11" s="45" t="s">
        <v>128</v>
      </c>
      <c r="AC11" s="107" t="s">
        <v>128</v>
      </c>
      <c r="AD11" s="107" t="s">
        <v>128</v>
      </c>
      <c r="AE11" s="107" t="s">
        <v>128</v>
      </c>
      <c r="AF11" s="107" t="s">
        <v>128</v>
      </c>
      <c r="AG11" s="107" t="s">
        <v>128</v>
      </c>
      <c r="AH11" s="107" t="s">
        <v>128</v>
      </c>
      <c r="AI11" s="228"/>
      <c r="AJ11" s="228"/>
      <c r="AK11" s="228"/>
      <c r="AL11" s="228"/>
      <c r="AM11" s="228"/>
      <c r="AN11" s="228"/>
      <c r="AO11" s="140"/>
      <c r="AP11" s="140"/>
    </row>
    <row r="12" spans="1:42" s="48" customFormat="1" x14ac:dyDescent="0.2">
      <c r="A12" s="209"/>
      <c r="B12" s="8"/>
      <c r="C12" s="8"/>
      <c r="D12" s="8"/>
      <c r="E12" s="8"/>
      <c r="F12" s="8"/>
      <c r="G12" s="8"/>
      <c r="H12" s="8"/>
      <c r="I12" s="8"/>
      <c r="J12" s="37"/>
      <c r="K12" s="19">
        <v>0</v>
      </c>
      <c r="L12" s="198" t="s">
        <v>128</v>
      </c>
      <c r="M12" s="198" t="s">
        <v>128</v>
      </c>
      <c r="N12" s="197" t="s">
        <v>128</v>
      </c>
      <c r="O12" s="195">
        <v>1</v>
      </c>
      <c r="P12" s="45" t="s">
        <v>128</v>
      </c>
      <c r="Q12" s="45" t="s">
        <v>128</v>
      </c>
      <c r="R12" s="45" t="s">
        <v>128</v>
      </c>
      <c r="S12" s="45" t="s">
        <v>128</v>
      </c>
      <c r="T12" s="45" t="s">
        <v>128</v>
      </c>
      <c r="U12" s="45" t="s">
        <v>128</v>
      </c>
      <c r="V12" s="45" t="s">
        <v>128</v>
      </c>
      <c r="W12" s="45" t="s">
        <v>128</v>
      </c>
      <c r="X12" s="45" t="s">
        <v>128</v>
      </c>
      <c r="Y12" s="45" t="s">
        <v>128</v>
      </c>
      <c r="Z12" s="45" t="s">
        <v>128</v>
      </c>
      <c r="AA12" s="45" t="s">
        <v>128</v>
      </c>
      <c r="AB12" s="45" t="s">
        <v>128</v>
      </c>
      <c r="AC12" s="107" t="s">
        <v>128</v>
      </c>
      <c r="AD12" s="107" t="s">
        <v>128</v>
      </c>
      <c r="AE12" s="107" t="s">
        <v>128</v>
      </c>
      <c r="AF12" s="107" t="s">
        <v>128</v>
      </c>
      <c r="AG12" s="107" t="s">
        <v>128</v>
      </c>
      <c r="AH12" s="107" t="s">
        <v>128</v>
      </c>
      <c r="AI12" s="228"/>
      <c r="AJ12" s="228"/>
      <c r="AK12" s="228"/>
      <c r="AL12" s="228"/>
      <c r="AM12" s="228"/>
      <c r="AN12" s="228"/>
      <c r="AO12" s="140"/>
      <c r="AP12" s="140"/>
    </row>
    <row r="13" spans="1:42" s="48" customFormat="1" x14ac:dyDescent="0.2">
      <c r="A13" s="22"/>
      <c r="B13" s="22"/>
      <c r="C13" s="22"/>
      <c r="D13" s="22"/>
      <c r="E13" s="22"/>
      <c r="F13" s="22"/>
      <c r="G13" s="22"/>
      <c r="H13" s="22"/>
      <c r="I13" s="22"/>
      <c r="J13" s="36"/>
      <c r="K13" s="19">
        <v>0</v>
      </c>
      <c r="L13" s="198" t="s">
        <v>128</v>
      </c>
      <c r="M13" s="198" t="s">
        <v>128</v>
      </c>
      <c r="N13" s="197" t="s">
        <v>128</v>
      </c>
      <c r="O13" s="195">
        <v>1</v>
      </c>
      <c r="P13" s="45" t="s">
        <v>128</v>
      </c>
      <c r="Q13" s="45" t="s">
        <v>128</v>
      </c>
      <c r="R13" s="45" t="s">
        <v>128</v>
      </c>
      <c r="S13" s="45" t="s">
        <v>128</v>
      </c>
      <c r="T13" s="45" t="s">
        <v>128</v>
      </c>
      <c r="U13" s="45" t="s">
        <v>128</v>
      </c>
      <c r="V13" s="45" t="s">
        <v>128</v>
      </c>
      <c r="W13" s="45" t="s">
        <v>128</v>
      </c>
      <c r="X13" s="45" t="s">
        <v>128</v>
      </c>
      <c r="Y13" s="45" t="s">
        <v>128</v>
      </c>
      <c r="Z13" s="45" t="s">
        <v>128</v>
      </c>
      <c r="AA13" s="45" t="s">
        <v>128</v>
      </c>
      <c r="AB13" s="45" t="s">
        <v>128</v>
      </c>
      <c r="AC13" s="107" t="s">
        <v>128</v>
      </c>
      <c r="AD13" s="107" t="s">
        <v>128</v>
      </c>
      <c r="AE13" s="107" t="s">
        <v>128</v>
      </c>
      <c r="AF13" s="107" t="s">
        <v>128</v>
      </c>
      <c r="AG13" s="107" t="s">
        <v>128</v>
      </c>
      <c r="AH13" s="107" t="s">
        <v>128</v>
      </c>
      <c r="AI13" s="228"/>
      <c r="AJ13" s="228"/>
      <c r="AK13" s="228"/>
      <c r="AL13" s="228"/>
      <c r="AM13" s="228"/>
      <c r="AN13" s="228"/>
      <c r="AO13" s="140"/>
      <c r="AP13" s="140"/>
    </row>
    <row r="14" spans="1:42" s="48" customFormat="1" x14ac:dyDescent="0.2">
      <c r="A14" s="209"/>
      <c r="B14" s="8"/>
      <c r="C14" s="8"/>
      <c r="D14" s="8"/>
      <c r="E14" s="8"/>
      <c r="F14" s="8"/>
      <c r="G14" s="8"/>
      <c r="H14" s="8"/>
      <c r="I14" s="8"/>
      <c r="J14" s="37"/>
      <c r="K14" s="19">
        <v>0</v>
      </c>
      <c r="L14" s="198" t="s">
        <v>128</v>
      </c>
      <c r="M14" s="198" t="s">
        <v>128</v>
      </c>
      <c r="N14" s="197" t="s">
        <v>128</v>
      </c>
      <c r="O14" s="195">
        <v>1</v>
      </c>
      <c r="P14" s="45" t="s">
        <v>128</v>
      </c>
      <c r="Q14" s="45" t="s">
        <v>128</v>
      </c>
      <c r="R14" s="45" t="s">
        <v>128</v>
      </c>
      <c r="S14" s="45" t="s">
        <v>128</v>
      </c>
      <c r="T14" s="45" t="s">
        <v>128</v>
      </c>
      <c r="U14" s="45" t="s">
        <v>128</v>
      </c>
      <c r="V14" s="45" t="s">
        <v>128</v>
      </c>
      <c r="W14" s="45" t="s">
        <v>128</v>
      </c>
      <c r="X14" s="45" t="s">
        <v>128</v>
      </c>
      <c r="Y14" s="45" t="s">
        <v>128</v>
      </c>
      <c r="Z14" s="45" t="s">
        <v>128</v>
      </c>
      <c r="AA14" s="45" t="s">
        <v>128</v>
      </c>
      <c r="AB14" s="45" t="s">
        <v>128</v>
      </c>
      <c r="AC14" s="107" t="s">
        <v>128</v>
      </c>
      <c r="AD14" s="107" t="s">
        <v>128</v>
      </c>
      <c r="AE14" s="107" t="s">
        <v>128</v>
      </c>
      <c r="AF14" s="107" t="s">
        <v>128</v>
      </c>
      <c r="AG14" s="107" t="s">
        <v>128</v>
      </c>
      <c r="AH14" s="107" t="s">
        <v>128</v>
      </c>
      <c r="AI14" s="228"/>
      <c r="AJ14" s="228"/>
      <c r="AK14" s="228"/>
      <c r="AL14" s="228"/>
      <c r="AM14" s="228"/>
      <c r="AN14" s="228"/>
      <c r="AO14" s="140"/>
      <c r="AP14" s="140"/>
    </row>
    <row r="15" spans="1:42" s="48" customFormat="1" x14ac:dyDescent="0.2">
      <c r="A15" s="22"/>
      <c r="B15" s="22"/>
      <c r="C15" s="22"/>
      <c r="D15" s="22"/>
      <c r="E15" s="22"/>
      <c r="F15" s="22"/>
      <c r="G15" s="22"/>
      <c r="H15" s="22"/>
      <c r="I15" s="22"/>
      <c r="J15" s="36"/>
      <c r="K15" s="19">
        <v>0</v>
      </c>
      <c r="L15" s="198" t="s">
        <v>128</v>
      </c>
      <c r="M15" s="198" t="s">
        <v>128</v>
      </c>
      <c r="N15" s="197" t="s">
        <v>128</v>
      </c>
      <c r="O15" s="195">
        <v>1</v>
      </c>
      <c r="P15" s="45" t="s">
        <v>128</v>
      </c>
      <c r="Q15" s="45" t="s">
        <v>128</v>
      </c>
      <c r="R15" s="45" t="s">
        <v>128</v>
      </c>
      <c r="S15" s="45" t="s">
        <v>128</v>
      </c>
      <c r="T15" s="45" t="s">
        <v>128</v>
      </c>
      <c r="U15" s="45" t="s">
        <v>128</v>
      </c>
      <c r="V15" s="45" t="s">
        <v>128</v>
      </c>
      <c r="W15" s="45" t="s">
        <v>128</v>
      </c>
      <c r="X15" s="45" t="s">
        <v>128</v>
      </c>
      <c r="Y15" s="45" t="s">
        <v>128</v>
      </c>
      <c r="Z15" s="45" t="s">
        <v>128</v>
      </c>
      <c r="AA15" s="45" t="s">
        <v>128</v>
      </c>
      <c r="AB15" s="45" t="s">
        <v>128</v>
      </c>
      <c r="AC15" s="107" t="s">
        <v>128</v>
      </c>
      <c r="AD15" s="107" t="s">
        <v>128</v>
      </c>
      <c r="AE15" s="107" t="s">
        <v>128</v>
      </c>
      <c r="AF15" s="107" t="s">
        <v>128</v>
      </c>
      <c r="AG15" s="107" t="s">
        <v>128</v>
      </c>
      <c r="AH15" s="107" t="s">
        <v>128</v>
      </c>
      <c r="AI15" s="228"/>
      <c r="AJ15" s="228"/>
      <c r="AK15" s="228"/>
      <c r="AL15" s="228"/>
      <c r="AM15" s="228"/>
      <c r="AN15" s="228"/>
      <c r="AO15" s="140"/>
      <c r="AP15" s="140"/>
    </row>
    <row r="16" spans="1:42" s="48" customFormat="1" x14ac:dyDescent="0.2">
      <c r="A16" s="209"/>
      <c r="B16" s="8"/>
      <c r="C16" s="8"/>
      <c r="D16" s="8"/>
      <c r="E16" s="8"/>
      <c r="F16" s="8"/>
      <c r="G16" s="8"/>
      <c r="H16" s="8"/>
      <c r="I16" s="8"/>
      <c r="J16" s="37"/>
      <c r="K16" s="19">
        <v>0</v>
      </c>
      <c r="L16" s="198" t="s">
        <v>128</v>
      </c>
      <c r="M16" s="198" t="s">
        <v>128</v>
      </c>
      <c r="N16" s="197" t="s">
        <v>128</v>
      </c>
      <c r="O16" s="195">
        <v>1</v>
      </c>
      <c r="P16" s="45" t="s">
        <v>128</v>
      </c>
      <c r="Q16" s="45" t="s">
        <v>128</v>
      </c>
      <c r="R16" s="45" t="s">
        <v>128</v>
      </c>
      <c r="S16" s="45" t="s">
        <v>128</v>
      </c>
      <c r="T16" s="45" t="s">
        <v>128</v>
      </c>
      <c r="U16" s="45" t="s">
        <v>128</v>
      </c>
      <c r="V16" s="45" t="s">
        <v>128</v>
      </c>
      <c r="W16" s="45" t="s">
        <v>128</v>
      </c>
      <c r="X16" s="45" t="s">
        <v>128</v>
      </c>
      <c r="Y16" s="45" t="s">
        <v>128</v>
      </c>
      <c r="Z16" s="45" t="s">
        <v>128</v>
      </c>
      <c r="AA16" s="45" t="s">
        <v>128</v>
      </c>
      <c r="AB16" s="45" t="s">
        <v>128</v>
      </c>
      <c r="AC16" s="107" t="s">
        <v>128</v>
      </c>
      <c r="AD16" s="107" t="s">
        <v>128</v>
      </c>
      <c r="AE16" s="107" t="s">
        <v>128</v>
      </c>
      <c r="AF16" s="107" t="s">
        <v>128</v>
      </c>
      <c r="AG16" s="107" t="s">
        <v>128</v>
      </c>
      <c r="AH16" s="107" t="s">
        <v>128</v>
      </c>
      <c r="AI16" s="228"/>
      <c r="AJ16" s="228"/>
      <c r="AK16" s="228"/>
      <c r="AL16" s="228"/>
      <c r="AM16" s="228"/>
      <c r="AN16" s="228"/>
      <c r="AO16" s="140"/>
      <c r="AP16" s="140"/>
    </row>
    <row r="17" spans="1:42" s="48" customFormat="1" x14ac:dyDescent="0.2">
      <c r="A17" s="22"/>
      <c r="B17" s="22"/>
      <c r="C17" s="22"/>
      <c r="D17" s="22"/>
      <c r="E17" s="22"/>
      <c r="F17" s="22"/>
      <c r="G17" s="22"/>
      <c r="H17" s="22"/>
      <c r="I17" s="22"/>
      <c r="J17" s="36"/>
      <c r="K17" s="19">
        <v>0</v>
      </c>
      <c r="L17" s="198" t="s">
        <v>128</v>
      </c>
      <c r="M17" s="198" t="s">
        <v>128</v>
      </c>
      <c r="N17" s="197" t="s">
        <v>128</v>
      </c>
      <c r="O17" s="195">
        <v>1</v>
      </c>
      <c r="P17" s="45" t="s">
        <v>128</v>
      </c>
      <c r="Q17" s="45" t="s">
        <v>128</v>
      </c>
      <c r="R17" s="45" t="s">
        <v>128</v>
      </c>
      <c r="S17" s="45" t="s">
        <v>128</v>
      </c>
      <c r="T17" s="45" t="s">
        <v>128</v>
      </c>
      <c r="U17" s="45" t="s">
        <v>128</v>
      </c>
      <c r="V17" s="45" t="s">
        <v>128</v>
      </c>
      <c r="W17" s="45" t="s">
        <v>128</v>
      </c>
      <c r="X17" s="45" t="s">
        <v>128</v>
      </c>
      <c r="Y17" s="45" t="s">
        <v>128</v>
      </c>
      <c r="Z17" s="45" t="s">
        <v>128</v>
      </c>
      <c r="AA17" s="45" t="s">
        <v>128</v>
      </c>
      <c r="AB17" s="45" t="s">
        <v>128</v>
      </c>
      <c r="AC17" s="107" t="s">
        <v>128</v>
      </c>
      <c r="AD17" s="107" t="s">
        <v>128</v>
      </c>
      <c r="AE17" s="107" t="s">
        <v>128</v>
      </c>
      <c r="AF17" s="107" t="s">
        <v>128</v>
      </c>
      <c r="AG17" s="107" t="s">
        <v>128</v>
      </c>
      <c r="AH17" s="107" t="s">
        <v>128</v>
      </c>
      <c r="AI17" s="228"/>
      <c r="AJ17" s="228"/>
      <c r="AK17" s="228"/>
      <c r="AL17" s="228"/>
      <c r="AM17" s="228"/>
      <c r="AN17" s="228"/>
      <c r="AO17" s="140"/>
      <c r="AP17" s="140"/>
    </row>
    <row r="18" spans="1:42" s="48" customFormat="1" x14ac:dyDescent="0.2">
      <c r="A18" s="209"/>
      <c r="B18" s="8"/>
      <c r="C18" s="8"/>
      <c r="D18" s="8"/>
      <c r="E18" s="8"/>
      <c r="F18" s="8"/>
      <c r="G18" s="8"/>
      <c r="H18" s="8"/>
      <c r="I18" s="8"/>
      <c r="J18" s="37"/>
      <c r="K18" s="19">
        <v>0</v>
      </c>
      <c r="L18" s="198" t="s">
        <v>128</v>
      </c>
      <c r="M18" s="198" t="s">
        <v>128</v>
      </c>
      <c r="N18" s="197" t="s">
        <v>128</v>
      </c>
      <c r="O18" s="195">
        <v>1</v>
      </c>
      <c r="P18" s="45" t="s">
        <v>128</v>
      </c>
      <c r="Q18" s="45" t="s">
        <v>128</v>
      </c>
      <c r="R18" s="45" t="s">
        <v>128</v>
      </c>
      <c r="S18" s="45" t="s">
        <v>128</v>
      </c>
      <c r="T18" s="45" t="s">
        <v>128</v>
      </c>
      <c r="U18" s="45" t="s">
        <v>128</v>
      </c>
      <c r="V18" s="45" t="s">
        <v>128</v>
      </c>
      <c r="W18" s="45" t="s">
        <v>128</v>
      </c>
      <c r="X18" s="45" t="s">
        <v>128</v>
      </c>
      <c r="Y18" s="45" t="s">
        <v>128</v>
      </c>
      <c r="Z18" s="45" t="s">
        <v>128</v>
      </c>
      <c r="AA18" s="45" t="s">
        <v>128</v>
      </c>
      <c r="AB18" s="45" t="s">
        <v>128</v>
      </c>
      <c r="AC18" s="107" t="s">
        <v>128</v>
      </c>
      <c r="AD18" s="107" t="s">
        <v>128</v>
      </c>
      <c r="AE18" s="107" t="s">
        <v>128</v>
      </c>
      <c r="AF18" s="107" t="s">
        <v>128</v>
      </c>
      <c r="AG18" s="107" t="s">
        <v>128</v>
      </c>
      <c r="AH18" s="107" t="s">
        <v>128</v>
      </c>
      <c r="AI18" s="228"/>
      <c r="AJ18" s="228"/>
      <c r="AK18" s="228"/>
      <c r="AL18" s="228"/>
      <c r="AM18" s="228"/>
      <c r="AN18" s="228"/>
      <c r="AO18" s="279"/>
      <c r="AP18" s="140"/>
    </row>
    <row r="19" spans="1:42" s="48" customFormat="1" x14ac:dyDescent="0.2">
      <c r="A19" s="22"/>
      <c r="B19" s="22"/>
      <c r="C19" s="22"/>
      <c r="D19" s="22"/>
      <c r="E19" s="22"/>
      <c r="F19" s="22"/>
      <c r="G19" s="22"/>
      <c r="H19" s="22"/>
      <c r="I19" s="22"/>
      <c r="J19" s="36"/>
      <c r="K19" s="19">
        <v>0</v>
      </c>
      <c r="L19" s="198" t="s">
        <v>128</v>
      </c>
      <c r="M19" s="198" t="s">
        <v>128</v>
      </c>
      <c r="N19" s="197" t="s">
        <v>128</v>
      </c>
      <c r="O19" s="195">
        <v>1</v>
      </c>
      <c r="P19" s="45" t="s">
        <v>128</v>
      </c>
      <c r="Q19" s="45" t="s">
        <v>128</v>
      </c>
      <c r="R19" s="45" t="s">
        <v>128</v>
      </c>
      <c r="S19" s="45" t="s">
        <v>128</v>
      </c>
      <c r="T19" s="45" t="s">
        <v>128</v>
      </c>
      <c r="U19" s="45" t="s">
        <v>128</v>
      </c>
      <c r="V19" s="45" t="s">
        <v>128</v>
      </c>
      <c r="W19" s="45" t="s">
        <v>128</v>
      </c>
      <c r="X19" s="45" t="s">
        <v>128</v>
      </c>
      <c r="Y19" s="45" t="s">
        <v>128</v>
      </c>
      <c r="Z19" s="45" t="s">
        <v>128</v>
      </c>
      <c r="AA19" s="45" t="s">
        <v>128</v>
      </c>
      <c r="AB19" s="45" t="s">
        <v>128</v>
      </c>
      <c r="AC19" s="107" t="s">
        <v>128</v>
      </c>
      <c r="AD19" s="107" t="s">
        <v>128</v>
      </c>
      <c r="AE19" s="107" t="s">
        <v>128</v>
      </c>
      <c r="AF19" s="107" t="s">
        <v>128</v>
      </c>
      <c r="AG19" s="107" t="s">
        <v>128</v>
      </c>
      <c r="AH19" s="107" t="s">
        <v>128</v>
      </c>
      <c r="AI19" s="228"/>
      <c r="AJ19" s="228"/>
      <c r="AK19" s="228"/>
      <c r="AL19" s="228"/>
      <c r="AM19" s="228"/>
      <c r="AN19" s="228"/>
      <c r="AO19" s="279"/>
      <c r="AP19" s="140"/>
    </row>
    <row r="20" spans="1:42" s="48" customFormat="1" x14ac:dyDescent="0.2">
      <c r="A20" s="209"/>
      <c r="B20" s="8"/>
      <c r="C20" s="8"/>
      <c r="D20" s="8"/>
      <c r="E20" s="8"/>
      <c r="F20" s="8"/>
      <c r="G20" s="8"/>
      <c r="H20" s="8"/>
      <c r="I20" s="8"/>
      <c r="J20" s="37"/>
      <c r="K20" s="19">
        <v>0</v>
      </c>
      <c r="L20" s="198" t="s">
        <v>128</v>
      </c>
      <c r="M20" s="198" t="s">
        <v>128</v>
      </c>
      <c r="N20" s="197" t="s">
        <v>128</v>
      </c>
      <c r="O20" s="195">
        <v>1</v>
      </c>
      <c r="P20" s="45" t="s">
        <v>128</v>
      </c>
      <c r="Q20" s="45" t="s">
        <v>128</v>
      </c>
      <c r="R20" s="45" t="s">
        <v>128</v>
      </c>
      <c r="S20" s="45" t="s">
        <v>128</v>
      </c>
      <c r="T20" s="45" t="s">
        <v>128</v>
      </c>
      <c r="U20" s="45" t="s">
        <v>128</v>
      </c>
      <c r="V20" s="45" t="s">
        <v>128</v>
      </c>
      <c r="W20" s="45" t="s">
        <v>128</v>
      </c>
      <c r="X20" s="45" t="s">
        <v>128</v>
      </c>
      <c r="Y20" s="45" t="s">
        <v>128</v>
      </c>
      <c r="Z20" s="45" t="s">
        <v>128</v>
      </c>
      <c r="AA20" s="45" t="s">
        <v>128</v>
      </c>
      <c r="AB20" s="45" t="s">
        <v>128</v>
      </c>
      <c r="AC20" s="107" t="s">
        <v>128</v>
      </c>
      <c r="AD20" s="107" t="s">
        <v>128</v>
      </c>
      <c r="AE20" s="107" t="s">
        <v>128</v>
      </c>
      <c r="AF20" s="107" t="s">
        <v>128</v>
      </c>
      <c r="AG20" s="107" t="s">
        <v>128</v>
      </c>
      <c r="AH20" s="107" t="s">
        <v>128</v>
      </c>
      <c r="AI20" s="228"/>
      <c r="AJ20" s="228"/>
      <c r="AK20" s="228"/>
      <c r="AL20" s="228"/>
      <c r="AM20" s="228"/>
      <c r="AN20" s="228"/>
      <c r="AO20" s="279"/>
      <c r="AP20" s="140"/>
    </row>
    <row r="21" spans="1:42" s="48" customFormat="1" x14ac:dyDescent="0.2">
      <c r="A21" s="22"/>
      <c r="B21" s="22"/>
      <c r="C21" s="22"/>
      <c r="D21" s="22"/>
      <c r="E21" s="22"/>
      <c r="F21" s="22"/>
      <c r="G21" s="22"/>
      <c r="H21" s="22"/>
      <c r="I21" s="22"/>
      <c r="J21" s="36"/>
      <c r="K21" s="19">
        <v>0</v>
      </c>
      <c r="L21" s="198" t="s">
        <v>128</v>
      </c>
      <c r="M21" s="198" t="s">
        <v>128</v>
      </c>
      <c r="N21" s="197" t="s">
        <v>128</v>
      </c>
      <c r="O21" s="195">
        <v>1</v>
      </c>
      <c r="P21" s="45" t="s">
        <v>128</v>
      </c>
      <c r="Q21" s="45" t="s">
        <v>128</v>
      </c>
      <c r="R21" s="45" t="s">
        <v>128</v>
      </c>
      <c r="S21" s="45" t="s">
        <v>128</v>
      </c>
      <c r="T21" s="45" t="s">
        <v>128</v>
      </c>
      <c r="U21" s="45" t="s">
        <v>128</v>
      </c>
      <c r="V21" s="45" t="s">
        <v>128</v>
      </c>
      <c r="W21" s="45" t="s">
        <v>128</v>
      </c>
      <c r="X21" s="45" t="s">
        <v>128</v>
      </c>
      <c r="Y21" s="45" t="s">
        <v>128</v>
      </c>
      <c r="Z21" s="45" t="s">
        <v>128</v>
      </c>
      <c r="AA21" s="45" t="s">
        <v>128</v>
      </c>
      <c r="AB21" s="45" t="s">
        <v>128</v>
      </c>
      <c r="AC21" s="107" t="s">
        <v>128</v>
      </c>
      <c r="AD21" s="107" t="s">
        <v>128</v>
      </c>
      <c r="AE21" s="107" t="s">
        <v>128</v>
      </c>
      <c r="AF21" s="107" t="s">
        <v>128</v>
      </c>
      <c r="AG21" s="107" t="s">
        <v>128</v>
      </c>
      <c r="AH21" s="107" t="s">
        <v>128</v>
      </c>
      <c r="AI21" s="228"/>
      <c r="AJ21" s="228"/>
      <c r="AK21" s="228"/>
      <c r="AL21" s="228"/>
      <c r="AM21" s="228"/>
      <c r="AN21" s="228"/>
      <c r="AO21" s="140"/>
      <c r="AP21" s="140"/>
    </row>
    <row r="22" spans="1:42" s="48" customFormat="1" x14ac:dyDescent="0.2">
      <c r="A22" s="209"/>
      <c r="B22" s="8"/>
      <c r="C22" s="8"/>
      <c r="D22" s="8"/>
      <c r="E22" s="8"/>
      <c r="F22" s="8"/>
      <c r="G22" s="8"/>
      <c r="H22" s="8"/>
      <c r="I22" s="8"/>
      <c r="J22" s="37"/>
      <c r="K22" s="19">
        <v>0</v>
      </c>
      <c r="L22" s="198" t="s">
        <v>128</v>
      </c>
      <c r="M22" s="198" t="s">
        <v>128</v>
      </c>
      <c r="N22" s="197" t="s">
        <v>128</v>
      </c>
      <c r="O22" s="195">
        <v>1</v>
      </c>
      <c r="P22" s="45" t="s">
        <v>128</v>
      </c>
      <c r="Q22" s="45" t="s">
        <v>128</v>
      </c>
      <c r="R22" s="45" t="s">
        <v>128</v>
      </c>
      <c r="S22" s="45" t="s">
        <v>128</v>
      </c>
      <c r="T22" s="45" t="s">
        <v>128</v>
      </c>
      <c r="U22" s="45" t="s">
        <v>128</v>
      </c>
      <c r="V22" s="45" t="s">
        <v>128</v>
      </c>
      <c r="W22" s="45" t="s">
        <v>128</v>
      </c>
      <c r="X22" s="45" t="s">
        <v>128</v>
      </c>
      <c r="Y22" s="45" t="s">
        <v>128</v>
      </c>
      <c r="Z22" s="45" t="s">
        <v>128</v>
      </c>
      <c r="AA22" s="45" t="s">
        <v>128</v>
      </c>
      <c r="AB22" s="45" t="s">
        <v>128</v>
      </c>
      <c r="AC22" s="107" t="s">
        <v>128</v>
      </c>
      <c r="AD22" s="107" t="s">
        <v>128</v>
      </c>
      <c r="AE22" s="107" t="s">
        <v>128</v>
      </c>
      <c r="AF22" s="107" t="s">
        <v>128</v>
      </c>
      <c r="AG22" s="107" t="s">
        <v>128</v>
      </c>
      <c r="AH22" s="107" t="s">
        <v>128</v>
      </c>
      <c r="AI22" s="228"/>
      <c r="AJ22" s="228"/>
      <c r="AK22" s="228"/>
      <c r="AL22" s="228"/>
      <c r="AM22" s="228"/>
      <c r="AN22" s="228"/>
      <c r="AO22" s="140"/>
      <c r="AP22" s="140"/>
    </row>
    <row r="23" spans="1:42" s="48" customFormat="1" x14ac:dyDescent="0.2">
      <c r="A23" s="22"/>
      <c r="B23" s="22"/>
      <c r="C23" s="22"/>
      <c r="D23" s="22"/>
      <c r="E23" s="22"/>
      <c r="F23" s="22"/>
      <c r="G23" s="22"/>
      <c r="H23" s="22"/>
      <c r="I23" s="22"/>
      <c r="J23" s="36"/>
      <c r="K23" s="19">
        <v>0</v>
      </c>
      <c r="L23" s="198" t="s">
        <v>128</v>
      </c>
      <c r="M23" s="198" t="s">
        <v>128</v>
      </c>
      <c r="N23" s="197" t="s">
        <v>128</v>
      </c>
      <c r="O23" s="195">
        <v>1</v>
      </c>
      <c r="P23" s="45" t="s">
        <v>128</v>
      </c>
      <c r="Q23" s="45" t="s">
        <v>128</v>
      </c>
      <c r="R23" s="45" t="s">
        <v>128</v>
      </c>
      <c r="S23" s="45" t="s">
        <v>128</v>
      </c>
      <c r="T23" s="45" t="s">
        <v>128</v>
      </c>
      <c r="U23" s="45" t="s">
        <v>128</v>
      </c>
      <c r="V23" s="45" t="s">
        <v>128</v>
      </c>
      <c r="W23" s="45" t="s">
        <v>128</v>
      </c>
      <c r="X23" s="45" t="s">
        <v>128</v>
      </c>
      <c r="Y23" s="45" t="s">
        <v>128</v>
      </c>
      <c r="Z23" s="45" t="s">
        <v>128</v>
      </c>
      <c r="AA23" s="45" t="s">
        <v>128</v>
      </c>
      <c r="AB23" s="45" t="s">
        <v>128</v>
      </c>
      <c r="AC23" s="107" t="s">
        <v>128</v>
      </c>
      <c r="AD23" s="107" t="s">
        <v>128</v>
      </c>
      <c r="AE23" s="107" t="s">
        <v>128</v>
      </c>
      <c r="AF23" s="107" t="s">
        <v>128</v>
      </c>
      <c r="AG23" s="107" t="s">
        <v>128</v>
      </c>
      <c r="AH23" s="107" t="s">
        <v>128</v>
      </c>
      <c r="AI23" s="228"/>
      <c r="AJ23" s="228"/>
      <c r="AK23" s="228"/>
      <c r="AL23" s="228"/>
      <c r="AM23" s="228"/>
      <c r="AN23" s="228"/>
      <c r="AO23" s="140"/>
      <c r="AP23" s="140"/>
    </row>
    <row r="24" spans="1:42" s="48" customFormat="1" x14ac:dyDescent="0.2">
      <c r="A24" s="209"/>
      <c r="B24" s="8"/>
      <c r="C24" s="8"/>
      <c r="D24" s="8"/>
      <c r="E24" s="8"/>
      <c r="F24" s="8"/>
      <c r="G24" s="8"/>
      <c r="H24" s="8"/>
      <c r="I24" s="8"/>
      <c r="J24" s="37"/>
      <c r="K24" s="19">
        <v>0</v>
      </c>
      <c r="L24" s="198" t="s">
        <v>128</v>
      </c>
      <c r="M24" s="198" t="s">
        <v>128</v>
      </c>
      <c r="N24" s="197" t="s">
        <v>128</v>
      </c>
      <c r="O24" s="195">
        <v>1</v>
      </c>
      <c r="P24" s="45" t="s">
        <v>128</v>
      </c>
      <c r="Q24" s="45" t="s">
        <v>128</v>
      </c>
      <c r="R24" s="45" t="s">
        <v>128</v>
      </c>
      <c r="S24" s="45" t="s">
        <v>128</v>
      </c>
      <c r="T24" s="45" t="s">
        <v>128</v>
      </c>
      <c r="U24" s="45" t="s">
        <v>128</v>
      </c>
      <c r="V24" s="45" t="s">
        <v>128</v>
      </c>
      <c r="W24" s="45" t="s">
        <v>128</v>
      </c>
      <c r="X24" s="45" t="s">
        <v>128</v>
      </c>
      <c r="Y24" s="45" t="s">
        <v>128</v>
      </c>
      <c r="Z24" s="45" t="s">
        <v>128</v>
      </c>
      <c r="AA24" s="45" t="s">
        <v>128</v>
      </c>
      <c r="AB24" s="45" t="s">
        <v>128</v>
      </c>
      <c r="AC24" s="107" t="s">
        <v>128</v>
      </c>
      <c r="AD24" s="107" t="s">
        <v>128</v>
      </c>
      <c r="AE24" s="107" t="s">
        <v>128</v>
      </c>
      <c r="AF24" s="107" t="s">
        <v>128</v>
      </c>
      <c r="AG24" s="107" t="s">
        <v>128</v>
      </c>
      <c r="AH24" s="107" t="s">
        <v>128</v>
      </c>
      <c r="AI24" s="228"/>
      <c r="AJ24" s="228"/>
      <c r="AK24" s="228"/>
      <c r="AL24" s="228"/>
      <c r="AM24" s="228"/>
      <c r="AN24" s="228"/>
      <c r="AO24" s="140"/>
      <c r="AP24" s="140"/>
    </row>
    <row r="25" spans="1:42" s="48" customFormat="1" x14ac:dyDescent="0.2">
      <c r="A25" s="22"/>
      <c r="B25" s="22"/>
      <c r="C25" s="22"/>
      <c r="D25" s="22"/>
      <c r="E25" s="22"/>
      <c r="F25" s="22"/>
      <c r="G25" s="22"/>
      <c r="H25" s="22"/>
      <c r="I25" s="22"/>
      <c r="J25" s="36"/>
      <c r="K25" s="19">
        <v>0</v>
      </c>
      <c r="L25" s="198" t="s">
        <v>128</v>
      </c>
      <c r="M25" s="198" t="s">
        <v>128</v>
      </c>
      <c r="N25" s="197" t="s">
        <v>128</v>
      </c>
      <c r="O25" s="195">
        <v>1</v>
      </c>
      <c r="P25" s="45" t="s">
        <v>128</v>
      </c>
      <c r="Q25" s="45" t="s">
        <v>128</v>
      </c>
      <c r="R25" s="45" t="s">
        <v>128</v>
      </c>
      <c r="S25" s="45" t="s">
        <v>128</v>
      </c>
      <c r="T25" s="45" t="s">
        <v>128</v>
      </c>
      <c r="U25" s="45" t="s">
        <v>128</v>
      </c>
      <c r="V25" s="45" t="s">
        <v>128</v>
      </c>
      <c r="W25" s="45" t="s">
        <v>128</v>
      </c>
      <c r="X25" s="45" t="s">
        <v>128</v>
      </c>
      <c r="Y25" s="45" t="s">
        <v>128</v>
      </c>
      <c r="Z25" s="45" t="s">
        <v>128</v>
      </c>
      <c r="AA25" s="45" t="s">
        <v>128</v>
      </c>
      <c r="AB25" s="45" t="s">
        <v>128</v>
      </c>
      <c r="AC25" s="107" t="s">
        <v>128</v>
      </c>
      <c r="AD25" s="107" t="s">
        <v>128</v>
      </c>
      <c r="AE25" s="107" t="s">
        <v>128</v>
      </c>
      <c r="AF25" s="107" t="s">
        <v>128</v>
      </c>
      <c r="AG25" s="107" t="s">
        <v>128</v>
      </c>
      <c r="AH25" s="107" t="s">
        <v>128</v>
      </c>
      <c r="AI25" s="228"/>
      <c r="AJ25" s="228"/>
      <c r="AK25" s="228"/>
      <c r="AL25" s="228"/>
      <c r="AM25" s="228"/>
      <c r="AN25" s="228"/>
      <c r="AO25" s="140"/>
      <c r="AP25" s="140"/>
    </row>
    <row r="26" spans="1:42" s="48" customFormat="1" x14ac:dyDescent="0.2">
      <c r="A26" s="209"/>
      <c r="B26" s="8"/>
      <c r="C26" s="8"/>
      <c r="D26" s="8"/>
      <c r="E26" s="8"/>
      <c r="F26" s="8"/>
      <c r="G26" s="8"/>
      <c r="H26" s="8"/>
      <c r="I26" s="8"/>
      <c r="J26" s="37"/>
      <c r="K26" s="19">
        <v>0</v>
      </c>
      <c r="L26" s="198" t="s">
        <v>128</v>
      </c>
      <c r="M26" s="198" t="s">
        <v>128</v>
      </c>
      <c r="N26" s="197" t="s">
        <v>128</v>
      </c>
      <c r="O26" s="195">
        <v>1</v>
      </c>
      <c r="P26" s="45" t="s">
        <v>128</v>
      </c>
      <c r="Q26" s="45" t="s">
        <v>128</v>
      </c>
      <c r="R26" s="45" t="s">
        <v>128</v>
      </c>
      <c r="S26" s="45" t="s">
        <v>128</v>
      </c>
      <c r="T26" s="45" t="s">
        <v>128</v>
      </c>
      <c r="U26" s="45" t="s">
        <v>128</v>
      </c>
      <c r="V26" s="45" t="s">
        <v>128</v>
      </c>
      <c r="W26" s="45" t="s">
        <v>128</v>
      </c>
      <c r="X26" s="45" t="s">
        <v>128</v>
      </c>
      <c r="Y26" s="45" t="s">
        <v>128</v>
      </c>
      <c r="Z26" s="45" t="s">
        <v>128</v>
      </c>
      <c r="AA26" s="45" t="s">
        <v>128</v>
      </c>
      <c r="AB26" s="45" t="s">
        <v>128</v>
      </c>
      <c r="AC26" s="107" t="s">
        <v>128</v>
      </c>
      <c r="AD26" s="107" t="s">
        <v>128</v>
      </c>
      <c r="AE26" s="107" t="s">
        <v>128</v>
      </c>
      <c r="AF26" s="107" t="s">
        <v>128</v>
      </c>
      <c r="AG26" s="107" t="s">
        <v>128</v>
      </c>
      <c r="AH26" s="107" t="s">
        <v>128</v>
      </c>
      <c r="AI26" s="228"/>
      <c r="AJ26" s="228"/>
      <c r="AK26" s="228"/>
      <c r="AL26" s="228"/>
      <c r="AM26" s="228"/>
      <c r="AN26" s="228"/>
      <c r="AO26" s="140"/>
      <c r="AP26" s="140"/>
    </row>
    <row r="27" spans="1:42" s="48" customFormat="1" x14ac:dyDescent="0.2">
      <c r="A27" s="22"/>
      <c r="B27" s="22"/>
      <c r="C27" s="22"/>
      <c r="D27" s="22"/>
      <c r="E27" s="22"/>
      <c r="F27" s="22"/>
      <c r="G27" s="22"/>
      <c r="H27" s="22"/>
      <c r="I27" s="22"/>
      <c r="J27" s="36"/>
      <c r="K27" s="19">
        <v>0</v>
      </c>
      <c r="L27" s="198" t="s">
        <v>128</v>
      </c>
      <c r="M27" s="198" t="s">
        <v>128</v>
      </c>
      <c r="N27" s="197" t="s">
        <v>128</v>
      </c>
      <c r="O27" s="195">
        <v>1</v>
      </c>
      <c r="P27" s="45" t="s">
        <v>128</v>
      </c>
      <c r="Q27" s="45" t="s">
        <v>128</v>
      </c>
      <c r="R27" s="45" t="s">
        <v>128</v>
      </c>
      <c r="S27" s="45" t="s">
        <v>128</v>
      </c>
      <c r="T27" s="45" t="s">
        <v>128</v>
      </c>
      <c r="U27" s="45" t="s">
        <v>128</v>
      </c>
      <c r="V27" s="45" t="s">
        <v>128</v>
      </c>
      <c r="W27" s="45" t="s">
        <v>128</v>
      </c>
      <c r="X27" s="45" t="s">
        <v>128</v>
      </c>
      <c r="Y27" s="45" t="s">
        <v>128</v>
      </c>
      <c r="Z27" s="45" t="s">
        <v>128</v>
      </c>
      <c r="AA27" s="45" t="s">
        <v>128</v>
      </c>
      <c r="AB27" s="45" t="s">
        <v>128</v>
      </c>
      <c r="AC27" s="107" t="s">
        <v>128</v>
      </c>
      <c r="AD27" s="107" t="s">
        <v>128</v>
      </c>
      <c r="AE27" s="107" t="s">
        <v>128</v>
      </c>
      <c r="AF27" s="107" t="s">
        <v>128</v>
      </c>
      <c r="AG27" s="107" t="s">
        <v>128</v>
      </c>
      <c r="AH27" s="107" t="s">
        <v>128</v>
      </c>
      <c r="AI27" s="228"/>
      <c r="AJ27" s="228"/>
      <c r="AK27" s="228"/>
      <c r="AL27" s="228"/>
      <c r="AM27" s="228"/>
      <c r="AN27" s="228"/>
      <c r="AO27" s="140"/>
      <c r="AP27" s="140"/>
    </row>
    <row r="28" spans="1:42" s="48" customFormat="1" x14ac:dyDescent="0.2">
      <c r="A28" s="209"/>
      <c r="B28" s="8"/>
      <c r="C28" s="8"/>
      <c r="D28" s="8"/>
      <c r="E28" s="8"/>
      <c r="F28" s="8"/>
      <c r="G28" s="8"/>
      <c r="H28" s="8"/>
      <c r="I28" s="8"/>
      <c r="J28" s="37"/>
      <c r="K28" s="19">
        <v>0</v>
      </c>
      <c r="L28" s="198" t="s">
        <v>128</v>
      </c>
      <c r="M28" s="198" t="s">
        <v>128</v>
      </c>
      <c r="N28" s="197" t="s">
        <v>128</v>
      </c>
      <c r="O28" s="195">
        <v>1</v>
      </c>
      <c r="P28" s="45" t="s">
        <v>128</v>
      </c>
      <c r="Q28" s="45" t="s">
        <v>128</v>
      </c>
      <c r="R28" s="45" t="s">
        <v>128</v>
      </c>
      <c r="S28" s="45" t="s">
        <v>128</v>
      </c>
      <c r="T28" s="45" t="s">
        <v>128</v>
      </c>
      <c r="U28" s="45" t="s">
        <v>128</v>
      </c>
      <c r="V28" s="45" t="s">
        <v>128</v>
      </c>
      <c r="W28" s="45" t="s">
        <v>128</v>
      </c>
      <c r="X28" s="45" t="s">
        <v>128</v>
      </c>
      <c r="Y28" s="45" t="s">
        <v>128</v>
      </c>
      <c r="Z28" s="45" t="s">
        <v>128</v>
      </c>
      <c r="AA28" s="45" t="s">
        <v>128</v>
      </c>
      <c r="AB28" s="45" t="s">
        <v>128</v>
      </c>
      <c r="AC28" s="107" t="s">
        <v>128</v>
      </c>
      <c r="AD28" s="107" t="s">
        <v>128</v>
      </c>
      <c r="AE28" s="107" t="s">
        <v>128</v>
      </c>
      <c r="AF28" s="107" t="s">
        <v>128</v>
      </c>
      <c r="AG28" s="107" t="s">
        <v>128</v>
      </c>
      <c r="AH28" s="107" t="s">
        <v>128</v>
      </c>
      <c r="AI28" s="228"/>
      <c r="AJ28" s="228"/>
      <c r="AK28" s="228"/>
      <c r="AL28" s="228"/>
      <c r="AM28" s="228"/>
      <c r="AN28" s="228"/>
      <c r="AO28" s="140"/>
      <c r="AP28" s="140"/>
    </row>
    <row r="29" spans="1:42" s="48" customFormat="1" x14ac:dyDescent="0.2">
      <c r="A29" s="22"/>
      <c r="B29" s="22"/>
      <c r="C29" s="22"/>
      <c r="D29" s="22"/>
      <c r="E29" s="22"/>
      <c r="F29" s="22"/>
      <c r="G29" s="22"/>
      <c r="H29" s="22"/>
      <c r="I29" s="22"/>
      <c r="J29" s="36"/>
      <c r="K29" s="19">
        <v>0</v>
      </c>
      <c r="L29" s="198" t="s">
        <v>128</v>
      </c>
      <c r="M29" s="198" t="s">
        <v>128</v>
      </c>
      <c r="N29" s="197" t="s">
        <v>128</v>
      </c>
      <c r="O29" s="195">
        <v>1</v>
      </c>
      <c r="P29" s="45" t="s">
        <v>128</v>
      </c>
      <c r="Q29" s="45" t="s">
        <v>128</v>
      </c>
      <c r="R29" s="45" t="s">
        <v>128</v>
      </c>
      <c r="S29" s="45" t="s">
        <v>128</v>
      </c>
      <c r="T29" s="45" t="s">
        <v>128</v>
      </c>
      <c r="U29" s="45" t="s">
        <v>128</v>
      </c>
      <c r="V29" s="45" t="s">
        <v>128</v>
      </c>
      <c r="W29" s="45" t="s">
        <v>128</v>
      </c>
      <c r="X29" s="45" t="s">
        <v>128</v>
      </c>
      <c r="Y29" s="45" t="s">
        <v>128</v>
      </c>
      <c r="Z29" s="45" t="s">
        <v>128</v>
      </c>
      <c r="AA29" s="45" t="s">
        <v>128</v>
      </c>
      <c r="AB29" s="45" t="s">
        <v>128</v>
      </c>
      <c r="AC29" s="107" t="s">
        <v>128</v>
      </c>
      <c r="AD29" s="107" t="s">
        <v>128</v>
      </c>
      <c r="AE29" s="107" t="s">
        <v>128</v>
      </c>
      <c r="AF29" s="107" t="s">
        <v>128</v>
      </c>
      <c r="AG29" s="107" t="s">
        <v>128</v>
      </c>
      <c r="AH29" s="107" t="s">
        <v>128</v>
      </c>
      <c r="AI29" s="228"/>
      <c r="AJ29" s="228"/>
      <c r="AK29" s="228"/>
      <c r="AL29" s="228"/>
      <c r="AM29" s="228"/>
      <c r="AN29" s="228"/>
      <c r="AO29" s="140"/>
      <c r="AP29" s="140"/>
    </row>
    <row r="30" spans="1:42" s="48" customFormat="1" x14ac:dyDescent="0.2">
      <c r="A30" s="209"/>
      <c r="B30" s="8"/>
      <c r="C30" s="8"/>
      <c r="D30" s="8"/>
      <c r="E30" s="8"/>
      <c r="F30" s="8"/>
      <c r="G30" s="8"/>
      <c r="H30" s="8"/>
      <c r="I30" s="8"/>
      <c r="J30" s="37"/>
      <c r="K30" s="19">
        <v>0</v>
      </c>
      <c r="L30" s="198" t="s">
        <v>128</v>
      </c>
      <c r="M30" s="198" t="s">
        <v>128</v>
      </c>
      <c r="N30" s="197" t="s">
        <v>128</v>
      </c>
      <c r="O30" s="195">
        <v>1</v>
      </c>
      <c r="P30" s="45" t="s">
        <v>128</v>
      </c>
      <c r="Q30" s="45" t="s">
        <v>128</v>
      </c>
      <c r="R30" s="45" t="s">
        <v>128</v>
      </c>
      <c r="S30" s="45" t="s">
        <v>128</v>
      </c>
      <c r="T30" s="45" t="s">
        <v>128</v>
      </c>
      <c r="U30" s="45" t="s">
        <v>128</v>
      </c>
      <c r="V30" s="45" t="s">
        <v>128</v>
      </c>
      <c r="W30" s="45" t="s">
        <v>128</v>
      </c>
      <c r="X30" s="45" t="s">
        <v>128</v>
      </c>
      <c r="Y30" s="45" t="s">
        <v>128</v>
      </c>
      <c r="Z30" s="45" t="s">
        <v>128</v>
      </c>
      <c r="AA30" s="45" t="s">
        <v>128</v>
      </c>
      <c r="AB30" s="45" t="s">
        <v>128</v>
      </c>
      <c r="AC30" s="107" t="s">
        <v>128</v>
      </c>
      <c r="AD30" s="107" t="s">
        <v>128</v>
      </c>
      <c r="AE30" s="107" t="s">
        <v>128</v>
      </c>
      <c r="AF30" s="107" t="s">
        <v>128</v>
      </c>
      <c r="AG30" s="107" t="s">
        <v>128</v>
      </c>
      <c r="AH30" s="107" t="s">
        <v>128</v>
      </c>
      <c r="AI30" s="228"/>
      <c r="AJ30" s="228"/>
      <c r="AK30" s="228"/>
      <c r="AL30" s="228"/>
      <c r="AM30" s="228"/>
      <c r="AN30" s="228"/>
      <c r="AO30" s="140"/>
      <c r="AP30" s="140"/>
    </row>
    <row r="31" spans="1:42" s="48" customFormat="1" x14ac:dyDescent="0.2">
      <c r="A31" s="22"/>
      <c r="B31" s="22"/>
      <c r="C31" s="22"/>
      <c r="D31" s="22"/>
      <c r="E31" s="22"/>
      <c r="F31" s="22"/>
      <c r="G31" s="22"/>
      <c r="H31" s="22"/>
      <c r="I31" s="22"/>
      <c r="J31" s="36"/>
      <c r="K31" s="19">
        <v>0</v>
      </c>
      <c r="L31" s="198" t="s">
        <v>128</v>
      </c>
      <c r="M31" s="198" t="s">
        <v>128</v>
      </c>
      <c r="N31" s="197" t="s">
        <v>128</v>
      </c>
      <c r="O31" s="195">
        <v>1</v>
      </c>
      <c r="P31" s="45" t="s">
        <v>128</v>
      </c>
      <c r="Q31" s="45" t="s">
        <v>128</v>
      </c>
      <c r="R31" s="45" t="s">
        <v>128</v>
      </c>
      <c r="S31" s="45" t="s">
        <v>128</v>
      </c>
      <c r="T31" s="45" t="s">
        <v>128</v>
      </c>
      <c r="U31" s="45" t="s">
        <v>128</v>
      </c>
      <c r="V31" s="45" t="s">
        <v>128</v>
      </c>
      <c r="W31" s="45" t="s">
        <v>128</v>
      </c>
      <c r="X31" s="45" t="s">
        <v>128</v>
      </c>
      <c r="Y31" s="45" t="s">
        <v>128</v>
      </c>
      <c r="Z31" s="45" t="s">
        <v>128</v>
      </c>
      <c r="AA31" s="45" t="s">
        <v>128</v>
      </c>
      <c r="AB31" s="45" t="s">
        <v>128</v>
      </c>
      <c r="AC31" s="107" t="s">
        <v>128</v>
      </c>
      <c r="AD31" s="107" t="s">
        <v>128</v>
      </c>
      <c r="AE31" s="107" t="s">
        <v>128</v>
      </c>
      <c r="AF31" s="107" t="s">
        <v>128</v>
      </c>
      <c r="AG31" s="107" t="s">
        <v>128</v>
      </c>
      <c r="AH31" s="107" t="s">
        <v>128</v>
      </c>
      <c r="AI31" s="228"/>
      <c r="AJ31" s="228"/>
      <c r="AK31" s="228"/>
      <c r="AL31" s="228"/>
      <c r="AM31" s="228"/>
      <c r="AN31" s="228"/>
      <c r="AO31" s="140"/>
      <c r="AP31" s="140"/>
    </row>
    <row r="32" spans="1:42" s="48" customFormat="1" x14ac:dyDescent="0.2">
      <c r="A32" s="209"/>
      <c r="B32" s="8"/>
      <c r="C32" s="8"/>
      <c r="D32" s="8"/>
      <c r="E32" s="8"/>
      <c r="F32" s="8"/>
      <c r="G32" s="8"/>
      <c r="H32" s="8"/>
      <c r="I32" s="8"/>
      <c r="J32" s="37"/>
      <c r="K32" s="19">
        <v>0</v>
      </c>
      <c r="L32" s="198" t="s">
        <v>128</v>
      </c>
      <c r="M32" s="198" t="s">
        <v>128</v>
      </c>
      <c r="N32" s="197" t="s">
        <v>128</v>
      </c>
      <c r="O32" s="195">
        <v>1</v>
      </c>
      <c r="P32" s="45" t="s">
        <v>128</v>
      </c>
      <c r="Q32" s="45" t="s">
        <v>128</v>
      </c>
      <c r="R32" s="45" t="s">
        <v>128</v>
      </c>
      <c r="S32" s="45" t="s">
        <v>128</v>
      </c>
      <c r="T32" s="45" t="s">
        <v>128</v>
      </c>
      <c r="U32" s="45" t="s">
        <v>128</v>
      </c>
      <c r="V32" s="45" t="s">
        <v>128</v>
      </c>
      <c r="W32" s="45" t="s">
        <v>128</v>
      </c>
      <c r="X32" s="45" t="s">
        <v>128</v>
      </c>
      <c r="Y32" s="45" t="s">
        <v>128</v>
      </c>
      <c r="Z32" s="45" t="s">
        <v>128</v>
      </c>
      <c r="AA32" s="45" t="s">
        <v>128</v>
      </c>
      <c r="AB32" s="45" t="s">
        <v>128</v>
      </c>
      <c r="AC32" s="107" t="s">
        <v>128</v>
      </c>
      <c r="AD32" s="107" t="s">
        <v>128</v>
      </c>
      <c r="AE32" s="107" t="s">
        <v>128</v>
      </c>
      <c r="AF32" s="107" t="s">
        <v>128</v>
      </c>
      <c r="AG32" s="107" t="s">
        <v>128</v>
      </c>
      <c r="AH32" s="107" t="s">
        <v>128</v>
      </c>
      <c r="AI32" s="228"/>
      <c r="AJ32" s="228"/>
      <c r="AK32" s="228"/>
      <c r="AL32" s="228"/>
      <c r="AM32" s="228"/>
      <c r="AN32" s="228"/>
      <c r="AO32" s="140"/>
      <c r="AP32" s="140"/>
    </row>
    <row r="33" spans="1:42" s="48" customFormat="1" x14ac:dyDescent="0.2">
      <c r="A33" s="22"/>
      <c r="B33" s="22"/>
      <c r="C33" s="22"/>
      <c r="D33" s="22"/>
      <c r="E33" s="22"/>
      <c r="F33" s="22"/>
      <c r="G33" s="22"/>
      <c r="H33" s="22"/>
      <c r="I33" s="22"/>
      <c r="J33" s="36"/>
      <c r="K33" s="19">
        <v>0</v>
      </c>
      <c r="L33" s="198" t="s">
        <v>128</v>
      </c>
      <c r="M33" s="198" t="s">
        <v>128</v>
      </c>
      <c r="N33" s="197" t="s">
        <v>128</v>
      </c>
      <c r="O33" s="195">
        <v>1</v>
      </c>
      <c r="P33" s="45" t="s">
        <v>128</v>
      </c>
      <c r="Q33" s="45" t="s">
        <v>128</v>
      </c>
      <c r="R33" s="45" t="s">
        <v>128</v>
      </c>
      <c r="S33" s="45" t="s">
        <v>128</v>
      </c>
      <c r="T33" s="45" t="s">
        <v>128</v>
      </c>
      <c r="U33" s="45" t="s">
        <v>128</v>
      </c>
      <c r="V33" s="45" t="s">
        <v>128</v>
      </c>
      <c r="W33" s="45" t="s">
        <v>128</v>
      </c>
      <c r="X33" s="45" t="s">
        <v>128</v>
      </c>
      <c r="Y33" s="45" t="s">
        <v>128</v>
      </c>
      <c r="Z33" s="45" t="s">
        <v>128</v>
      </c>
      <c r="AA33" s="45" t="s">
        <v>128</v>
      </c>
      <c r="AB33" s="45" t="s">
        <v>128</v>
      </c>
      <c r="AC33" s="107" t="s">
        <v>128</v>
      </c>
      <c r="AD33" s="107" t="s">
        <v>128</v>
      </c>
      <c r="AE33" s="107" t="s">
        <v>128</v>
      </c>
      <c r="AF33" s="107" t="s">
        <v>128</v>
      </c>
      <c r="AG33" s="107" t="s">
        <v>128</v>
      </c>
      <c r="AH33" s="107" t="s">
        <v>128</v>
      </c>
      <c r="AI33" s="228"/>
      <c r="AJ33" s="228"/>
      <c r="AK33" s="228"/>
      <c r="AL33" s="228"/>
      <c r="AM33" s="228"/>
      <c r="AN33" s="228"/>
      <c r="AO33" s="140"/>
      <c r="AP33" s="140"/>
    </row>
    <row r="34" spans="1:42" s="48" customFormat="1" x14ac:dyDescent="0.2">
      <c r="A34" s="209"/>
      <c r="B34" s="8"/>
      <c r="C34" s="8"/>
      <c r="D34" s="8"/>
      <c r="E34" s="8"/>
      <c r="F34" s="8"/>
      <c r="G34" s="8"/>
      <c r="H34" s="8"/>
      <c r="I34" s="8"/>
      <c r="J34" s="37"/>
      <c r="K34" s="19">
        <v>0</v>
      </c>
      <c r="L34" s="198" t="s">
        <v>128</v>
      </c>
      <c r="M34" s="198" t="s">
        <v>128</v>
      </c>
      <c r="N34" s="197" t="s">
        <v>128</v>
      </c>
      <c r="O34" s="195">
        <v>1</v>
      </c>
      <c r="P34" s="45" t="s">
        <v>128</v>
      </c>
      <c r="Q34" s="45" t="s">
        <v>128</v>
      </c>
      <c r="R34" s="45" t="s">
        <v>128</v>
      </c>
      <c r="S34" s="45" t="s">
        <v>128</v>
      </c>
      <c r="T34" s="45" t="s">
        <v>128</v>
      </c>
      <c r="U34" s="45" t="s">
        <v>128</v>
      </c>
      <c r="V34" s="45" t="s">
        <v>128</v>
      </c>
      <c r="W34" s="45" t="s">
        <v>128</v>
      </c>
      <c r="X34" s="45" t="s">
        <v>128</v>
      </c>
      <c r="Y34" s="45" t="s">
        <v>128</v>
      </c>
      <c r="Z34" s="45" t="s">
        <v>128</v>
      </c>
      <c r="AA34" s="45" t="s">
        <v>128</v>
      </c>
      <c r="AB34" s="45" t="s">
        <v>128</v>
      </c>
      <c r="AC34" s="107" t="s">
        <v>128</v>
      </c>
      <c r="AD34" s="107" t="s">
        <v>128</v>
      </c>
      <c r="AE34" s="107" t="s">
        <v>128</v>
      </c>
      <c r="AF34" s="107" t="s">
        <v>128</v>
      </c>
      <c r="AG34" s="107" t="s">
        <v>128</v>
      </c>
      <c r="AH34" s="107" t="s">
        <v>128</v>
      </c>
      <c r="AI34" s="228"/>
      <c r="AJ34" s="228"/>
      <c r="AK34" s="228"/>
      <c r="AL34" s="228"/>
      <c r="AM34" s="228"/>
      <c r="AN34" s="228"/>
      <c r="AO34" s="228"/>
      <c r="AP34" s="228"/>
    </row>
    <row r="35" spans="1:42" s="48" customFormat="1" x14ac:dyDescent="0.2">
      <c r="A35" s="22"/>
      <c r="B35" s="22"/>
      <c r="C35" s="22"/>
      <c r="D35" s="22"/>
      <c r="E35" s="22"/>
      <c r="F35" s="22"/>
      <c r="G35" s="22"/>
      <c r="H35" s="22"/>
      <c r="I35" s="22"/>
      <c r="J35" s="36"/>
      <c r="K35" s="19">
        <v>0</v>
      </c>
      <c r="L35" s="198" t="s">
        <v>128</v>
      </c>
      <c r="M35" s="198" t="s">
        <v>128</v>
      </c>
      <c r="N35" s="197" t="s">
        <v>128</v>
      </c>
      <c r="O35" s="195">
        <v>1</v>
      </c>
      <c r="P35" s="45" t="s">
        <v>128</v>
      </c>
      <c r="Q35" s="45" t="s">
        <v>128</v>
      </c>
      <c r="R35" s="45" t="s">
        <v>128</v>
      </c>
      <c r="S35" s="45" t="s">
        <v>128</v>
      </c>
      <c r="T35" s="45" t="s">
        <v>128</v>
      </c>
      <c r="U35" s="45" t="s">
        <v>128</v>
      </c>
      <c r="V35" s="45" t="s">
        <v>128</v>
      </c>
      <c r="W35" s="45" t="s">
        <v>128</v>
      </c>
      <c r="X35" s="45" t="s">
        <v>128</v>
      </c>
      <c r="Y35" s="45" t="s">
        <v>128</v>
      </c>
      <c r="Z35" s="45" t="s">
        <v>128</v>
      </c>
      <c r="AA35" s="45" t="s">
        <v>128</v>
      </c>
      <c r="AB35" s="45" t="s">
        <v>128</v>
      </c>
      <c r="AC35" s="107" t="s">
        <v>128</v>
      </c>
      <c r="AD35" s="107" t="s">
        <v>128</v>
      </c>
      <c r="AE35" s="107" t="s">
        <v>128</v>
      </c>
      <c r="AF35" s="107" t="s">
        <v>128</v>
      </c>
      <c r="AG35" s="107" t="s">
        <v>128</v>
      </c>
      <c r="AH35" s="107" t="s">
        <v>128</v>
      </c>
      <c r="AI35" s="228"/>
      <c r="AJ35" s="228"/>
      <c r="AK35" s="228"/>
      <c r="AL35" s="228"/>
      <c r="AM35" s="228"/>
      <c r="AN35" s="228"/>
      <c r="AO35" s="228"/>
      <c r="AP35" s="228"/>
    </row>
    <row r="36" spans="1:42" s="48" customFormat="1" x14ac:dyDescent="0.2">
      <c r="A36" s="209"/>
      <c r="B36" s="8"/>
      <c r="C36" s="8"/>
      <c r="D36" s="8"/>
      <c r="E36" s="8"/>
      <c r="F36" s="8"/>
      <c r="G36" s="8"/>
      <c r="H36" s="8"/>
      <c r="I36" s="8"/>
      <c r="J36" s="37"/>
      <c r="K36" s="19">
        <v>0</v>
      </c>
      <c r="L36" s="198" t="s">
        <v>128</v>
      </c>
      <c r="M36" s="198" t="s">
        <v>128</v>
      </c>
      <c r="N36" s="197" t="s">
        <v>128</v>
      </c>
      <c r="O36" s="195">
        <v>1</v>
      </c>
      <c r="P36" s="45" t="s">
        <v>128</v>
      </c>
      <c r="Q36" s="45" t="s">
        <v>128</v>
      </c>
      <c r="R36" s="45" t="s">
        <v>128</v>
      </c>
      <c r="S36" s="45" t="s">
        <v>128</v>
      </c>
      <c r="T36" s="45" t="s">
        <v>128</v>
      </c>
      <c r="U36" s="45" t="s">
        <v>128</v>
      </c>
      <c r="V36" s="45" t="s">
        <v>128</v>
      </c>
      <c r="W36" s="45" t="s">
        <v>128</v>
      </c>
      <c r="X36" s="45" t="s">
        <v>128</v>
      </c>
      <c r="Y36" s="45" t="s">
        <v>128</v>
      </c>
      <c r="Z36" s="45" t="s">
        <v>128</v>
      </c>
      <c r="AA36" s="45" t="s">
        <v>128</v>
      </c>
      <c r="AB36" s="45" t="s">
        <v>128</v>
      </c>
      <c r="AC36" s="107" t="s">
        <v>128</v>
      </c>
      <c r="AD36" s="107" t="s">
        <v>128</v>
      </c>
      <c r="AE36" s="107" t="s">
        <v>128</v>
      </c>
      <c r="AF36" s="107" t="s">
        <v>128</v>
      </c>
      <c r="AG36" s="107" t="s">
        <v>128</v>
      </c>
      <c r="AH36" s="107" t="s">
        <v>128</v>
      </c>
      <c r="AI36" s="228"/>
      <c r="AJ36" s="228"/>
      <c r="AK36" s="228"/>
      <c r="AL36" s="228"/>
      <c r="AM36" s="228"/>
      <c r="AN36" s="228"/>
      <c r="AO36" s="228"/>
      <c r="AP36" s="228"/>
    </row>
    <row r="37" spans="1:42" s="48" customFormat="1" x14ac:dyDescent="0.2">
      <c r="A37" s="22"/>
      <c r="B37" s="22"/>
      <c r="C37" s="22"/>
      <c r="D37" s="22"/>
      <c r="E37" s="22"/>
      <c r="F37" s="22"/>
      <c r="G37" s="22"/>
      <c r="H37" s="22"/>
      <c r="I37" s="22"/>
      <c r="J37" s="36"/>
      <c r="K37" s="19">
        <v>0</v>
      </c>
      <c r="L37" s="198" t="s">
        <v>128</v>
      </c>
      <c r="M37" s="198" t="s">
        <v>128</v>
      </c>
      <c r="N37" s="197" t="s">
        <v>128</v>
      </c>
      <c r="O37" s="195">
        <v>1</v>
      </c>
      <c r="P37" s="45" t="s">
        <v>128</v>
      </c>
      <c r="Q37" s="45" t="s">
        <v>128</v>
      </c>
      <c r="R37" s="45" t="s">
        <v>128</v>
      </c>
      <c r="S37" s="45" t="s">
        <v>128</v>
      </c>
      <c r="T37" s="45" t="s">
        <v>128</v>
      </c>
      <c r="U37" s="45" t="s">
        <v>128</v>
      </c>
      <c r="V37" s="45" t="s">
        <v>128</v>
      </c>
      <c r="W37" s="45" t="s">
        <v>128</v>
      </c>
      <c r="X37" s="45" t="s">
        <v>128</v>
      </c>
      <c r="Y37" s="45" t="s">
        <v>128</v>
      </c>
      <c r="Z37" s="45" t="s">
        <v>128</v>
      </c>
      <c r="AA37" s="45" t="s">
        <v>128</v>
      </c>
      <c r="AB37" s="45" t="s">
        <v>128</v>
      </c>
      <c r="AC37" s="107" t="s">
        <v>128</v>
      </c>
      <c r="AD37" s="107" t="s">
        <v>128</v>
      </c>
      <c r="AE37" s="107" t="s">
        <v>128</v>
      </c>
      <c r="AF37" s="107" t="s">
        <v>128</v>
      </c>
      <c r="AG37" s="107" t="s">
        <v>128</v>
      </c>
      <c r="AH37" s="107" t="s">
        <v>128</v>
      </c>
      <c r="AI37" s="228"/>
      <c r="AJ37" s="228"/>
      <c r="AK37" s="228"/>
      <c r="AL37" s="228"/>
      <c r="AM37" s="228"/>
      <c r="AN37" s="228"/>
      <c r="AO37" s="228"/>
      <c r="AP37" s="228"/>
    </row>
    <row r="38" spans="1:42" s="48" customFormat="1" x14ac:dyDescent="0.15">
      <c r="A38" s="209"/>
      <c r="B38" s="8"/>
      <c r="C38" s="8"/>
      <c r="D38" s="8"/>
      <c r="E38" s="8"/>
      <c r="F38" s="8"/>
      <c r="G38" s="8"/>
      <c r="H38" s="8"/>
      <c r="I38" s="8"/>
      <c r="J38" s="37"/>
      <c r="K38" s="19">
        <v>0</v>
      </c>
      <c r="L38" s="198" t="s">
        <v>128</v>
      </c>
      <c r="M38" s="198" t="s">
        <v>128</v>
      </c>
      <c r="N38" s="197" t="s">
        <v>128</v>
      </c>
      <c r="O38" s="195">
        <v>1</v>
      </c>
      <c r="P38" s="45" t="s">
        <v>128</v>
      </c>
      <c r="Q38" s="45" t="s">
        <v>128</v>
      </c>
      <c r="R38" s="45" t="s">
        <v>128</v>
      </c>
      <c r="S38" s="45" t="s">
        <v>128</v>
      </c>
      <c r="T38" s="45" t="s">
        <v>128</v>
      </c>
      <c r="U38" s="45" t="s">
        <v>128</v>
      </c>
      <c r="V38" s="45" t="s">
        <v>128</v>
      </c>
      <c r="W38" s="45" t="s">
        <v>128</v>
      </c>
      <c r="X38" s="45" t="s">
        <v>128</v>
      </c>
      <c r="Y38" s="45" t="s">
        <v>128</v>
      </c>
      <c r="Z38" s="45" t="s">
        <v>128</v>
      </c>
      <c r="AA38" s="45" t="s">
        <v>128</v>
      </c>
      <c r="AB38" s="45" t="s">
        <v>128</v>
      </c>
      <c r="AC38" s="107" t="s">
        <v>128</v>
      </c>
      <c r="AD38" s="107" t="s">
        <v>128</v>
      </c>
      <c r="AE38" s="107" t="s">
        <v>128</v>
      </c>
      <c r="AF38" s="107" t="s">
        <v>128</v>
      </c>
      <c r="AG38" s="107" t="s">
        <v>128</v>
      </c>
      <c r="AH38" s="107" t="s">
        <v>128</v>
      </c>
      <c r="AI38" s="205"/>
      <c r="AJ38" s="140"/>
      <c r="AK38" s="305"/>
      <c r="AL38" s="306"/>
      <c r="AM38" s="228"/>
      <c r="AN38" s="140"/>
      <c r="AO38" s="140"/>
      <c r="AP38" s="140"/>
    </row>
    <row r="39" spans="1:42" s="48" customFormat="1" x14ac:dyDescent="0.2">
      <c r="A39" s="22"/>
      <c r="B39" s="22"/>
      <c r="C39" s="22"/>
      <c r="D39" s="22"/>
      <c r="E39" s="22"/>
      <c r="F39" s="22"/>
      <c r="G39" s="22"/>
      <c r="H39" s="22"/>
      <c r="I39" s="22"/>
      <c r="J39" s="36"/>
      <c r="K39" s="19">
        <v>0</v>
      </c>
      <c r="L39" s="198" t="s">
        <v>128</v>
      </c>
      <c r="M39" s="198" t="s">
        <v>128</v>
      </c>
      <c r="N39" s="197" t="s">
        <v>128</v>
      </c>
      <c r="O39" s="195">
        <v>1</v>
      </c>
      <c r="P39" s="45" t="s">
        <v>128</v>
      </c>
      <c r="Q39" s="45" t="s">
        <v>128</v>
      </c>
      <c r="R39" s="45" t="s">
        <v>128</v>
      </c>
      <c r="S39" s="45" t="s">
        <v>128</v>
      </c>
      <c r="T39" s="45" t="s">
        <v>128</v>
      </c>
      <c r="U39" s="45" t="s">
        <v>128</v>
      </c>
      <c r="V39" s="45" t="s">
        <v>128</v>
      </c>
      <c r="W39" s="45" t="s">
        <v>128</v>
      </c>
      <c r="X39" s="45" t="s">
        <v>128</v>
      </c>
      <c r="Y39" s="45" t="s">
        <v>128</v>
      </c>
      <c r="Z39" s="45" t="s">
        <v>128</v>
      </c>
      <c r="AA39" s="45" t="s">
        <v>128</v>
      </c>
      <c r="AB39" s="45" t="s">
        <v>128</v>
      </c>
      <c r="AC39" s="107" t="s">
        <v>128</v>
      </c>
      <c r="AD39" s="107" t="s">
        <v>128</v>
      </c>
      <c r="AE39" s="107" t="s">
        <v>128</v>
      </c>
      <c r="AF39" s="107" t="s">
        <v>128</v>
      </c>
      <c r="AG39" s="107" t="s">
        <v>128</v>
      </c>
      <c r="AH39" s="107" t="s">
        <v>128</v>
      </c>
      <c r="AI39" s="228"/>
      <c r="AJ39" s="228"/>
      <c r="AK39" s="228"/>
      <c r="AL39" s="228"/>
      <c r="AM39" s="228"/>
      <c r="AN39" s="140"/>
      <c r="AO39" s="228"/>
      <c r="AP39" s="228"/>
    </row>
    <row r="40" spans="1:42" s="48" customFormat="1" x14ac:dyDescent="0.2">
      <c r="A40" s="209"/>
      <c r="B40" s="8"/>
      <c r="C40" s="8"/>
      <c r="D40" s="8"/>
      <c r="E40" s="8"/>
      <c r="F40" s="8"/>
      <c r="G40" s="8"/>
      <c r="H40" s="8"/>
      <c r="I40" s="8"/>
      <c r="J40" s="37"/>
      <c r="K40" s="19">
        <v>0</v>
      </c>
      <c r="L40" s="198" t="s">
        <v>128</v>
      </c>
      <c r="M40" s="198" t="s">
        <v>128</v>
      </c>
      <c r="N40" s="197" t="s">
        <v>128</v>
      </c>
      <c r="O40" s="195">
        <v>1</v>
      </c>
      <c r="P40" s="45" t="s">
        <v>128</v>
      </c>
      <c r="Q40" s="45" t="s">
        <v>128</v>
      </c>
      <c r="R40" s="45" t="s">
        <v>128</v>
      </c>
      <c r="S40" s="45" t="s">
        <v>128</v>
      </c>
      <c r="T40" s="45" t="s">
        <v>128</v>
      </c>
      <c r="U40" s="45" t="s">
        <v>128</v>
      </c>
      <c r="V40" s="45" t="s">
        <v>128</v>
      </c>
      <c r="W40" s="45" t="s">
        <v>128</v>
      </c>
      <c r="X40" s="45" t="s">
        <v>128</v>
      </c>
      <c r="Y40" s="45" t="s">
        <v>128</v>
      </c>
      <c r="Z40" s="45" t="s">
        <v>128</v>
      </c>
      <c r="AA40" s="45" t="s">
        <v>128</v>
      </c>
      <c r="AB40" s="45" t="s">
        <v>128</v>
      </c>
      <c r="AC40" s="107" t="s">
        <v>128</v>
      </c>
      <c r="AD40" s="107" t="s">
        <v>128</v>
      </c>
      <c r="AE40" s="107" t="s">
        <v>128</v>
      </c>
      <c r="AF40" s="107" t="s">
        <v>128</v>
      </c>
      <c r="AG40" s="107" t="s">
        <v>128</v>
      </c>
      <c r="AH40" s="107" t="s">
        <v>128</v>
      </c>
      <c r="AI40" s="228"/>
      <c r="AJ40" s="228"/>
      <c r="AK40" s="228"/>
      <c r="AL40" s="228"/>
      <c r="AM40" s="228"/>
      <c r="AN40" s="140"/>
      <c r="AO40" s="228"/>
      <c r="AP40" s="228"/>
    </row>
    <row r="41" spans="1:42" s="48" customFormat="1" x14ac:dyDescent="0.15">
      <c r="A41" s="22"/>
      <c r="B41" s="22"/>
      <c r="C41" s="22"/>
      <c r="D41" s="22"/>
      <c r="E41" s="22"/>
      <c r="F41" s="22"/>
      <c r="G41" s="22"/>
      <c r="H41" s="22"/>
      <c r="I41" s="22"/>
      <c r="J41" s="36"/>
      <c r="K41" s="19">
        <v>0</v>
      </c>
      <c r="L41" s="198" t="s">
        <v>128</v>
      </c>
      <c r="M41" s="198" t="s">
        <v>128</v>
      </c>
      <c r="N41" s="197" t="s">
        <v>128</v>
      </c>
      <c r="O41" s="195">
        <v>1</v>
      </c>
      <c r="P41" s="45" t="s">
        <v>128</v>
      </c>
      <c r="Q41" s="45" t="s">
        <v>128</v>
      </c>
      <c r="R41" s="45" t="s">
        <v>128</v>
      </c>
      <c r="S41" s="45" t="s">
        <v>128</v>
      </c>
      <c r="T41" s="45" t="s">
        <v>128</v>
      </c>
      <c r="U41" s="45" t="s">
        <v>128</v>
      </c>
      <c r="V41" s="45" t="s">
        <v>128</v>
      </c>
      <c r="W41" s="45" t="s">
        <v>128</v>
      </c>
      <c r="X41" s="45" t="s">
        <v>128</v>
      </c>
      <c r="Y41" s="45" t="s">
        <v>128</v>
      </c>
      <c r="Z41" s="45" t="s">
        <v>128</v>
      </c>
      <c r="AA41" s="45" t="s">
        <v>128</v>
      </c>
      <c r="AB41" s="45" t="s">
        <v>128</v>
      </c>
      <c r="AC41" s="107" t="s">
        <v>128</v>
      </c>
      <c r="AD41" s="107" t="s">
        <v>128</v>
      </c>
      <c r="AE41" s="107" t="s">
        <v>128</v>
      </c>
      <c r="AF41" s="107" t="s">
        <v>128</v>
      </c>
      <c r="AG41" s="107" t="s">
        <v>128</v>
      </c>
      <c r="AH41" s="107" t="s">
        <v>128</v>
      </c>
      <c r="AI41" s="205"/>
      <c r="AJ41" s="140"/>
      <c r="AK41" s="305"/>
      <c r="AL41" s="306"/>
      <c r="AM41" s="228"/>
      <c r="AN41" s="140"/>
      <c r="AO41" s="140"/>
      <c r="AP41" s="140"/>
    </row>
    <row r="42" spans="1:42" s="48" customFormat="1" x14ac:dyDescent="0.2">
      <c r="A42" s="209"/>
      <c r="B42" s="8"/>
      <c r="C42" s="8"/>
      <c r="D42" s="8"/>
      <c r="E42" s="8"/>
      <c r="F42" s="8"/>
      <c r="G42" s="8"/>
      <c r="H42" s="8"/>
      <c r="I42" s="8"/>
      <c r="J42" s="37"/>
      <c r="K42" s="19">
        <v>0</v>
      </c>
      <c r="L42" s="198" t="s">
        <v>128</v>
      </c>
      <c r="M42" s="198" t="s">
        <v>128</v>
      </c>
      <c r="N42" s="197" t="s">
        <v>128</v>
      </c>
      <c r="O42" s="195">
        <v>1</v>
      </c>
      <c r="P42" s="45" t="s">
        <v>128</v>
      </c>
      <c r="Q42" s="45" t="s">
        <v>128</v>
      </c>
      <c r="R42" s="45" t="s">
        <v>128</v>
      </c>
      <c r="S42" s="45" t="s">
        <v>128</v>
      </c>
      <c r="T42" s="45" t="s">
        <v>128</v>
      </c>
      <c r="U42" s="45" t="s">
        <v>128</v>
      </c>
      <c r="V42" s="45" t="s">
        <v>128</v>
      </c>
      <c r="W42" s="45" t="s">
        <v>128</v>
      </c>
      <c r="X42" s="45" t="s">
        <v>128</v>
      </c>
      <c r="Y42" s="45" t="s">
        <v>128</v>
      </c>
      <c r="Z42" s="45" t="s">
        <v>128</v>
      </c>
      <c r="AA42" s="45" t="s">
        <v>128</v>
      </c>
      <c r="AB42" s="45" t="s">
        <v>128</v>
      </c>
      <c r="AC42" s="107" t="s">
        <v>128</v>
      </c>
      <c r="AD42" s="107" t="s">
        <v>128</v>
      </c>
      <c r="AE42" s="107" t="s">
        <v>128</v>
      </c>
      <c r="AF42" s="107" t="s">
        <v>128</v>
      </c>
      <c r="AG42" s="107" t="s">
        <v>128</v>
      </c>
      <c r="AH42" s="107" t="s">
        <v>128</v>
      </c>
      <c r="AI42" s="228"/>
      <c r="AJ42" s="140"/>
      <c r="AK42" s="228"/>
      <c r="AL42" s="228"/>
      <c r="AM42" s="228"/>
      <c r="AN42" s="140"/>
      <c r="AO42" s="228"/>
      <c r="AP42" s="228"/>
    </row>
    <row r="43" spans="1:42" s="48" customFormat="1" x14ac:dyDescent="0.15">
      <c r="A43" s="22"/>
      <c r="B43" s="22"/>
      <c r="C43" s="22"/>
      <c r="D43" s="22"/>
      <c r="E43" s="22"/>
      <c r="F43" s="22"/>
      <c r="G43" s="22"/>
      <c r="H43" s="22"/>
      <c r="I43" s="22"/>
      <c r="J43" s="36"/>
      <c r="K43" s="19">
        <v>0</v>
      </c>
      <c r="L43" s="198" t="s">
        <v>128</v>
      </c>
      <c r="M43" s="198" t="s">
        <v>128</v>
      </c>
      <c r="N43" s="197" t="s">
        <v>128</v>
      </c>
      <c r="O43" s="195">
        <v>1</v>
      </c>
      <c r="P43" s="45" t="s">
        <v>128</v>
      </c>
      <c r="Q43" s="45" t="s">
        <v>128</v>
      </c>
      <c r="R43" s="45" t="s">
        <v>128</v>
      </c>
      <c r="S43" s="45" t="s">
        <v>128</v>
      </c>
      <c r="T43" s="45" t="s">
        <v>128</v>
      </c>
      <c r="U43" s="45" t="s">
        <v>128</v>
      </c>
      <c r="V43" s="45" t="s">
        <v>128</v>
      </c>
      <c r="W43" s="45" t="s">
        <v>128</v>
      </c>
      <c r="X43" s="45" t="s">
        <v>128</v>
      </c>
      <c r="Y43" s="45" t="s">
        <v>128</v>
      </c>
      <c r="Z43" s="45" t="s">
        <v>128</v>
      </c>
      <c r="AA43" s="45" t="s">
        <v>128</v>
      </c>
      <c r="AB43" s="45" t="s">
        <v>128</v>
      </c>
      <c r="AC43" s="107" t="s">
        <v>128</v>
      </c>
      <c r="AD43" s="107" t="s">
        <v>128</v>
      </c>
      <c r="AE43" s="107" t="s">
        <v>128</v>
      </c>
      <c r="AF43" s="107" t="s">
        <v>128</v>
      </c>
      <c r="AG43" s="107" t="s">
        <v>128</v>
      </c>
      <c r="AH43" s="107" t="s">
        <v>128</v>
      </c>
      <c r="AI43" s="280"/>
      <c r="AJ43" s="274"/>
      <c r="AK43" s="307"/>
      <c r="AL43" s="308"/>
      <c r="AM43" s="273"/>
      <c r="AN43" s="274"/>
      <c r="AO43" s="274"/>
      <c r="AP43" s="274"/>
    </row>
    <row r="44" spans="1:42" s="48" customFormat="1" x14ac:dyDescent="0.2">
      <c r="A44" s="209"/>
      <c r="B44" s="8"/>
      <c r="C44" s="8"/>
      <c r="D44" s="8"/>
      <c r="E44" s="8"/>
      <c r="F44" s="8"/>
      <c r="G44" s="8"/>
      <c r="H44" s="8"/>
      <c r="I44" s="8"/>
      <c r="J44" s="37"/>
      <c r="K44" s="19">
        <v>0</v>
      </c>
      <c r="L44" s="198" t="s">
        <v>128</v>
      </c>
      <c r="M44" s="198" t="s">
        <v>128</v>
      </c>
      <c r="N44" s="197" t="s">
        <v>128</v>
      </c>
      <c r="O44" s="195">
        <v>1</v>
      </c>
      <c r="P44" s="45" t="s">
        <v>128</v>
      </c>
      <c r="Q44" s="45" t="s">
        <v>128</v>
      </c>
      <c r="R44" s="45" t="s">
        <v>128</v>
      </c>
      <c r="S44" s="45" t="s">
        <v>128</v>
      </c>
      <c r="T44" s="45" t="s">
        <v>128</v>
      </c>
      <c r="U44" s="45" t="s">
        <v>128</v>
      </c>
      <c r="V44" s="45" t="s">
        <v>128</v>
      </c>
      <c r="W44" s="45" t="s">
        <v>128</v>
      </c>
      <c r="X44" s="45" t="s">
        <v>128</v>
      </c>
      <c r="Y44" s="45" t="s">
        <v>128</v>
      </c>
      <c r="Z44" s="45" t="s">
        <v>128</v>
      </c>
      <c r="AA44" s="45" t="s">
        <v>128</v>
      </c>
      <c r="AB44" s="45" t="s">
        <v>128</v>
      </c>
      <c r="AC44" s="107" t="s">
        <v>128</v>
      </c>
      <c r="AD44" s="107" t="s">
        <v>128</v>
      </c>
      <c r="AE44" s="107" t="s">
        <v>128</v>
      </c>
      <c r="AF44" s="107" t="s">
        <v>128</v>
      </c>
      <c r="AG44" s="107" t="s">
        <v>128</v>
      </c>
      <c r="AH44" s="107" t="s">
        <v>128</v>
      </c>
      <c r="AI44" s="228"/>
      <c r="AJ44" s="228"/>
      <c r="AK44" s="228"/>
      <c r="AL44" s="228"/>
      <c r="AM44" s="228"/>
      <c r="AN44" s="228"/>
      <c r="AO44" s="228"/>
      <c r="AP44" s="228"/>
    </row>
    <row r="45" spans="1:42" s="48" customFormat="1" x14ac:dyDescent="0.2">
      <c r="A45" s="22"/>
      <c r="B45" s="22"/>
      <c r="C45" s="22"/>
      <c r="D45" s="22"/>
      <c r="E45" s="22"/>
      <c r="F45" s="22"/>
      <c r="G45" s="22"/>
      <c r="H45" s="22"/>
      <c r="I45" s="22"/>
      <c r="J45" s="36"/>
      <c r="K45" s="19">
        <v>0</v>
      </c>
      <c r="L45" s="198" t="s">
        <v>128</v>
      </c>
      <c r="M45" s="198" t="s">
        <v>128</v>
      </c>
      <c r="N45" s="197" t="s">
        <v>128</v>
      </c>
      <c r="O45" s="195">
        <v>1</v>
      </c>
      <c r="P45" s="45" t="s">
        <v>128</v>
      </c>
      <c r="Q45" s="45" t="s">
        <v>128</v>
      </c>
      <c r="R45" s="45" t="s">
        <v>128</v>
      </c>
      <c r="S45" s="45" t="s">
        <v>128</v>
      </c>
      <c r="T45" s="45" t="s">
        <v>128</v>
      </c>
      <c r="U45" s="45" t="s">
        <v>128</v>
      </c>
      <c r="V45" s="45" t="s">
        <v>128</v>
      </c>
      <c r="W45" s="45" t="s">
        <v>128</v>
      </c>
      <c r="X45" s="45" t="s">
        <v>128</v>
      </c>
      <c r="Y45" s="45" t="s">
        <v>128</v>
      </c>
      <c r="Z45" s="45" t="s">
        <v>128</v>
      </c>
      <c r="AA45" s="45" t="s">
        <v>128</v>
      </c>
      <c r="AB45" s="45" t="s">
        <v>128</v>
      </c>
      <c r="AC45" s="107" t="s">
        <v>128</v>
      </c>
      <c r="AD45" s="107" t="s">
        <v>128</v>
      </c>
      <c r="AE45" s="107" t="s">
        <v>128</v>
      </c>
      <c r="AF45" s="107" t="s">
        <v>128</v>
      </c>
      <c r="AG45" s="107" t="s">
        <v>128</v>
      </c>
      <c r="AH45" s="107" t="s">
        <v>128</v>
      </c>
      <c r="AI45" s="228"/>
      <c r="AJ45" s="228"/>
      <c r="AK45" s="228"/>
      <c r="AL45" s="228"/>
      <c r="AM45" s="228"/>
      <c r="AN45" s="228"/>
      <c r="AO45" s="228"/>
      <c r="AP45" s="228"/>
    </row>
    <row r="46" spans="1:42" s="48" customFormat="1" x14ac:dyDescent="0.2">
      <c r="A46" s="209"/>
      <c r="B46" s="8"/>
      <c r="C46" s="8"/>
      <c r="D46" s="8"/>
      <c r="E46" s="8"/>
      <c r="F46" s="8"/>
      <c r="G46" s="8"/>
      <c r="H46" s="8"/>
      <c r="I46" s="8"/>
      <c r="J46" s="37"/>
      <c r="K46" s="19">
        <v>0</v>
      </c>
      <c r="L46" s="198" t="s">
        <v>128</v>
      </c>
      <c r="M46" s="198" t="s">
        <v>128</v>
      </c>
      <c r="N46" s="197" t="s">
        <v>128</v>
      </c>
      <c r="O46" s="195">
        <v>1</v>
      </c>
      <c r="P46" s="45" t="s">
        <v>128</v>
      </c>
      <c r="Q46" s="45" t="s">
        <v>128</v>
      </c>
      <c r="R46" s="45" t="s">
        <v>128</v>
      </c>
      <c r="S46" s="45" t="s">
        <v>128</v>
      </c>
      <c r="T46" s="45" t="s">
        <v>128</v>
      </c>
      <c r="U46" s="45" t="s">
        <v>128</v>
      </c>
      <c r="V46" s="45" t="s">
        <v>128</v>
      </c>
      <c r="W46" s="45" t="s">
        <v>128</v>
      </c>
      <c r="X46" s="45" t="s">
        <v>128</v>
      </c>
      <c r="Y46" s="45" t="s">
        <v>128</v>
      </c>
      <c r="Z46" s="45" t="s">
        <v>128</v>
      </c>
      <c r="AA46" s="45" t="s">
        <v>128</v>
      </c>
      <c r="AB46" s="45" t="s">
        <v>128</v>
      </c>
      <c r="AC46" s="107" t="s">
        <v>128</v>
      </c>
      <c r="AD46" s="107" t="s">
        <v>128</v>
      </c>
      <c r="AE46" s="107" t="s">
        <v>128</v>
      </c>
      <c r="AF46" s="107" t="s">
        <v>128</v>
      </c>
      <c r="AG46" s="107" t="s">
        <v>128</v>
      </c>
      <c r="AH46" s="107" t="s">
        <v>128</v>
      </c>
      <c r="AI46" s="228"/>
      <c r="AJ46" s="228"/>
      <c r="AK46" s="228"/>
      <c r="AL46" s="228"/>
      <c r="AM46" s="228"/>
      <c r="AN46" s="228"/>
      <c r="AO46" s="228"/>
      <c r="AP46" s="228"/>
    </row>
    <row r="47" spans="1:42" s="48" customFormat="1" x14ac:dyDescent="0.2">
      <c r="A47" s="22"/>
      <c r="B47" s="22"/>
      <c r="C47" s="22"/>
      <c r="D47" s="22"/>
      <c r="E47" s="22"/>
      <c r="F47" s="22"/>
      <c r="G47" s="22"/>
      <c r="H47" s="22"/>
      <c r="I47" s="22"/>
      <c r="J47" s="36"/>
      <c r="K47" s="19">
        <v>0</v>
      </c>
      <c r="L47" s="198" t="s">
        <v>128</v>
      </c>
      <c r="M47" s="198" t="s">
        <v>128</v>
      </c>
      <c r="N47" s="197" t="s">
        <v>128</v>
      </c>
      <c r="O47" s="195">
        <v>1</v>
      </c>
      <c r="P47" s="45" t="s">
        <v>128</v>
      </c>
      <c r="Q47" s="45" t="s">
        <v>128</v>
      </c>
      <c r="R47" s="45" t="s">
        <v>128</v>
      </c>
      <c r="S47" s="45" t="s">
        <v>128</v>
      </c>
      <c r="T47" s="45" t="s">
        <v>128</v>
      </c>
      <c r="U47" s="45" t="s">
        <v>128</v>
      </c>
      <c r="V47" s="45" t="s">
        <v>128</v>
      </c>
      <c r="W47" s="45" t="s">
        <v>128</v>
      </c>
      <c r="X47" s="45" t="s">
        <v>128</v>
      </c>
      <c r="Y47" s="45" t="s">
        <v>128</v>
      </c>
      <c r="Z47" s="45" t="s">
        <v>128</v>
      </c>
      <c r="AA47" s="45" t="s">
        <v>128</v>
      </c>
      <c r="AB47" s="45" t="s">
        <v>128</v>
      </c>
      <c r="AC47" s="107" t="s">
        <v>128</v>
      </c>
      <c r="AD47" s="107" t="s">
        <v>128</v>
      </c>
      <c r="AE47" s="107" t="s">
        <v>128</v>
      </c>
      <c r="AF47" s="107" t="s">
        <v>128</v>
      </c>
      <c r="AG47" s="107" t="s">
        <v>128</v>
      </c>
      <c r="AH47" s="107" t="s">
        <v>128</v>
      </c>
      <c r="AI47" s="228"/>
      <c r="AJ47" s="228"/>
      <c r="AK47" s="228"/>
      <c r="AL47" s="228"/>
      <c r="AM47" s="228"/>
      <c r="AN47" s="228"/>
      <c r="AO47" s="228"/>
      <c r="AP47" s="228"/>
    </row>
    <row r="48" spans="1:42" s="48" customFormat="1" x14ac:dyDescent="0.2">
      <c r="A48" s="209"/>
      <c r="B48" s="8"/>
      <c r="C48" s="8"/>
      <c r="D48" s="8"/>
      <c r="E48" s="8"/>
      <c r="F48" s="8"/>
      <c r="G48" s="8"/>
      <c r="H48" s="8"/>
      <c r="I48" s="8"/>
      <c r="J48" s="37"/>
      <c r="K48" s="19">
        <v>0</v>
      </c>
      <c r="L48" s="198" t="s">
        <v>128</v>
      </c>
      <c r="M48" s="198" t="s">
        <v>128</v>
      </c>
      <c r="N48" s="197" t="s">
        <v>128</v>
      </c>
      <c r="O48" s="195">
        <v>1</v>
      </c>
      <c r="P48" s="45" t="s">
        <v>128</v>
      </c>
      <c r="Q48" s="45" t="s">
        <v>128</v>
      </c>
      <c r="R48" s="45" t="s">
        <v>128</v>
      </c>
      <c r="S48" s="45" t="s">
        <v>128</v>
      </c>
      <c r="T48" s="45" t="s">
        <v>128</v>
      </c>
      <c r="U48" s="45" t="s">
        <v>128</v>
      </c>
      <c r="V48" s="45" t="s">
        <v>128</v>
      </c>
      <c r="W48" s="45" t="s">
        <v>128</v>
      </c>
      <c r="X48" s="45" t="s">
        <v>128</v>
      </c>
      <c r="Y48" s="45" t="s">
        <v>128</v>
      </c>
      <c r="Z48" s="45" t="s">
        <v>128</v>
      </c>
      <c r="AA48" s="45" t="s">
        <v>128</v>
      </c>
      <c r="AB48" s="45" t="s">
        <v>128</v>
      </c>
      <c r="AC48" s="107" t="s">
        <v>128</v>
      </c>
      <c r="AD48" s="107" t="s">
        <v>128</v>
      </c>
      <c r="AE48" s="107" t="s">
        <v>128</v>
      </c>
      <c r="AF48" s="107" t="s">
        <v>128</v>
      </c>
      <c r="AG48" s="107" t="s">
        <v>128</v>
      </c>
      <c r="AH48" s="107" t="s">
        <v>128</v>
      </c>
      <c r="AI48" s="228"/>
      <c r="AJ48" s="228"/>
      <c r="AK48" s="228"/>
      <c r="AL48" s="228"/>
      <c r="AM48" s="228"/>
      <c r="AN48" s="228"/>
      <c r="AO48" s="228"/>
      <c r="AP48" s="228"/>
    </row>
    <row r="49" spans="1:42" s="48" customFormat="1" x14ac:dyDescent="0.2">
      <c r="A49" s="22"/>
      <c r="B49" s="22"/>
      <c r="C49" s="22"/>
      <c r="D49" s="22"/>
      <c r="E49" s="22"/>
      <c r="F49" s="22"/>
      <c r="G49" s="22"/>
      <c r="H49" s="22"/>
      <c r="I49" s="22"/>
      <c r="J49" s="36"/>
      <c r="K49" s="19">
        <v>0</v>
      </c>
      <c r="L49" s="198" t="s">
        <v>128</v>
      </c>
      <c r="M49" s="198" t="s">
        <v>128</v>
      </c>
      <c r="N49" s="197" t="s">
        <v>128</v>
      </c>
      <c r="O49" s="195">
        <v>1</v>
      </c>
      <c r="P49" s="45" t="s">
        <v>128</v>
      </c>
      <c r="Q49" s="45" t="s">
        <v>128</v>
      </c>
      <c r="R49" s="45" t="s">
        <v>128</v>
      </c>
      <c r="S49" s="45" t="s">
        <v>128</v>
      </c>
      <c r="T49" s="45" t="s">
        <v>128</v>
      </c>
      <c r="U49" s="45" t="s">
        <v>128</v>
      </c>
      <c r="V49" s="45" t="s">
        <v>128</v>
      </c>
      <c r="W49" s="45" t="s">
        <v>128</v>
      </c>
      <c r="X49" s="45" t="s">
        <v>128</v>
      </c>
      <c r="Y49" s="45" t="s">
        <v>128</v>
      </c>
      <c r="Z49" s="45" t="s">
        <v>128</v>
      </c>
      <c r="AA49" s="45" t="s">
        <v>128</v>
      </c>
      <c r="AB49" s="45" t="s">
        <v>128</v>
      </c>
      <c r="AC49" s="107" t="s">
        <v>128</v>
      </c>
      <c r="AD49" s="107" t="s">
        <v>128</v>
      </c>
      <c r="AE49" s="107" t="s">
        <v>128</v>
      </c>
      <c r="AF49" s="107" t="s">
        <v>128</v>
      </c>
      <c r="AG49" s="107" t="s">
        <v>128</v>
      </c>
      <c r="AH49" s="107" t="s">
        <v>128</v>
      </c>
      <c r="AI49" s="228"/>
      <c r="AJ49" s="228"/>
      <c r="AK49" s="228"/>
      <c r="AL49" s="228"/>
      <c r="AM49" s="228"/>
      <c r="AN49" s="228"/>
      <c r="AO49" s="228"/>
      <c r="AP49" s="228"/>
    </row>
    <row r="50" spans="1:42" s="48" customFormat="1" x14ac:dyDescent="0.2">
      <c r="A50" s="209"/>
      <c r="B50" s="8"/>
      <c r="C50" s="8"/>
      <c r="D50" s="8"/>
      <c r="E50" s="8"/>
      <c r="F50" s="8"/>
      <c r="G50" s="8"/>
      <c r="H50" s="8"/>
      <c r="I50" s="8"/>
      <c r="J50" s="37"/>
      <c r="K50" s="19">
        <v>0</v>
      </c>
      <c r="L50" s="198" t="s">
        <v>128</v>
      </c>
      <c r="M50" s="198" t="s">
        <v>128</v>
      </c>
      <c r="N50" s="197" t="s">
        <v>128</v>
      </c>
      <c r="O50" s="195">
        <v>1</v>
      </c>
      <c r="P50" s="45" t="s">
        <v>128</v>
      </c>
      <c r="Q50" s="45" t="s">
        <v>128</v>
      </c>
      <c r="R50" s="45" t="s">
        <v>128</v>
      </c>
      <c r="S50" s="45" t="s">
        <v>128</v>
      </c>
      <c r="T50" s="45" t="s">
        <v>128</v>
      </c>
      <c r="U50" s="45" t="s">
        <v>128</v>
      </c>
      <c r="V50" s="45" t="s">
        <v>128</v>
      </c>
      <c r="W50" s="45" t="s">
        <v>128</v>
      </c>
      <c r="X50" s="45" t="s">
        <v>128</v>
      </c>
      <c r="Y50" s="45" t="s">
        <v>128</v>
      </c>
      <c r="Z50" s="45" t="s">
        <v>128</v>
      </c>
      <c r="AA50" s="45" t="s">
        <v>128</v>
      </c>
      <c r="AB50" s="45" t="s">
        <v>128</v>
      </c>
      <c r="AC50" s="107" t="s">
        <v>128</v>
      </c>
      <c r="AD50" s="107" t="s">
        <v>128</v>
      </c>
      <c r="AE50" s="107" t="s">
        <v>128</v>
      </c>
      <c r="AF50" s="107" t="s">
        <v>128</v>
      </c>
      <c r="AG50" s="107" t="s">
        <v>128</v>
      </c>
      <c r="AH50" s="107" t="s">
        <v>128</v>
      </c>
      <c r="AI50" s="228"/>
      <c r="AJ50" s="228"/>
      <c r="AK50" s="228"/>
      <c r="AL50" s="228"/>
      <c r="AM50" s="228"/>
      <c r="AN50" s="228"/>
      <c r="AO50" s="228"/>
      <c r="AP50" s="228"/>
    </row>
    <row r="51" spans="1:42" s="48" customFormat="1" x14ac:dyDescent="0.2">
      <c r="A51" s="22"/>
      <c r="B51" s="22"/>
      <c r="C51" s="22"/>
      <c r="D51" s="22"/>
      <c r="E51" s="22"/>
      <c r="F51" s="22"/>
      <c r="G51" s="22"/>
      <c r="H51" s="22"/>
      <c r="I51" s="22"/>
      <c r="J51" s="36"/>
      <c r="K51" s="19">
        <v>0</v>
      </c>
      <c r="L51" s="198" t="s">
        <v>128</v>
      </c>
      <c r="M51" s="198" t="s">
        <v>128</v>
      </c>
      <c r="N51" s="197" t="s">
        <v>128</v>
      </c>
      <c r="O51" s="195">
        <v>1</v>
      </c>
      <c r="P51" s="45" t="s">
        <v>128</v>
      </c>
      <c r="Q51" s="45" t="s">
        <v>128</v>
      </c>
      <c r="R51" s="45" t="s">
        <v>128</v>
      </c>
      <c r="S51" s="45" t="s">
        <v>128</v>
      </c>
      <c r="T51" s="45" t="s">
        <v>128</v>
      </c>
      <c r="U51" s="45" t="s">
        <v>128</v>
      </c>
      <c r="V51" s="45" t="s">
        <v>128</v>
      </c>
      <c r="W51" s="45" t="s">
        <v>128</v>
      </c>
      <c r="X51" s="45" t="s">
        <v>128</v>
      </c>
      <c r="Y51" s="45" t="s">
        <v>128</v>
      </c>
      <c r="Z51" s="45" t="s">
        <v>128</v>
      </c>
      <c r="AA51" s="45" t="s">
        <v>128</v>
      </c>
      <c r="AB51" s="45" t="s">
        <v>128</v>
      </c>
      <c r="AC51" s="107" t="s">
        <v>128</v>
      </c>
      <c r="AD51" s="107" t="s">
        <v>128</v>
      </c>
      <c r="AE51" s="107" t="s">
        <v>128</v>
      </c>
      <c r="AF51" s="107" t="s">
        <v>128</v>
      </c>
      <c r="AG51" s="107" t="s">
        <v>128</v>
      </c>
      <c r="AH51" s="107" t="s">
        <v>128</v>
      </c>
      <c r="AI51" s="228"/>
      <c r="AJ51" s="228"/>
      <c r="AK51" s="228"/>
      <c r="AL51" s="228"/>
      <c r="AM51" s="228"/>
      <c r="AN51" s="228"/>
      <c r="AO51" s="228"/>
      <c r="AP51" s="228"/>
    </row>
    <row r="52" spans="1:42" s="48" customFormat="1" x14ac:dyDescent="0.2">
      <c r="A52" s="209"/>
      <c r="B52" s="8"/>
      <c r="C52" s="8"/>
      <c r="D52" s="8"/>
      <c r="E52" s="8"/>
      <c r="F52" s="8"/>
      <c r="G52" s="8"/>
      <c r="H52" s="8"/>
      <c r="I52" s="8"/>
      <c r="J52" s="37"/>
      <c r="K52" s="19">
        <v>0</v>
      </c>
      <c r="L52" s="198" t="s">
        <v>128</v>
      </c>
      <c r="M52" s="198" t="s">
        <v>128</v>
      </c>
      <c r="N52" s="197" t="s">
        <v>128</v>
      </c>
      <c r="O52" s="195">
        <v>1</v>
      </c>
      <c r="P52" s="45" t="s">
        <v>128</v>
      </c>
      <c r="Q52" s="45" t="s">
        <v>128</v>
      </c>
      <c r="R52" s="45" t="s">
        <v>128</v>
      </c>
      <c r="S52" s="45" t="s">
        <v>128</v>
      </c>
      <c r="T52" s="45" t="s">
        <v>128</v>
      </c>
      <c r="U52" s="45" t="s">
        <v>128</v>
      </c>
      <c r="V52" s="45" t="s">
        <v>128</v>
      </c>
      <c r="W52" s="45" t="s">
        <v>128</v>
      </c>
      <c r="X52" s="45" t="s">
        <v>128</v>
      </c>
      <c r="Y52" s="45" t="s">
        <v>128</v>
      </c>
      <c r="Z52" s="45" t="s">
        <v>128</v>
      </c>
      <c r="AA52" s="45" t="s">
        <v>128</v>
      </c>
      <c r="AB52" s="45" t="s">
        <v>128</v>
      </c>
      <c r="AC52" s="107" t="s">
        <v>128</v>
      </c>
      <c r="AD52" s="107" t="s">
        <v>128</v>
      </c>
      <c r="AE52" s="107" t="s">
        <v>128</v>
      </c>
      <c r="AF52" s="107" t="s">
        <v>128</v>
      </c>
      <c r="AG52" s="107" t="s">
        <v>128</v>
      </c>
      <c r="AH52" s="107" t="s">
        <v>128</v>
      </c>
      <c r="AI52" s="228"/>
      <c r="AJ52" s="228"/>
      <c r="AK52" s="228"/>
      <c r="AL52" s="228"/>
      <c r="AM52" s="228"/>
      <c r="AN52" s="228"/>
      <c r="AO52" s="228"/>
      <c r="AP52" s="228"/>
    </row>
    <row r="53" spans="1:42" s="48" customFormat="1" x14ac:dyDescent="0.2">
      <c r="A53" s="22"/>
      <c r="B53" s="22"/>
      <c r="C53" s="22"/>
      <c r="D53" s="22"/>
      <c r="E53" s="22"/>
      <c r="F53" s="22"/>
      <c r="G53" s="22"/>
      <c r="H53" s="22"/>
      <c r="I53" s="22"/>
      <c r="J53" s="36"/>
      <c r="K53" s="19">
        <v>0</v>
      </c>
      <c r="L53" s="198" t="s">
        <v>128</v>
      </c>
      <c r="M53" s="198" t="s">
        <v>128</v>
      </c>
      <c r="N53" s="197" t="s">
        <v>128</v>
      </c>
      <c r="O53" s="195">
        <v>1</v>
      </c>
      <c r="P53" s="45" t="s">
        <v>128</v>
      </c>
      <c r="Q53" s="45" t="s">
        <v>128</v>
      </c>
      <c r="R53" s="45" t="s">
        <v>128</v>
      </c>
      <c r="S53" s="45" t="s">
        <v>128</v>
      </c>
      <c r="T53" s="45" t="s">
        <v>128</v>
      </c>
      <c r="U53" s="45" t="s">
        <v>128</v>
      </c>
      <c r="V53" s="45" t="s">
        <v>128</v>
      </c>
      <c r="W53" s="45" t="s">
        <v>128</v>
      </c>
      <c r="X53" s="45" t="s">
        <v>128</v>
      </c>
      <c r="Y53" s="45" t="s">
        <v>128</v>
      </c>
      <c r="Z53" s="45" t="s">
        <v>128</v>
      </c>
      <c r="AA53" s="45" t="s">
        <v>128</v>
      </c>
      <c r="AB53" s="45" t="s">
        <v>128</v>
      </c>
      <c r="AC53" s="107" t="s">
        <v>128</v>
      </c>
      <c r="AD53" s="107" t="s">
        <v>128</v>
      </c>
      <c r="AE53" s="107" t="s">
        <v>128</v>
      </c>
      <c r="AF53" s="107" t="s">
        <v>128</v>
      </c>
      <c r="AG53" s="107" t="s">
        <v>128</v>
      </c>
      <c r="AH53" s="107" t="s">
        <v>128</v>
      </c>
      <c r="AI53" s="228"/>
      <c r="AJ53" s="228"/>
      <c r="AK53" s="228"/>
      <c r="AL53" s="228"/>
      <c r="AM53" s="228"/>
      <c r="AN53" s="228"/>
      <c r="AO53" s="228"/>
      <c r="AP53" s="228"/>
    </row>
    <row r="54" spans="1:42" s="48" customFormat="1" x14ac:dyDescent="0.2">
      <c r="A54" s="209"/>
      <c r="B54" s="8"/>
      <c r="C54" s="8"/>
      <c r="D54" s="8"/>
      <c r="E54" s="8"/>
      <c r="F54" s="8"/>
      <c r="G54" s="8"/>
      <c r="H54" s="8"/>
      <c r="I54" s="8"/>
      <c r="J54" s="37"/>
      <c r="K54" s="19">
        <v>0</v>
      </c>
      <c r="L54" s="198" t="s">
        <v>128</v>
      </c>
      <c r="M54" s="198" t="s">
        <v>128</v>
      </c>
      <c r="N54" s="197" t="s">
        <v>128</v>
      </c>
      <c r="O54" s="195">
        <v>1</v>
      </c>
      <c r="P54" s="45" t="s">
        <v>128</v>
      </c>
      <c r="Q54" s="45" t="s">
        <v>128</v>
      </c>
      <c r="R54" s="45" t="s">
        <v>128</v>
      </c>
      <c r="S54" s="45" t="s">
        <v>128</v>
      </c>
      <c r="T54" s="45" t="s">
        <v>128</v>
      </c>
      <c r="U54" s="45" t="s">
        <v>128</v>
      </c>
      <c r="V54" s="45" t="s">
        <v>128</v>
      </c>
      <c r="W54" s="45" t="s">
        <v>128</v>
      </c>
      <c r="X54" s="45" t="s">
        <v>128</v>
      </c>
      <c r="Y54" s="45" t="s">
        <v>128</v>
      </c>
      <c r="Z54" s="45" t="s">
        <v>128</v>
      </c>
      <c r="AA54" s="45" t="s">
        <v>128</v>
      </c>
      <c r="AB54" s="45" t="s">
        <v>128</v>
      </c>
      <c r="AC54" s="107" t="s">
        <v>128</v>
      </c>
      <c r="AD54" s="107" t="s">
        <v>128</v>
      </c>
      <c r="AE54" s="107" t="s">
        <v>128</v>
      </c>
      <c r="AF54" s="107" t="s">
        <v>128</v>
      </c>
      <c r="AG54" s="107" t="s">
        <v>128</v>
      </c>
      <c r="AH54" s="107" t="s">
        <v>128</v>
      </c>
      <c r="AI54" s="228"/>
      <c r="AJ54" s="228"/>
      <c r="AK54" s="228"/>
      <c r="AL54" s="228"/>
      <c r="AM54" s="228"/>
      <c r="AN54" s="228"/>
      <c r="AO54" s="228"/>
      <c r="AP54" s="228"/>
    </row>
    <row r="55" spans="1:42" s="48" customFormat="1" x14ac:dyDescent="0.2">
      <c r="A55" s="22"/>
      <c r="B55" s="22"/>
      <c r="C55" s="22"/>
      <c r="D55" s="22"/>
      <c r="E55" s="22"/>
      <c r="F55" s="22"/>
      <c r="G55" s="22"/>
      <c r="H55" s="22"/>
      <c r="I55" s="22"/>
      <c r="J55" s="36"/>
      <c r="K55" s="19">
        <v>0</v>
      </c>
      <c r="L55" s="198" t="s">
        <v>128</v>
      </c>
      <c r="M55" s="198" t="s">
        <v>128</v>
      </c>
      <c r="N55" s="197" t="s">
        <v>128</v>
      </c>
      <c r="O55" s="195">
        <v>1</v>
      </c>
      <c r="P55" s="45" t="s">
        <v>128</v>
      </c>
      <c r="Q55" s="45" t="s">
        <v>128</v>
      </c>
      <c r="R55" s="45" t="s">
        <v>128</v>
      </c>
      <c r="S55" s="45" t="s">
        <v>128</v>
      </c>
      <c r="T55" s="45" t="s">
        <v>128</v>
      </c>
      <c r="U55" s="45" t="s">
        <v>128</v>
      </c>
      <c r="V55" s="45" t="s">
        <v>128</v>
      </c>
      <c r="W55" s="45" t="s">
        <v>128</v>
      </c>
      <c r="X55" s="45" t="s">
        <v>128</v>
      </c>
      <c r="Y55" s="45" t="s">
        <v>128</v>
      </c>
      <c r="Z55" s="45" t="s">
        <v>128</v>
      </c>
      <c r="AA55" s="45" t="s">
        <v>128</v>
      </c>
      <c r="AB55" s="45" t="s">
        <v>128</v>
      </c>
      <c r="AC55" s="107" t="s">
        <v>128</v>
      </c>
      <c r="AD55" s="107" t="s">
        <v>128</v>
      </c>
      <c r="AE55" s="107" t="s">
        <v>128</v>
      </c>
      <c r="AF55" s="107" t="s">
        <v>128</v>
      </c>
      <c r="AG55" s="107" t="s">
        <v>128</v>
      </c>
      <c r="AH55" s="107" t="s">
        <v>128</v>
      </c>
      <c r="AI55" s="228"/>
      <c r="AJ55" s="228"/>
      <c r="AK55" s="228"/>
      <c r="AL55" s="228"/>
      <c r="AM55" s="228"/>
      <c r="AN55" s="228"/>
      <c r="AO55" s="228"/>
      <c r="AP55" s="228"/>
    </row>
    <row r="56" spans="1:42" s="48" customFormat="1" x14ac:dyDescent="0.2">
      <c r="A56" s="209"/>
      <c r="B56" s="8"/>
      <c r="C56" s="8"/>
      <c r="D56" s="8"/>
      <c r="E56" s="8"/>
      <c r="F56" s="8"/>
      <c r="G56" s="8"/>
      <c r="H56" s="8"/>
      <c r="I56" s="8"/>
      <c r="J56" s="37"/>
      <c r="K56" s="19">
        <v>0</v>
      </c>
      <c r="L56" s="198" t="s">
        <v>128</v>
      </c>
      <c r="M56" s="198" t="s">
        <v>128</v>
      </c>
      <c r="N56" s="197" t="s">
        <v>128</v>
      </c>
      <c r="O56" s="195">
        <v>1</v>
      </c>
      <c r="P56" s="45" t="s">
        <v>128</v>
      </c>
      <c r="Q56" s="45" t="s">
        <v>128</v>
      </c>
      <c r="R56" s="45" t="s">
        <v>128</v>
      </c>
      <c r="S56" s="45" t="s">
        <v>128</v>
      </c>
      <c r="T56" s="45" t="s">
        <v>128</v>
      </c>
      <c r="U56" s="45" t="s">
        <v>128</v>
      </c>
      <c r="V56" s="45" t="s">
        <v>128</v>
      </c>
      <c r="W56" s="45" t="s">
        <v>128</v>
      </c>
      <c r="X56" s="45" t="s">
        <v>128</v>
      </c>
      <c r="Y56" s="45" t="s">
        <v>128</v>
      </c>
      <c r="Z56" s="45" t="s">
        <v>128</v>
      </c>
      <c r="AA56" s="45" t="s">
        <v>128</v>
      </c>
      <c r="AB56" s="45" t="s">
        <v>128</v>
      </c>
      <c r="AC56" s="107" t="s">
        <v>128</v>
      </c>
      <c r="AD56" s="107" t="s">
        <v>128</v>
      </c>
      <c r="AE56" s="107" t="s">
        <v>128</v>
      </c>
      <c r="AF56" s="107" t="s">
        <v>128</v>
      </c>
      <c r="AG56" s="107" t="s">
        <v>128</v>
      </c>
      <c r="AH56" s="107" t="s">
        <v>128</v>
      </c>
      <c r="AI56" s="228"/>
      <c r="AJ56" s="228"/>
      <c r="AK56" s="228"/>
      <c r="AL56" s="228"/>
      <c r="AM56" s="228"/>
      <c r="AN56" s="228"/>
      <c r="AO56" s="228"/>
      <c r="AP56" s="228"/>
    </row>
    <row r="57" spans="1:42" s="48" customFormat="1" x14ac:dyDescent="0.2">
      <c r="A57" s="22"/>
      <c r="B57" s="22"/>
      <c r="C57" s="22"/>
      <c r="D57" s="22"/>
      <c r="E57" s="22"/>
      <c r="F57" s="22"/>
      <c r="G57" s="22"/>
      <c r="H57" s="22"/>
      <c r="I57" s="22"/>
      <c r="J57" s="36"/>
      <c r="K57" s="19">
        <v>0</v>
      </c>
      <c r="L57" s="198" t="s">
        <v>128</v>
      </c>
      <c r="M57" s="198" t="s">
        <v>128</v>
      </c>
      <c r="N57" s="197" t="s">
        <v>128</v>
      </c>
      <c r="O57" s="195">
        <v>1</v>
      </c>
      <c r="P57" s="45" t="s">
        <v>128</v>
      </c>
      <c r="Q57" s="45" t="s">
        <v>128</v>
      </c>
      <c r="R57" s="45" t="s">
        <v>128</v>
      </c>
      <c r="S57" s="45" t="s">
        <v>128</v>
      </c>
      <c r="T57" s="45" t="s">
        <v>128</v>
      </c>
      <c r="U57" s="45" t="s">
        <v>128</v>
      </c>
      <c r="V57" s="45" t="s">
        <v>128</v>
      </c>
      <c r="W57" s="45" t="s">
        <v>128</v>
      </c>
      <c r="X57" s="45" t="s">
        <v>128</v>
      </c>
      <c r="Y57" s="45" t="s">
        <v>128</v>
      </c>
      <c r="Z57" s="45" t="s">
        <v>128</v>
      </c>
      <c r="AA57" s="45" t="s">
        <v>128</v>
      </c>
      <c r="AB57" s="45" t="s">
        <v>128</v>
      </c>
      <c r="AC57" s="107" t="s">
        <v>128</v>
      </c>
      <c r="AD57" s="107" t="s">
        <v>128</v>
      </c>
      <c r="AE57" s="107" t="s">
        <v>128</v>
      </c>
      <c r="AF57" s="107" t="s">
        <v>128</v>
      </c>
      <c r="AG57" s="107" t="s">
        <v>128</v>
      </c>
      <c r="AH57" s="107" t="s">
        <v>128</v>
      </c>
      <c r="AI57" s="228"/>
      <c r="AJ57" s="228"/>
      <c r="AK57" s="228"/>
      <c r="AL57" s="228"/>
      <c r="AM57" s="228"/>
      <c r="AN57" s="228"/>
      <c r="AO57" s="228"/>
      <c r="AP57" s="228"/>
    </row>
    <row r="58" spans="1:42" s="48" customFormat="1" x14ac:dyDescent="0.2">
      <c r="A58" s="209"/>
      <c r="B58" s="8"/>
      <c r="C58" s="8"/>
      <c r="D58" s="8"/>
      <c r="E58" s="8"/>
      <c r="F58" s="8"/>
      <c r="G58" s="8"/>
      <c r="H58" s="8"/>
      <c r="I58" s="8"/>
      <c r="J58" s="37"/>
      <c r="K58" s="19">
        <v>0</v>
      </c>
      <c r="L58" s="198" t="s">
        <v>128</v>
      </c>
      <c r="M58" s="198" t="s">
        <v>128</v>
      </c>
      <c r="N58" s="197" t="s">
        <v>128</v>
      </c>
      <c r="O58" s="195">
        <v>1</v>
      </c>
      <c r="P58" s="45" t="s">
        <v>128</v>
      </c>
      <c r="Q58" s="45" t="s">
        <v>128</v>
      </c>
      <c r="R58" s="45" t="s">
        <v>128</v>
      </c>
      <c r="S58" s="45" t="s">
        <v>128</v>
      </c>
      <c r="T58" s="45" t="s">
        <v>128</v>
      </c>
      <c r="U58" s="45" t="s">
        <v>128</v>
      </c>
      <c r="V58" s="45" t="s">
        <v>128</v>
      </c>
      <c r="W58" s="45" t="s">
        <v>128</v>
      </c>
      <c r="X58" s="45" t="s">
        <v>128</v>
      </c>
      <c r="Y58" s="45" t="s">
        <v>128</v>
      </c>
      <c r="Z58" s="45" t="s">
        <v>128</v>
      </c>
      <c r="AA58" s="45" t="s">
        <v>128</v>
      </c>
      <c r="AB58" s="45" t="s">
        <v>128</v>
      </c>
      <c r="AC58" s="107" t="s">
        <v>128</v>
      </c>
      <c r="AD58" s="107" t="s">
        <v>128</v>
      </c>
      <c r="AE58" s="107" t="s">
        <v>128</v>
      </c>
      <c r="AF58" s="107" t="s">
        <v>128</v>
      </c>
      <c r="AG58" s="107" t="s">
        <v>128</v>
      </c>
      <c r="AH58" s="107" t="s">
        <v>128</v>
      </c>
      <c r="AI58" s="228"/>
      <c r="AJ58" s="228"/>
      <c r="AK58" s="228"/>
      <c r="AL58" s="228"/>
      <c r="AM58" s="228"/>
      <c r="AN58" s="228"/>
      <c r="AO58" s="228"/>
      <c r="AP58" s="228"/>
    </row>
    <row r="59" spans="1:42" s="48" customFormat="1" x14ac:dyDescent="0.2">
      <c r="A59" s="22"/>
      <c r="B59" s="22"/>
      <c r="C59" s="22"/>
      <c r="D59" s="22"/>
      <c r="E59" s="22"/>
      <c r="F59" s="22"/>
      <c r="G59" s="22"/>
      <c r="H59" s="22"/>
      <c r="I59" s="22"/>
      <c r="J59" s="36"/>
      <c r="K59" s="19">
        <v>0</v>
      </c>
      <c r="L59" s="198" t="s">
        <v>128</v>
      </c>
      <c r="M59" s="198" t="s">
        <v>128</v>
      </c>
      <c r="N59" s="197" t="s">
        <v>128</v>
      </c>
      <c r="O59" s="195">
        <v>1</v>
      </c>
      <c r="P59" s="45" t="s">
        <v>128</v>
      </c>
      <c r="Q59" s="45" t="s">
        <v>128</v>
      </c>
      <c r="R59" s="45" t="s">
        <v>128</v>
      </c>
      <c r="S59" s="45" t="s">
        <v>128</v>
      </c>
      <c r="T59" s="45" t="s">
        <v>128</v>
      </c>
      <c r="U59" s="45" t="s">
        <v>128</v>
      </c>
      <c r="V59" s="45" t="s">
        <v>128</v>
      </c>
      <c r="W59" s="45" t="s">
        <v>128</v>
      </c>
      <c r="X59" s="45" t="s">
        <v>128</v>
      </c>
      <c r="Y59" s="45" t="s">
        <v>128</v>
      </c>
      <c r="Z59" s="45" t="s">
        <v>128</v>
      </c>
      <c r="AA59" s="45" t="s">
        <v>128</v>
      </c>
      <c r="AB59" s="45" t="s">
        <v>128</v>
      </c>
      <c r="AC59" s="107" t="s">
        <v>128</v>
      </c>
      <c r="AD59" s="107" t="s">
        <v>128</v>
      </c>
      <c r="AE59" s="107" t="s">
        <v>128</v>
      </c>
      <c r="AF59" s="107" t="s">
        <v>128</v>
      </c>
      <c r="AG59" s="107" t="s">
        <v>128</v>
      </c>
      <c r="AH59" s="107" t="s">
        <v>128</v>
      </c>
      <c r="AI59" s="228"/>
      <c r="AJ59" s="228"/>
      <c r="AK59" s="228"/>
      <c r="AL59" s="228"/>
      <c r="AM59" s="228"/>
      <c r="AN59" s="228"/>
      <c r="AO59" s="228"/>
      <c r="AP59" s="228"/>
    </row>
    <row r="60" spans="1:42" s="48" customFormat="1" x14ac:dyDescent="0.2">
      <c r="A60" s="209"/>
      <c r="B60" s="8"/>
      <c r="C60" s="8"/>
      <c r="D60" s="8"/>
      <c r="E60" s="8"/>
      <c r="F60" s="8"/>
      <c r="G60" s="8"/>
      <c r="H60" s="8"/>
      <c r="I60" s="8"/>
      <c r="J60" s="37"/>
      <c r="K60" s="19">
        <v>0</v>
      </c>
      <c r="L60" s="198" t="s">
        <v>128</v>
      </c>
      <c r="M60" s="198" t="s">
        <v>128</v>
      </c>
      <c r="N60" s="197" t="s">
        <v>128</v>
      </c>
      <c r="O60" s="195">
        <v>1</v>
      </c>
      <c r="P60" s="45" t="s">
        <v>128</v>
      </c>
      <c r="Q60" s="45" t="s">
        <v>128</v>
      </c>
      <c r="R60" s="45" t="s">
        <v>128</v>
      </c>
      <c r="S60" s="45" t="s">
        <v>128</v>
      </c>
      <c r="T60" s="45" t="s">
        <v>128</v>
      </c>
      <c r="U60" s="45" t="s">
        <v>128</v>
      </c>
      <c r="V60" s="45" t="s">
        <v>128</v>
      </c>
      <c r="W60" s="45" t="s">
        <v>128</v>
      </c>
      <c r="X60" s="45" t="s">
        <v>128</v>
      </c>
      <c r="Y60" s="45" t="s">
        <v>128</v>
      </c>
      <c r="Z60" s="45" t="s">
        <v>128</v>
      </c>
      <c r="AA60" s="45" t="s">
        <v>128</v>
      </c>
      <c r="AB60" s="45" t="s">
        <v>128</v>
      </c>
      <c r="AC60" s="107" t="s">
        <v>128</v>
      </c>
      <c r="AD60" s="107" t="s">
        <v>128</v>
      </c>
      <c r="AE60" s="107" t="s">
        <v>128</v>
      </c>
      <c r="AF60" s="107" t="s">
        <v>128</v>
      </c>
      <c r="AG60" s="107" t="s">
        <v>128</v>
      </c>
      <c r="AH60" s="107" t="s">
        <v>128</v>
      </c>
      <c r="AI60" s="228"/>
      <c r="AJ60" s="228"/>
      <c r="AK60" s="228"/>
      <c r="AL60" s="228"/>
      <c r="AM60" s="228"/>
      <c r="AN60" s="228"/>
      <c r="AO60" s="228"/>
      <c r="AP60" s="228"/>
    </row>
    <row r="61" spans="1:42" s="48" customFormat="1" x14ac:dyDescent="0.2">
      <c r="A61" s="22"/>
      <c r="B61" s="22"/>
      <c r="C61" s="22"/>
      <c r="D61" s="22"/>
      <c r="E61" s="22"/>
      <c r="F61" s="22"/>
      <c r="G61" s="22"/>
      <c r="H61" s="22"/>
      <c r="I61" s="22"/>
      <c r="J61" s="36"/>
      <c r="K61" s="19">
        <v>0</v>
      </c>
      <c r="L61" s="198" t="s">
        <v>128</v>
      </c>
      <c r="M61" s="198" t="s">
        <v>128</v>
      </c>
      <c r="N61" s="197" t="s">
        <v>128</v>
      </c>
      <c r="O61" s="195">
        <v>1</v>
      </c>
      <c r="P61" s="45" t="s">
        <v>128</v>
      </c>
      <c r="Q61" s="45" t="s">
        <v>128</v>
      </c>
      <c r="R61" s="45" t="s">
        <v>128</v>
      </c>
      <c r="S61" s="45" t="s">
        <v>128</v>
      </c>
      <c r="T61" s="45" t="s">
        <v>128</v>
      </c>
      <c r="U61" s="45" t="s">
        <v>128</v>
      </c>
      <c r="V61" s="45" t="s">
        <v>128</v>
      </c>
      <c r="W61" s="45" t="s">
        <v>128</v>
      </c>
      <c r="X61" s="45" t="s">
        <v>128</v>
      </c>
      <c r="Y61" s="45" t="s">
        <v>128</v>
      </c>
      <c r="Z61" s="45" t="s">
        <v>128</v>
      </c>
      <c r="AA61" s="45" t="s">
        <v>128</v>
      </c>
      <c r="AB61" s="45" t="s">
        <v>128</v>
      </c>
      <c r="AC61" s="107" t="s">
        <v>128</v>
      </c>
      <c r="AD61" s="107" t="s">
        <v>128</v>
      </c>
      <c r="AE61" s="107" t="s">
        <v>128</v>
      </c>
      <c r="AF61" s="107" t="s">
        <v>128</v>
      </c>
      <c r="AG61" s="107" t="s">
        <v>128</v>
      </c>
      <c r="AH61" s="107" t="s">
        <v>128</v>
      </c>
      <c r="AI61" s="228"/>
      <c r="AJ61" s="228"/>
      <c r="AK61" s="228"/>
      <c r="AL61" s="228"/>
      <c r="AM61" s="228"/>
      <c r="AN61" s="228"/>
      <c r="AO61" s="228"/>
      <c r="AP61" s="228"/>
    </row>
    <row r="62" spans="1:42" x14ac:dyDescent="0.2">
      <c r="A62" s="209"/>
      <c r="C62" s="8"/>
      <c r="D62" s="8"/>
      <c r="E62" s="8"/>
      <c r="F62" s="8"/>
      <c r="G62" s="8"/>
      <c r="H62" s="8"/>
      <c r="I62" s="8"/>
      <c r="J62" s="37"/>
      <c r="K62" s="19"/>
      <c r="L62" s="33"/>
      <c r="M62" s="19"/>
      <c r="N62"/>
      <c r="O62"/>
      <c r="P62"/>
      <c r="Q62"/>
      <c r="R62"/>
      <c r="S62"/>
      <c r="T62"/>
      <c r="U62"/>
      <c r="V62"/>
      <c r="W62"/>
      <c r="X62"/>
      <c r="Y62"/>
      <c r="Z62"/>
      <c r="AA62"/>
      <c r="AB62"/>
      <c r="AC62"/>
    </row>
    <row r="63" spans="1:42" s="8" customFormat="1" x14ac:dyDescent="0.2">
      <c r="C63" s="366" t="s">
        <v>83</v>
      </c>
      <c r="D63" s="366"/>
      <c r="E63" s="43" t="s">
        <v>4</v>
      </c>
      <c r="F63" s="1"/>
      <c r="G63" s="1"/>
      <c r="H63" s="285" t="s">
        <v>741</v>
      </c>
      <c r="I63" s="30">
        <f>SUM(O2:O61)</f>
        <v>60</v>
      </c>
      <c r="J63" s="20">
        <f>SUM(J2:J61)</f>
        <v>0</v>
      </c>
      <c r="K63" s="24">
        <f>SUM(P63:AH63)</f>
        <v>1</v>
      </c>
      <c r="L63" s="1"/>
      <c r="M63" s="1"/>
      <c r="N63" s="21"/>
      <c r="P63" s="271">
        <v>0.03</v>
      </c>
      <c r="Q63" s="209"/>
      <c r="R63" s="271">
        <v>0.1</v>
      </c>
      <c r="S63" s="209"/>
      <c r="T63" s="436">
        <v>0.3</v>
      </c>
      <c r="U63" s="438"/>
      <c r="V63" s="438"/>
      <c r="W63" s="436">
        <v>0.3</v>
      </c>
      <c r="X63" s="438"/>
      <c r="Y63" s="438"/>
      <c r="Z63" s="436">
        <v>0.1</v>
      </c>
      <c r="AA63" s="438"/>
      <c r="AB63" s="438"/>
      <c r="AC63" s="436">
        <v>0.12</v>
      </c>
      <c r="AD63" s="438"/>
      <c r="AE63" s="438"/>
      <c r="AF63" s="436">
        <v>0.05</v>
      </c>
      <c r="AG63" s="438"/>
      <c r="AH63" s="438"/>
    </row>
    <row r="64" spans="1:42" x14ac:dyDescent="0.2">
      <c r="C64" s="23" t="s">
        <v>24</v>
      </c>
      <c r="D64" s="8">
        <f t="shared" ref="D64:D70" si="0">SUMIF($E$2:$E$61,C64,$O$2:$O$61)</f>
        <v>0</v>
      </c>
      <c r="E64" s="23" t="s">
        <v>29</v>
      </c>
      <c r="F64" s="8">
        <f>SUMIF($C$2:$C$61,E64,$O$2:$O$61)</f>
        <v>0</v>
      </c>
      <c r="M64" s="360" t="s">
        <v>406</v>
      </c>
      <c r="N64" s="360"/>
      <c r="O64" s="360"/>
    </row>
    <row r="65" spans="1:32" s="8" customFormat="1" x14ac:dyDescent="0.2">
      <c r="C65" s="23" t="s">
        <v>66</v>
      </c>
      <c r="D65" s="8">
        <f t="shared" si="0"/>
        <v>0</v>
      </c>
      <c r="E65" s="23" t="s">
        <v>22</v>
      </c>
      <c r="F65" s="8">
        <f t="shared" ref="F65:F66" si="1">SUMIF($C$2:$C$61,E65,$O$2:$O$61)</f>
        <v>0</v>
      </c>
      <c r="G65" s="1"/>
      <c r="H65" s="348" t="s">
        <v>75</v>
      </c>
      <c r="I65" s="348"/>
      <c r="J65" s="20">
        <f>SUMIF(K2:K61,K65,J2:J61)</f>
        <v>0</v>
      </c>
      <c r="K65" s="24">
        <v>1</v>
      </c>
      <c r="L65" s="1"/>
      <c r="M65" s="48"/>
      <c r="N65" s="43">
        <f>SUMIF($K$2:$K$61,K65,$O$2:$O$61)</f>
        <v>0</v>
      </c>
      <c r="O65" s="43"/>
      <c r="P65" s="1"/>
      <c r="Q65" s="1"/>
      <c r="R65" s="1"/>
      <c r="S65" s="1"/>
      <c r="T65" s="1"/>
      <c r="U65" s="1"/>
      <c r="V65" s="1"/>
      <c r="W65" s="1"/>
      <c r="X65" s="1"/>
      <c r="Y65" s="1"/>
      <c r="Z65" s="1"/>
      <c r="AA65" s="1"/>
      <c r="AB65" s="1"/>
      <c r="AC65" s="1"/>
      <c r="AD65" s="43"/>
      <c r="AE65" s="43"/>
      <c r="AF65" s="43"/>
    </row>
    <row r="66" spans="1:32" s="8" customFormat="1" x14ac:dyDescent="0.2">
      <c r="C66" s="1" t="s">
        <v>34</v>
      </c>
      <c r="D66" s="8">
        <f t="shared" si="0"/>
        <v>0</v>
      </c>
      <c r="E66" s="1" t="s">
        <v>735</v>
      </c>
      <c r="F66" s="8">
        <f t="shared" si="1"/>
        <v>0</v>
      </c>
      <c r="G66" s="1"/>
      <c r="H66" s="1" t="s">
        <v>76</v>
      </c>
      <c r="I66" s="39" t="s">
        <v>734</v>
      </c>
      <c r="J66" s="20">
        <f>SUMIF($L$2:$L$61,K66,$J$2:$J$61)</f>
        <v>0</v>
      </c>
      <c r="K66" s="25">
        <v>1</v>
      </c>
      <c r="L66" s="1"/>
      <c r="M66" s="1"/>
      <c r="N66" s="21"/>
      <c r="P66" s="1"/>
      <c r="Q66" s="1"/>
      <c r="R66" s="1"/>
      <c r="S66" s="1"/>
      <c r="T66" s="1"/>
      <c r="U66" s="1"/>
      <c r="V66" s="1"/>
      <c r="W66" s="1"/>
      <c r="X66" s="1"/>
      <c r="Y66" s="1"/>
      <c r="Z66" s="1"/>
      <c r="AA66" s="1"/>
      <c r="AB66" s="1"/>
      <c r="AC66" s="1"/>
      <c r="AD66" s="43"/>
      <c r="AE66" s="43"/>
      <c r="AF66" s="43"/>
    </row>
    <row r="67" spans="1:32" s="8" customFormat="1" x14ac:dyDescent="0.2">
      <c r="C67" s="23" t="s">
        <v>31</v>
      </c>
      <c r="D67" s="8">
        <f t="shared" si="0"/>
        <v>0</v>
      </c>
      <c r="E67" s="1"/>
      <c r="F67" s="1"/>
      <c r="G67" s="1"/>
      <c r="H67" s="1" t="s">
        <v>76</v>
      </c>
      <c r="I67" s="39" t="s">
        <v>742</v>
      </c>
      <c r="J67" s="20">
        <f>SUMIF($L$2:$L$61,K67,$J$2:$J$61)</f>
        <v>0</v>
      </c>
      <c r="K67" s="25">
        <v>2</v>
      </c>
      <c r="L67" s="1"/>
      <c r="M67" s="1"/>
      <c r="N67" s="21"/>
      <c r="P67" s="1"/>
      <c r="Q67" s="1"/>
      <c r="R67" s="1"/>
      <c r="S67" s="1"/>
      <c r="T67" s="1"/>
      <c r="U67" s="1"/>
      <c r="V67" s="1"/>
      <c r="W67" s="1"/>
      <c r="X67" s="1"/>
      <c r="Y67" s="1"/>
      <c r="Z67" s="1"/>
      <c r="AA67" s="1"/>
      <c r="AB67" s="1"/>
      <c r="AC67" s="1"/>
      <c r="AD67" s="43"/>
      <c r="AE67" s="43"/>
      <c r="AF67" s="43"/>
    </row>
    <row r="68" spans="1:32" s="8" customFormat="1" x14ac:dyDescent="0.2">
      <c r="C68" s="23" t="s">
        <v>85</v>
      </c>
      <c r="D68" s="8">
        <f t="shared" si="0"/>
        <v>0</v>
      </c>
      <c r="E68" s="1"/>
      <c r="F68" s="1"/>
      <c r="G68" s="1"/>
      <c r="H68" s="1" t="s">
        <v>76</v>
      </c>
      <c r="I68" s="39" t="s">
        <v>743</v>
      </c>
      <c r="J68" s="20">
        <f>SUMIF($L$2:$L$61,K68,$J$2:$J$61)</f>
        <v>0</v>
      </c>
      <c r="K68" s="25">
        <v>3</v>
      </c>
      <c r="L68" s="1"/>
      <c r="M68" s="1"/>
      <c r="N68" s="21"/>
      <c r="P68" s="1"/>
      <c r="Q68" s="1"/>
      <c r="R68" s="1"/>
      <c r="S68" s="1"/>
      <c r="T68" s="1"/>
      <c r="U68" s="1"/>
      <c r="V68" s="1"/>
      <c r="W68" s="1"/>
      <c r="X68" s="1"/>
      <c r="Y68" s="1"/>
      <c r="Z68" s="1"/>
      <c r="AA68" s="1"/>
      <c r="AB68" s="1"/>
      <c r="AC68" s="1"/>
      <c r="AD68" s="43"/>
      <c r="AE68" s="43"/>
      <c r="AF68" s="43"/>
    </row>
    <row r="69" spans="1:32" s="8" customFormat="1" x14ac:dyDescent="0.2">
      <c r="C69" s="23" t="s">
        <v>46</v>
      </c>
      <c r="D69" s="8">
        <f t="shared" si="0"/>
        <v>0</v>
      </c>
      <c r="E69" s="1"/>
      <c r="F69" s="1"/>
      <c r="G69" s="1"/>
      <c r="H69" s="1" t="s">
        <v>76</v>
      </c>
      <c r="I69" s="39" t="s">
        <v>744</v>
      </c>
      <c r="J69" s="20">
        <f>SUMIF($L$2:$L$61,K69,$J$2:$J$61)</f>
        <v>0</v>
      </c>
      <c r="K69" s="25">
        <v>4</v>
      </c>
      <c r="L69" s="1"/>
      <c r="M69" s="1"/>
      <c r="N69" s="21"/>
      <c r="P69" s="1"/>
      <c r="Q69" s="1"/>
      <c r="R69" s="1"/>
      <c r="S69" s="1"/>
      <c r="T69" s="1"/>
      <c r="U69" s="1"/>
      <c r="V69" s="1"/>
      <c r="W69" s="1"/>
      <c r="X69" s="1"/>
      <c r="Y69" s="1"/>
      <c r="Z69" s="1"/>
      <c r="AA69" s="1"/>
      <c r="AB69" s="1"/>
      <c r="AC69" s="1"/>
      <c r="AD69" s="43"/>
      <c r="AE69" s="43"/>
      <c r="AF69" s="43"/>
    </row>
    <row r="70" spans="1:32" x14ac:dyDescent="0.2">
      <c r="C70" s="23" t="s">
        <v>38</v>
      </c>
      <c r="D70" s="8">
        <f t="shared" si="0"/>
        <v>0</v>
      </c>
      <c r="H70" s="1" t="s">
        <v>76</v>
      </c>
      <c r="I70" s="39" t="s">
        <v>745</v>
      </c>
      <c r="J70" s="20">
        <f>SUMIF($L$2:$L$61,K70,$J$2:$J$61)</f>
        <v>0</v>
      </c>
      <c r="K70" s="25">
        <v>5</v>
      </c>
    </row>
    <row r="72" spans="1:32" x14ac:dyDescent="0.2">
      <c r="C72" s="23"/>
      <c r="D72" s="8"/>
    </row>
    <row r="73" spans="1:32" x14ac:dyDescent="0.2">
      <c r="L73" s="33"/>
    </row>
    <row r="74" spans="1:32" x14ac:dyDescent="0.2">
      <c r="C74" s="3" t="s">
        <v>157</v>
      </c>
      <c r="D74" s="8">
        <f>SUM(D64:D73)</f>
        <v>0</v>
      </c>
      <c r="E74" s="3" t="s">
        <v>157</v>
      </c>
      <c r="F74" s="8">
        <f>SUM(F64:F73)</f>
        <v>0</v>
      </c>
    </row>
    <row r="75" spans="1:32" s="57" customFormat="1" ht="29.25" customHeight="1" x14ac:dyDescent="0.2">
      <c r="A75" s="383" t="s">
        <v>158</v>
      </c>
      <c r="B75" s="383"/>
      <c r="C75" s="383"/>
      <c r="I75" s="58" t="s">
        <v>159</v>
      </c>
      <c r="J75" s="58" t="s">
        <v>160</v>
      </c>
      <c r="N75" s="59"/>
      <c r="O75" s="7"/>
      <c r="AD75" s="60"/>
      <c r="AE75" s="60"/>
      <c r="AF75" s="60"/>
    </row>
    <row r="76" spans="1:32" x14ac:dyDescent="0.2">
      <c r="A76" s="286">
        <v>44896</v>
      </c>
      <c r="B76" s="287" t="s">
        <v>163</v>
      </c>
      <c r="C76" s="353"/>
      <c r="D76" s="353"/>
      <c r="E76" s="353"/>
      <c r="F76" s="353"/>
      <c r="G76" s="353"/>
      <c r="H76" s="353"/>
      <c r="I76" s="51"/>
      <c r="J76" s="51"/>
    </row>
    <row r="77" spans="1:32" x14ac:dyDescent="0.2">
      <c r="A77" s="49">
        <f>+A76+1</f>
        <v>44897</v>
      </c>
      <c r="B77" s="50" t="s">
        <v>164</v>
      </c>
      <c r="C77" s="353"/>
      <c r="D77" s="353"/>
      <c r="E77" s="353"/>
      <c r="F77" s="353"/>
      <c r="G77" s="353"/>
      <c r="H77" s="353"/>
      <c r="I77" s="51"/>
      <c r="J77" s="51"/>
    </row>
    <row r="78" spans="1:32" x14ac:dyDescent="0.2">
      <c r="A78" s="49">
        <f t="shared" ref="A78:A106" si="2">+A77+1</f>
        <v>44898</v>
      </c>
      <c r="B78" s="50" t="s">
        <v>165</v>
      </c>
      <c r="C78" s="353"/>
      <c r="D78" s="353"/>
      <c r="E78" s="353"/>
      <c r="F78" s="353"/>
      <c r="G78" s="353"/>
      <c r="H78" s="353"/>
      <c r="I78" s="51"/>
      <c r="J78" s="51"/>
    </row>
    <row r="79" spans="1:32" x14ac:dyDescent="0.2">
      <c r="A79" s="49">
        <f t="shared" si="2"/>
        <v>44899</v>
      </c>
      <c r="B79" s="50" t="s">
        <v>166</v>
      </c>
      <c r="C79" s="353"/>
      <c r="D79" s="353"/>
      <c r="E79" s="353"/>
      <c r="F79" s="353"/>
      <c r="G79" s="353"/>
      <c r="H79" s="353"/>
      <c r="I79" s="51"/>
      <c r="J79" s="51"/>
    </row>
    <row r="80" spans="1:32" x14ac:dyDescent="0.2">
      <c r="A80" s="49">
        <f t="shared" si="2"/>
        <v>44900</v>
      </c>
      <c r="B80" s="50" t="s">
        <v>167</v>
      </c>
      <c r="C80" s="353"/>
      <c r="D80" s="353"/>
      <c r="E80" s="353"/>
      <c r="F80" s="353"/>
      <c r="G80" s="353"/>
      <c r="H80" s="353"/>
      <c r="I80" s="51"/>
      <c r="J80" s="51"/>
    </row>
    <row r="81" spans="1:10" x14ac:dyDescent="0.2">
      <c r="A81" s="49">
        <f t="shared" si="2"/>
        <v>44901</v>
      </c>
      <c r="B81" s="50" t="s">
        <v>161</v>
      </c>
      <c r="C81" s="353"/>
      <c r="D81" s="353"/>
      <c r="E81" s="353"/>
      <c r="F81" s="353"/>
      <c r="G81" s="353"/>
      <c r="H81" s="353"/>
      <c r="I81" s="51"/>
      <c r="J81" s="51"/>
    </row>
    <row r="82" spans="1:10" x14ac:dyDescent="0.2">
      <c r="A82" s="49">
        <f t="shared" si="2"/>
        <v>44902</v>
      </c>
      <c r="B82" s="50" t="s">
        <v>162</v>
      </c>
      <c r="C82" s="353"/>
      <c r="D82" s="353"/>
      <c r="E82" s="353"/>
      <c r="F82" s="353"/>
      <c r="G82" s="353"/>
      <c r="H82" s="353"/>
      <c r="I82" s="51"/>
      <c r="J82" s="51"/>
    </row>
    <row r="83" spans="1:10" x14ac:dyDescent="0.2">
      <c r="A83" s="61">
        <f t="shared" si="2"/>
        <v>44903</v>
      </c>
      <c r="B83" s="62" t="s">
        <v>163</v>
      </c>
      <c r="C83" s="429"/>
      <c r="D83" s="429"/>
      <c r="E83" s="429"/>
      <c r="F83" s="429"/>
      <c r="G83" s="429"/>
      <c r="H83" s="429"/>
      <c r="I83" s="63"/>
      <c r="J83" s="63"/>
    </row>
    <row r="84" spans="1:10" x14ac:dyDescent="0.2">
      <c r="A84" s="49">
        <f t="shared" si="2"/>
        <v>44904</v>
      </c>
      <c r="B84" s="50" t="s">
        <v>164</v>
      </c>
      <c r="C84" s="353"/>
      <c r="D84" s="353"/>
      <c r="E84" s="353"/>
      <c r="F84" s="353"/>
      <c r="G84" s="353"/>
      <c r="H84" s="353"/>
      <c r="I84" s="51"/>
      <c r="J84" s="51"/>
    </row>
    <row r="85" spans="1:10" x14ac:dyDescent="0.2">
      <c r="A85" s="49">
        <f t="shared" si="2"/>
        <v>44905</v>
      </c>
      <c r="B85" s="50" t="s">
        <v>165</v>
      </c>
      <c r="C85" s="353"/>
      <c r="D85" s="353"/>
      <c r="E85" s="353"/>
      <c r="F85" s="353"/>
      <c r="G85" s="353"/>
      <c r="H85" s="353"/>
      <c r="I85" s="51"/>
      <c r="J85" s="51"/>
    </row>
    <row r="86" spans="1:10" x14ac:dyDescent="0.2">
      <c r="A86" s="49">
        <f t="shared" si="2"/>
        <v>44906</v>
      </c>
      <c r="B86" s="50" t="s">
        <v>166</v>
      </c>
      <c r="C86" s="353"/>
      <c r="D86" s="353"/>
      <c r="E86" s="353"/>
      <c r="F86" s="353"/>
      <c r="G86" s="353"/>
      <c r="H86" s="353"/>
      <c r="I86" s="51"/>
      <c r="J86" s="51"/>
    </row>
    <row r="87" spans="1:10" x14ac:dyDescent="0.2">
      <c r="A87" s="49">
        <f t="shared" si="2"/>
        <v>44907</v>
      </c>
      <c r="B87" s="50" t="s">
        <v>167</v>
      </c>
      <c r="C87" s="353"/>
      <c r="D87" s="353"/>
      <c r="E87" s="353"/>
      <c r="F87" s="353"/>
      <c r="G87" s="353"/>
      <c r="H87" s="353"/>
      <c r="I87" s="51"/>
      <c r="J87" s="51"/>
    </row>
    <row r="88" spans="1:10" x14ac:dyDescent="0.2">
      <c r="A88" s="49">
        <f t="shared" si="2"/>
        <v>44908</v>
      </c>
      <c r="B88" s="50" t="s">
        <v>161</v>
      </c>
      <c r="C88" s="353"/>
      <c r="D88" s="353"/>
      <c r="E88" s="353"/>
      <c r="F88" s="353"/>
      <c r="G88" s="353"/>
      <c r="H88" s="353"/>
      <c r="I88" s="51"/>
      <c r="J88" s="51"/>
    </row>
    <row r="89" spans="1:10" x14ac:dyDescent="0.2">
      <c r="A89" s="49">
        <f t="shared" si="2"/>
        <v>44909</v>
      </c>
      <c r="B89" s="50" t="s">
        <v>162</v>
      </c>
      <c r="C89" s="353"/>
      <c r="D89" s="353"/>
      <c r="E89" s="353"/>
      <c r="F89" s="353"/>
      <c r="G89" s="353"/>
      <c r="H89" s="353"/>
      <c r="I89" s="51"/>
      <c r="J89" s="51"/>
    </row>
    <row r="90" spans="1:10" x14ac:dyDescent="0.2">
      <c r="A90" s="49">
        <f t="shared" si="2"/>
        <v>44910</v>
      </c>
      <c r="B90" s="50" t="s">
        <v>163</v>
      </c>
      <c r="C90" s="353"/>
      <c r="D90" s="353"/>
      <c r="E90" s="353"/>
      <c r="F90" s="353"/>
      <c r="G90" s="353"/>
      <c r="H90" s="353"/>
      <c r="I90" s="51"/>
      <c r="J90" s="51"/>
    </row>
    <row r="91" spans="1:10" x14ac:dyDescent="0.2">
      <c r="A91" s="49">
        <f t="shared" si="2"/>
        <v>44911</v>
      </c>
      <c r="B91" s="50" t="s">
        <v>164</v>
      </c>
      <c r="C91" s="353"/>
      <c r="D91" s="353"/>
      <c r="E91" s="353"/>
      <c r="F91" s="353"/>
      <c r="G91" s="353"/>
      <c r="H91" s="353"/>
      <c r="I91" s="51"/>
      <c r="J91" s="51"/>
    </row>
    <row r="92" spans="1:10" x14ac:dyDescent="0.2">
      <c r="A92" s="49">
        <f t="shared" si="2"/>
        <v>44912</v>
      </c>
      <c r="B92" s="50" t="s">
        <v>165</v>
      </c>
      <c r="C92" s="353"/>
      <c r="D92" s="353"/>
      <c r="E92" s="353"/>
      <c r="F92" s="353"/>
      <c r="G92" s="353"/>
      <c r="H92" s="353"/>
      <c r="I92" s="51"/>
      <c r="J92" s="51"/>
    </row>
    <row r="93" spans="1:10" x14ac:dyDescent="0.2">
      <c r="A93" s="49">
        <f t="shared" si="2"/>
        <v>44913</v>
      </c>
      <c r="B93" s="50" t="s">
        <v>166</v>
      </c>
      <c r="C93" s="353"/>
      <c r="D93" s="353"/>
      <c r="E93" s="353"/>
      <c r="F93" s="353"/>
      <c r="G93" s="353"/>
      <c r="H93" s="353"/>
      <c r="I93" s="51"/>
      <c r="J93" s="51"/>
    </row>
    <row r="94" spans="1:10" x14ac:dyDescent="0.2">
      <c r="A94" s="49">
        <f t="shared" si="2"/>
        <v>44914</v>
      </c>
      <c r="B94" s="50" t="s">
        <v>167</v>
      </c>
      <c r="C94" s="353"/>
      <c r="D94" s="353"/>
      <c r="E94" s="353"/>
      <c r="F94" s="353"/>
      <c r="G94" s="353"/>
      <c r="H94" s="353"/>
      <c r="I94" s="51"/>
      <c r="J94" s="51"/>
    </row>
    <row r="95" spans="1:10" x14ac:dyDescent="0.2">
      <c r="A95" s="49">
        <f t="shared" si="2"/>
        <v>44915</v>
      </c>
      <c r="B95" s="50" t="s">
        <v>161</v>
      </c>
      <c r="C95" s="353"/>
      <c r="D95" s="353"/>
      <c r="E95" s="353"/>
      <c r="F95" s="353"/>
      <c r="G95" s="353"/>
      <c r="H95" s="353"/>
      <c r="I95" s="51"/>
      <c r="J95" s="51"/>
    </row>
    <row r="96" spans="1:10" x14ac:dyDescent="0.2">
      <c r="A96" s="49">
        <f t="shared" si="2"/>
        <v>44916</v>
      </c>
      <c r="B96" s="50" t="s">
        <v>162</v>
      </c>
      <c r="C96" s="353"/>
      <c r="D96" s="353"/>
      <c r="E96" s="353"/>
      <c r="F96" s="353"/>
      <c r="G96" s="353"/>
      <c r="H96" s="353"/>
      <c r="I96" s="51"/>
      <c r="J96" s="51"/>
    </row>
    <row r="97" spans="1:21" x14ac:dyDescent="0.2">
      <c r="A97" s="49">
        <f t="shared" si="2"/>
        <v>44917</v>
      </c>
      <c r="B97" s="50" t="s">
        <v>163</v>
      </c>
      <c r="C97" s="353"/>
      <c r="D97" s="353"/>
      <c r="E97" s="353"/>
      <c r="F97" s="353"/>
      <c r="G97" s="353"/>
      <c r="H97" s="353"/>
      <c r="I97" s="51"/>
      <c r="J97" s="51"/>
    </row>
    <row r="98" spans="1:21" x14ac:dyDescent="0.2">
      <c r="A98" s="49">
        <f t="shared" si="2"/>
        <v>44918</v>
      </c>
      <c r="B98" s="50" t="s">
        <v>164</v>
      </c>
      <c r="C98" s="353"/>
      <c r="D98" s="353"/>
      <c r="E98" s="353"/>
      <c r="F98" s="353"/>
      <c r="G98" s="353"/>
      <c r="H98" s="353"/>
      <c r="I98" s="51"/>
      <c r="J98" s="51"/>
    </row>
    <row r="99" spans="1:21" x14ac:dyDescent="0.2">
      <c r="A99" s="49">
        <f t="shared" si="2"/>
        <v>44919</v>
      </c>
      <c r="B99" s="50" t="s">
        <v>165</v>
      </c>
      <c r="C99" s="353"/>
      <c r="D99" s="353"/>
      <c r="E99" s="353"/>
      <c r="F99" s="353"/>
      <c r="G99" s="353"/>
      <c r="H99" s="353"/>
      <c r="I99" s="51"/>
      <c r="J99" s="51"/>
    </row>
    <row r="100" spans="1:21" x14ac:dyDescent="0.2">
      <c r="A100" s="61">
        <f t="shared" si="2"/>
        <v>44920</v>
      </c>
      <c r="B100" s="62" t="s">
        <v>166</v>
      </c>
      <c r="C100" s="429"/>
      <c r="D100" s="429"/>
      <c r="E100" s="429"/>
      <c r="F100" s="429"/>
      <c r="G100" s="429"/>
      <c r="H100" s="429"/>
      <c r="I100" s="63"/>
      <c r="J100" s="63"/>
    </row>
    <row r="101" spans="1:21" x14ac:dyDescent="0.2">
      <c r="A101" s="49">
        <f t="shared" si="2"/>
        <v>44921</v>
      </c>
      <c r="B101" s="50" t="s">
        <v>167</v>
      </c>
      <c r="C101" s="353"/>
      <c r="D101" s="353"/>
      <c r="E101" s="353"/>
      <c r="F101" s="353"/>
      <c r="G101" s="353"/>
      <c r="H101" s="353"/>
      <c r="I101" s="51"/>
      <c r="J101" s="51"/>
    </row>
    <row r="102" spans="1:21" x14ac:dyDescent="0.2">
      <c r="A102" s="49">
        <f t="shared" si="2"/>
        <v>44922</v>
      </c>
      <c r="B102" s="50" t="s">
        <v>161</v>
      </c>
      <c r="C102" s="353"/>
      <c r="D102" s="353"/>
      <c r="E102" s="353"/>
      <c r="F102" s="353"/>
      <c r="G102" s="353"/>
      <c r="H102" s="353"/>
      <c r="I102" s="51"/>
      <c r="J102" s="51"/>
    </row>
    <row r="103" spans="1:21" x14ac:dyDescent="0.2">
      <c r="A103" s="49">
        <f t="shared" si="2"/>
        <v>44923</v>
      </c>
      <c r="B103" s="50" t="s">
        <v>162</v>
      </c>
      <c r="C103" s="353"/>
      <c r="D103" s="353"/>
      <c r="E103" s="353"/>
      <c r="F103" s="353"/>
      <c r="G103" s="353"/>
      <c r="H103" s="353"/>
      <c r="I103" s="51"/>
      <c r="J103" s="51"/>
    </row>
    <row r="104" spans="1:21" x14ac:dyDescent="0.2">
      <c r="A104" s="49">
        <f t="shared" si="2"/>
        <v>44924</v>
      </c>
      <c r="B104" s="50" t="s">
        <v>163</v>
      </c>
      <c r="C104" s="353"/>
      <c r="D104" s="353"/>
      <c r="E104" s="353"/>
      <c r="F104" s="353"/>
      <c r="G104" s="353"/>
      <c r="H104" s="353"/>
      <c r="I104" s="51"/>
      <c r="J104" s="51"/>
    </row>
    <row r="105" spans="1:21" x14ac:dyDescent="0.2">
      <c r="A105" s="49">
        <f t="shared" si="2"/>
        <v>44925</v>
      </c>
      <c r="B105" s="50" t="s">
        <v>164</v>
      </c>
      <c r="C105" s="353"/>
      <c r="D105" s="353"/>
      <c r="E105" s="353"/>
      <c r="F105" s="353"/>
      <c r="G105" s="353"/>
      <c r="H105" s="353"/>
      <c r="I105" s="51"/>
      <c r="J105" s="51"/>
    </row>
    <row r="106" spans="1:21" x14ac:dyDescent="0.2">
      <c r="A106" s="49">
        <f t="shared" si="2"/>
        <v>44926</v>
      </c>
      <c r="B106" s="50" t="s">
        <v>165</v>
      </c>
      <c r="C106" s="353"/>
      <c r="D106" s="353"/>
      <c r="E106" s="353"/>
      <c r="F106" s="353"/>
      <c r="G106" s="353"/>
      <c r="H106" s="353"/>
      <c r="I106" s="51"/>
      <c r="J106" s="51"/>
    </row>
    <row r="107" spans="1:21" x14ac:dyDescent="0.2">
      <c r="A107" s="32"/>
      <c r="I107" s="8"/>
      <c r="J107" s="8"/>
      <c r="R107" s="21"/>
      <c r="S107" s="21"/>
      <c r="T107" s="8"/>
      <c r="U107" s="8"/>
    </row>
    <row r="108" spans="1:21" x14ac:dyDescent="0.2">
      <c r="A108" s="367" t="s">
        <v>207</v>
      </c>
      <c r="B108" s="368"/>
      <c r="C108" s="368"/>
      <c r="D108" s="368"/>
      <c r="I108" s="8"/>
      <c r="J108" s="8"/>
      <c r="R108" s="21"/>
      <c r="S108" s="21"/>
      <c r="T108" s="8"/>
      <c r="U108" s="8"/>
    </row>
    <row r="109" spans="1:21" x14ac:dyDescent="0.2">
      <c r="A109" s="52">
        <f>COUNTIF($I$76:$I$109,B109)</f>
        <v>0</v>
      </c>
      <c r="B109" s="53" t="s">
        <v>208</v>
      </c>
      <c r="C109" s="370" t="s">
        <v>209</v>
      </c>
      <c r="D109" s="370"/>
      <c r="I109" s="8"/>
      <c r="J109" s="8"/>
      <c r="R109" s="21"/>
      <c r="S109" s="21"/>
      <c r="T109" s="8"/>
      <c r="U109" s="8"/>
    </row>
    <row r="110" spans="1:21" x14ac:dyDescent="0.2">
      <c r="A110" s="52">
        <f t="shared" ref="A110:A119" si="3">COUNTIF($I$76:$I$109,B110)</f>
        <v>0</v>
      </c>
      <c r="B110" s="53" t="s">
        <v>172</v>
      </c>
      <c r="C110" s="370" t="s">
        <v>210</v>
      </c>
      <c r="D110" s="370"/>
      <c r="I110" s="8"/>
      <c r="J110" s="8"/>
      <c r="R110" s="21"/>
      <c r="S110" s="21"/>
      <c r="T110" s="8"/>
      <c r="U110" s="8"/>
    </row>
    <row r="111" spans="1:21" x14ac:dyDescent="0.2">
      <c r="A111" s="52">
        <f t="shared" si="3"/>
        <v>0</v>
      </c>
      <c r="B111" s="53" t="s">
        <v>169</v>
      </c>
      <c r="C111" s="370" t="s">
        <v>211</v>
      </c>
      <c r="D111" s="370"/>
      <c r="I111" s="8"/>
      <c r="J111" s="8"/>
      <c r="R111" s="21"/>
      <c r="S111" s="21"/>
      <c r="T111" s="8"/>
      <c r="U111" s="8"/>
    </row>
    <row r="112" spans="1:21" x14ac:dyDescent="0.2">
      <c r="A112" s="52">
        <f t="shared" si="3"/>
        <v>0</v>
      </c>
      <c r="B112" s="53" t="s">
        <v>181</v>
      </c>
      <c r="C112" s="370" t="s">
        <v>212</v>
      </c>
      <c r="D112" s="370"/>
      <c r="I112" s="8"/>
      <c r="J112" s="8"/>
      <c r="R112" s="21"/>
      <c r="S112" s="21"/>
      <c r="T112" s="8"/>
      <c r="U112" s="8"/>
    </row>
    <row r="113" spans="1:21" x14ac:dyDescent="0.2">
      <c r="A113" s="52">
        <f t="shared" si="3"/>
        <v>0</v>
      </c>
      <c r="B113" s="53" t="s">
        <v>183</v>
      </c>
      <c r="C113" s="370" t="s">
        <v>213</v>
      </c>
      <c r="D113" s="370"/>
      <c r="I113" s="8"/>
      <c r="J113" s="8"/>
      <c r="R113" s="21"/>
      <c r="S113" s="21"/>
      <c r="T113" s="8"/>
      <c r="U113" s="8"/>
    </row>
    <row r="114" spans="1:21" x14ac:dyDescent="0.2">
      <c r="A114" s="52">
        <f t="shared" si="3"/>
        <v>0</v>
      </c>
      <c r="B114" s="53" t="s">
        <v>214</v>
      </c>
      <c r="C114" s="370" t="s">
        <v>215</v>
      </c>
      <c r="D114" s="370"/>
      <c r="I114" s="8"/>
      <c r="J114" s="8"/>
      <c r="R114" s="21"/>
      <c r="S114" s="21"/>
      <c r="T114" s="8"/>
      <c r="U114" s="8"/>
    </row>
    <row r="115" spans="1:21" x14ac:dyDescent="0.2">
      <c r="A115" s="52">
        <f t="shared" si="3"/>
        <v>0</v>
      </c>
      <c r="B115" s="53" t="s">
        <v>216</v>
      </c>
      <c r="C115" s="370" t="s">
        <v>217</v>
      </c>
      <c r="D115" s="370"/>
      <c r="I115" s="8"/>
      <c r="J115" s="8"/>
      <c r="R115" s="21"/>
      <c r="S115" s="21"/>
      <c r="T115" s="8"/>
      <c r="U115" s="8"/>
    </row>
    <row r="116" spans="1:21" x14ac:dyDescent="0.2">
      <c r="A116" s="52">
        <f t="shared" si="3"/>
        <v>0</v>
      </c>
      <c r="B116" s="53" t="s">
        <v>218</v>
      </c>
      <c r="C116" s="371" t="s">
        <v>219</v>
      </c>
      <c r="D116" s="372"/>
      <c r="I116" s="8"/>
      <c r="J116" s="8"/>
      <c r="R116" s="21"/>
      <c r="S116" s="21"/>
      <c r="T116" s="8"/>
      <c r="U116" s="8"/>
    </row>
    <row r="117" spans="1:21" x14ac:dyDescent="0.2">
      <c r="A117" s="52">
        <f t="shared" si="3"/>
        <v>0</v>
      </c>
      <c r="B117" s="53" t="s">
        <v>220</v>
      </c>
      <c r="C117" s="370" t="s">
        <v>221</v>
      </c>
      <c r="D117" s="370"/>
      <c r="I117" s="8"/>
      <c r="J117" s="8"/>
    </row>
    <row r="118" spans="1:21" x14ac:dyDescent="0.2">
      <c r="A118" s="52">
        <f>COUNTIF($I$76:$I$109,B118)</f>
        <v>0</v>
      </c>
      <c r="B118" s="53" t="s">
        <v>178</v>
      </c>
      <c r="C118" s="370" t="s">
        <v>222</v>
      </c>
      <c r="D118" s="370"/>
      <c r="I118" s="8"/>
      <c r="J118" s="8"/>
    </row>
    <row r="119" spans="1:21" x14ac:dyDescent="0.2">
      <c r="A119" s="52">
        <f t="shared" si="3"/>
        <v>0</v>
      </c>
      <c r="B119" s="53" t="s">
        <v>223</v>
      </c>
      <c r="C119" s="370" t="s">
        <v>224</v>
      </c>
      <c r="D119" s="370"/>
      <c r="I119" s="8"/>
      <c r="J119" s="8"/>
    </row>
    <row r="120" spans="1:21" x14ac:dyDescent="0.2">
      <c r="A120" s="54"/>
      <c r="B120" s="55"/>
      <c r="C120" s="56"/>
      <c r="D120" s="56"/>
      <c r="I120" s="8"/>
      <c r="J120" s="8"/>
    </row>
    <row r="121" spans="1:21" x14ac:dyDescent="0.2">
      <c r="A121" s="54"/>
      <c r="B121" s="55"/>
      <c r="C121" s="56"/>
      <c r="D121" s="56"/>
      <c r="I121" s="8"/>
      <c r="J121" s="8"/>
    </row>
    <row r="122" spans="1:21" x14ac:dyDescent="0.2">
      <c r="A122" s="54"/>
      <c r="B122" s="55"/>
      <c r="C122" s="56"/>
      <c r="D122" s="56"/>
      <c r="I122" s="8"/>
      <c r="J122" s="8"/>
    </row>
    <row r="123" spans="1:21" x14ac:dyDescent="0.2">
      <c r="A123" s="54"/>
      <c r="B123" s="55"/>
      <c r="C123" s="56"/>
      <c r="D123" s="56"/>
      <c r="I123" s="8"/>
      <c r="J123" s="8"/>
    </row>
    <row r="124" spans="1:21" x14ac:dyDescent="0.2">
      <c r="A124" s="32"/>
      <c r="I124" s="8"/>
      <c r="J124" s="8"/>
    </row>
    <row r="125" spans="1:21" x14ac:dyDescent="0.2">
      <c r="A125" s="367" t="s">
        <v>225</v>
      </c>
      <c r="B125" s="368"/>
      <c r="C125" s="368"/>
      <c r="D125" s="368"/>
      <c r="I125" s="8"/>
      <c r="J125" s="8"/>
    </row>
    <row r="126" spans="1:21" x14ac:dyDescent="0.2">
      <c r="A126" s="52">
        <f>COUNTIF($J$76:$J$109,B126)</f>
        <v>0</v>
      </c>
      <c r="B126" s="52" t="s">
        <v>170</v>
      </c>
      <c r="C126" s="356" t="s">
        <v>226</v>
      </c>
      <c r="D126" s="356"/>
      <c r="I126" s="8"/>
      <c r="J126" s="8"/>
    </row>
    <row r="127" spans="1:21" x14ac:dyDescent="0.2">
      <c r="A127" s="52">
        <f t="shared" ref="A127:A138" si="4">COUNTIF($J$76:$J$109,B127)</f>
        <v>0</v>
      </c>
      <c r="B127" s="52" t="s">
        <v>191</v>
      </c>
      <c r="C127" s="356" t="s">
        <v>227</v>
      </c>
      <c r="D127" s="356"/>
      <c r="I127" s="8"/>
      <c r="J127" s="8"/>
    </row>
    <row r="128" spans="1:21" x14ac:dyDescent="0.2">
      <c r="A128" s="52">
        <f t="shared" si="4"/>
        <v>0</v>
      </c>
      <c r="B128" s="52" t="s">
        <v>179</v>
      </c>
      <c r="C128" s="356" t="s">
        <v>228</v>
      </c>
      <c r="D128" s="356"/>
      <c r="I128" s="8"/>
      <c r="J128" s="8"/>
    </row>
    <row r="129" spans="1:10" x14ac:dyDescent="0.2">
      <c r="A129" s="52">
        <f t="shared" si="4"/>
        <v>0</v>
      </c>
      <c r="B129" s="52" t="s">
        <v>229</v>
      </c>
      <c r="C129" s="356" t="s">
        <v>230</v>
      </c>
      <c r="D129" s="356"/>
      <c r="I129" s="8"/>
      <c r="J129" s="8"/>
    </row>
    <row r="130" spans="1:10" x14ac:dyDescent="0.2">
      <c r="A130" s="52">
        <f t="shared" si="4"/>
        <v>0</v>
      </c>
      <c r="B130" s="52" t="s">
        <v>174</v>
      </c>
      <c r="C130" s="356" t="s">
        <v>231</v>
      </c>
      <c r="D130" s="356"/>
      <c r="I130" s="8"/>
      <c r="J130" s="8"/>
    </row>
    <row r="131" spans="1:10" x14ac:dyDescent="0.2">
      <c r="A131" s="52">
        <f t="shared" si="4"/>
        <v>0</v>
      </c>
      <c r="B131" s="52" t="s">
        <v>232</v>
      </c>
      <c r="C131" s="356" t="s">
        <v>233</v>
      </c>
      <c r="D131" s="356"/>
      <c r="I131" s="8"/>
      <c r="J131" s="8"/>
    </row>
    <row r="132" spans="1:10" x14ac:dyDescent="0.2">
      <c r="A132" s="52">
        <f t="shared" si="4"/>
        <v>0</v>
      </c>
      <c r="B132" s="52" t="s">
        <v>187</v>
      </c>
      <c r="C132" s="356" t="s">
        <v>234</v>
      </c>
      <c r="D132" s="356"/>
      <c r="I132" s="8"/>
      <c r="J132" s="8"/>
    </row>
    <row r="133" spans="1:10" x14ac:dyDescent="0.2">
      <c r="A133" s="52">
        <f t="shared" si="4"/>
        <v>0</v>
      </c>
      <c r="B133" s="52" t="s">
        <v>235</v>
      </c>
      <c r="C133" s="356" t="s">
        <v>236</v>
      </c>
      <c r="D133" s="356"/>
      <c r="I133" s="8"/>
      <c r="J133" s="8"/>
    </row>
    <row r="134" spans="1:10" x14ac:dyDescent="0.2">
      <c r="A134" s="52">
        <f t="shared" si="4"/>
        <v>0</v>
      </c>
      <c r="B134" s="52" t="s">
        <v>185</v>
      </c>
      <c r="C134" s="356" t="s">
        <v>237</v>
      </c>
      <c r="D134" s="356"/>
      <c r="I134" s="8"/>
      <c r="J134" s="8"/>
    </row>
    <row r="135" spans="1:10" x14ac:dyDescent="0.2">
      <c r="A135" s="52">
        <f t="shared" si="4"/>
        <v>0</v>
      </c>
      <c r="B135" s="52" t="s">
        <v>238</v>
      </c>
      <c r="C135" s="356" t="s">
        <v>239</v>
      </c>
      <c r="D135" s="356"/>
      <c r="I135" s="8"/>
      <c r="J135" s="8"/>
    </row>
    <row r="136" spans="1:10" x14ac:dyDescent="0.2">
      <c r="A136" s="52">
        <f>COUNTIF($J$76:$J$109,B136)</f>
        <v>0</v>
      </c>
      <c r="B136" s="52" t="s">
        <v>240</v>
      </c>
      <c r="C136" s="356" t="s">
        <v>241</v>
      </c>
      <c r="D136" s="356"/>
      <c r="I136" s="8"/>
      <c r="J136" s="8"/>
    </row>
    <row r="137" spans="1:10" x14ac:dyDescent="0.2">
      <c r="A137" s="52">
        <f>COUNTIF($J$76:$J$109,B137)</f>
        <v>0</v>
      </c>
      <c r="B137" s="52" t="s">
        <v>242</v>
      </c>
      <c r="C137" s="356" t="s">
        <v>243</v>
      </c>
      <c r="D137" s="356"/>
      <c r="I137" s="8"/>
      <c r="J137" s="8"/>
    </row>
    <row r="138" spans="1:10" x14ac:dyDescent="0.2">
      <c r="A138" s="52">
        <f t="shared" si="4"/>
        <v>0</v>
      </c>
      <c r="B138" s="52" t="s">
        <v>244</v>
      </c>
      <c r="C138" s="356" t="s">
        <v>245</v>
      </c>
      <c r="D138" s="356"/>
      <c r="I138" s="8"/>
      <c r="J138" s="8"/>
    </row>
    <row r="139" spans="1:10" x14ac:dyDescent="0.2">
      <c r="A139" s="32"/>
      <c r="I139" s="8"/>
      <c r="J139" s="8"/>
    </row>
    <row r="140" spans="1:10" x14ac:dyDescent="0.2">
      <c r="A140" s="32"/>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ht="19" x14ac:dyDescent="0.2">
      <c r="A145" s="32"/>
      <c r="C145" s="349" t="s">
        <v>86</v>
      </c>
      <c r="D145" s="350"/>
      <c r="E145" s="350"/>
      <c r="F145" s="350"/>
      <c r="G145" s="351"/>
      <c r="I145" s="8"/>
      <c r="J145" s="8"/>
    </row>
    <row r="146" spans="1:10" ht="32" x14ac:dyDescent="0.2">
      <c r="A146" s="32"/>
      <c r="C146" s="68" t="s">
        <v>87</v>
      </c>
      <c r="D146" s="64" t="s">
        <v>88</v>
      </c>
      <c r="E146" s="64" t="s">
        <v>89</v>
      </c>
      <c r="F146" s="64" t="s">
        <v>90</v>
      </c>
      <c r="G146" s="66" t="s">
        <v>91</v>
      </c>
      <c r="I146" s="8"/>
      <c r="J146" s="8"/>
    </row>
    <row r="147" spans="1:10" x14ac:dyDescent="0.2">
      <c r="A147" s="32"/>
      <c r="C147" s="65"/>
      <c r="D147" s="65"/>
      <c r="E147" s="65"/>
      <c r="F147" s="65"/>
      <c r="G147" s="67">
        <f>SUM(B147:F147)</f>
        <v>0</v>
      </c>
      <c r="I147" s="8"/>
      <c r="J147" s="8"/>
    </row>
    <row r="148" spans="1:10" x14ac:dyDescent="0.2">
      <c r="A148" s="32"/>
      <c r="G148"/>
      <c r="I148" s="8"/>
      <c r="J148" s="8"/>
    </row>
    <row r="149" spans="1:10" x14ac:dyDescent="0.2">
      <c r="A149" s="32"/>
      <c r="I149" s="8"/>
      <c r="J149" s="8"/>
    </row>
    <row r="150" spans="1:10" x14ac:dyDescent="0.2">
      <c r="A150" s="32"/>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row>
    <row r="224" spans="1:10" x14ac:dyDescent="0.2">
      <c r="A224" s="32"/>
    </row>
    <row r="225" spans="1:1" x14ac:dyDescent="0.2">
      <c r="A225" s="32"/>
    </row>
    <row r="226" spans="1:1" x14ac:dyDescent="0.2">
      <c r="A226" s="32"/>
    </row>
    <row r="227" spans="1:1" x14ac:dyDescent="0.2">
      <c r="A227" s="32"/>
    </row>
    <row r="228" spans="1:1" x14ac:dyDescent="0.2">
      <c r="A228" s="32"/>
    </row>
    <row r="229" spans="1:1" x14ac:dyDescent="0.2">
      <c r="A229" s="32"/>
    </row>
    <row r="230" spans="1:1" x14ac:dyDescent="0.2">
      <c r="A230" s="32"/>
    </row>
    <row r="231" spans="1:1" x14ac:dyDescent="0.2">
      <c r="A231" s="32"/>
    </row>
    <row r="232" spans="1:1" x14ac:dyDescent="0.2">
      <c r="A232" s="32"/>
    </row>
    <row r="233" spans="1:1" x14ac:dyDescent="0.2">
      <c r="A233" s="32"/>
    </row>
    <row r="234" spans="1:1" x14ac:dyDescent="0.2">
      <c r="A234" s="32"/>
    </row>
    <row r="235" spans="1:1" x14ac:dyDescent="0.2">
      <c r="A235" s="32"/>
    </row>
    <row r="236" spans="1:1" x14ac:dyDescent="0.2">
      <c r="A236" s="32"/>
    </row>
    <row r="237" spans="1:1" x14ac:dyDescent="0.2">
      <c r="A237" s="32"/>
    </row>
    <row r="238" spans="1:1" x14ac:dyDescent="0.2">
      <c r="A238" s="32"/>
    </row>
    <row r="239" spans="1:1" x14ac:dyDescent="0.2">
      <c r="A239" s="32"/>
    </row>
    <row r="240" spans="1:1" x14ac:dyDescent="0.2">
      <c r="A240" s="32"/>
    </row>
    <row r="241" spans="1:1" x14ac:dyDescent="0.2">
      <c r="A241" s="32"/>
    </row>
    <row r="242" spans="1:1" x14ac:dyDescent="0.2">
      <c r="A242" s="32"/>
    </row>
    <row r="243" spans="1:1" x14ac:dyDescent="0.2">
      <c r="A243" s="32"/>
    </row>
    <row r="244" spans="1:1" x14ac:dyDescent="0.2">
      <c r="A244" s="32"/>
    </row>
    <row r="245" spans="1:1" x14ac:dyDescent="0.2">
      <c r="A245" s="32"/>
    </row>
    <row r="246" spans="1:1" x14ac:dyDescent="0.2">
      <c r="A246" s="32"/>
    </row>
    <row r="247" spans="1:1" x14ac:dyDescent="0.2">
      <c r="A247" s="32"/>
    </row>
    <row r="248" spans="1:1" x14ac:dyDescent="0.2">
      <c r="A248" s="32"/>
    </row>
  </sheetData>
  <autoFilter ref="A1:AH1" xr:uid="{00000000-0001-0000-0800-000000000000}"/>
  <mergeCells count="67">
    <mergeCell ref="AC63:AE63"/>
    <mergeCell ref="AF63:AH63"/>
    <mergeCell ref="C78:H78"/>
    <mergeCell ref="C63:D63"/>
    <mergeCell ref="T63:V63"/>
    <mergeCell ref="W63:Y63"/>
    <mergeCell ref="Z63:AB63"/>
    <mergeCell ref="M64:O64"/>
    <mergeCell ref="H65:I65"/>
    <mergeCell ref="A75:C75"/>
    <mergeCell ref="C76:H76"/>
    <mergeCell ref="C77:H77"/>
    <mergeCell ref="C90:H90"/>
    <mergeCell ref="C79:H79"/>
    <mergeCell ref="C80:H80"/>
    <mergeCell ref="C81:H81"/>
    <mergeCell ref="C82:H82"/>
    <mergeCell ref="C83:H83"/>
    <mergeCell ref="C84:H84"/>
    <mergeCell ref="C85:H85"/>
    <mergeCell ref="C86:H86"/>
    <mergeCell ref="C87:H87"/>
    <mergeCell ref="C88:H88"/>
    <mergeCell ref="C89:H89"/>
    <mergeCell ref="C102:H102"/>
    <mergeCell ref="C91:H91"/>
    <mergeCell ref="C92:H92"/>
    <mergeCell ref="C93:H93"/>
    <mergeCell ref="C94:H94"/>
    <mergeCell ref="C95:H95"/>
    <mergeCell ref="C96:H96"/>
    <mergeCell ref="C97:H97"/>
    <mergeCell ref="C98:H98"/>
    <mergeCell ref="C99:H99"/>
    <mergeCell ref="C100:H100"/>
    <mergeCell ref="C101:H101"/>
    <mergeCell ref="C115:D115"/>
    <mergeCell ref="C103:H103"/>
    <mergeCell ref="C104:H104"/>
    <mergeCell ref="C105:H105"/>
    <mergeCell ref="C106:H106"/>
    <mergeCell ref="A108:D108"/>
    <mergeCell ref="C109:D109"/>
    <mergeCell ref="C110:D110"/>
    <mergeCell ref="C111:D111"/>
    <mergeCell ref="C112:D112"/>
    <mergeCell ref="C113:D113"/>
    <mergeCell ref="C114:D114"/>
    <mergeCell ref="C132:D132"/>
    <mergeCell ref="C116:D116"/>
    <mergeCell ref="C117:D117"/>
    <mergeCell ref="C118:D118"/>
    <mergeCell ref="C119:D119"/>
    <mergeCell ref="A125:D125"/>
    <mergeCell ref="C126:D126"/>
    <mergeCell ref="C127:D127"/>
    <mergeCell ref="C128:D128"/>
    <mergeCell ref="C129:D129"/>
    <mergeCell ref="C130:D130"/>
    <mergeCell ref="C131:D131"/>
    <mergeCell ref="C145:G145"/>
    <mergeCell ref="C133:D133"/>
    <mergeCell ref="C134:D134"/>
    <mergeCell ref="C135:D135"/>
    <mergeCell ref="C136:D136"/>
    <mergeCell ref="C137:D137"/>
    <mergeCell ref="C138:D138"/>
  </mergeCells>
  <dataValidations count="2">
    <dataValidation type="list" allowBlank="1" showInputMessage="1" showErrorMessage="1" sqref="I76:I106" xr:uid="{1FE5B4E1-CBDB-4AAF-BD0F-0F9CD4C4EF04}">
      <formula1>$B$109:$B$119</formula1>
    </dataValidation>
    <dataValidation type="list" allowBlank="1" showInputMessage="1" showErrorMessage="1" sqref="J76:J106" xr:uid="{728C13F9-C095-46CC-BD2B-19B4DCFA14EF}">
      <formula1>$B$125:$B$138</formula1>
    </dataValidation>
  </dataValidation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246D4-4064-4B15-B8B2-52D66A0256FB}">
  <sheetPr codeName="Hoja18"/>
  <dimension ref="A1:AP248"/>
  <sheetViews>
    <sheetView zoomScale="85" zoomScaleNormal="85" workbookViewId="0">
      <pane xSplit="11" ySplit="1" topLeftCell="L6"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13.5" style="1" customWidth="1"/>
    <col min="23" max="23" width="4.6640625" style="1" customWidth="1"/>
    <col min="24" max="24" width="13.5" style="1" customWidth="1"/>
    <col min="25" max="25" width="4.6640625" style="1" customWidth="1"/>
    <col min="26" max="26" width="13.5" style="1" customWidth="1"/>
    <col min="27" max="27" width="4.6640625" style="1" customWidth="1"/>
    <col min="28" max="28" width="13.5" style="1" customWidth="1"/>
    <col min="29" max="29" width="13" style="1" bestFit="1" customWidth="1"/>
    <col min="30" max="30" width="4.6640625" style="48" customWidth="1"/>
    <col min="31" max="31" width="11.5" style="48" bestFit="1" customWidth="1"/>
    <col min="32" max="32" width="16.6640625" style="48" bestFit="1" customWidth="1"/>
    <col min="33" max="33" width="4.6640625" style="1" customWidth="1"/>
    <col min="34" max="34" width="11.5" style="1" bestFit="1" customWidth="1"/>
    <col min="35" max="38" width="9.1640625" style="1"/>
    <col min="39" max="39" width="15.5" style="1" bestFit="1" customWidth="1"/>
    <col min="40" max="16384" width="11.5" style="1"/>
  </cols>
  <sheetData>
    <row r="1" spans="1:42"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125</v>
      </c>
      <c r="AO1" s="304" t="s">
        <v>255</v>
      </c>
      <c r="AP1" s="304" t="s">
        <v>257</v>
      </c>
    </row>
    <row r="2" spans="1:42" s="48" customFormat="1" x14ac:dyDescent="0.2">
      <c r="A2" s="209"/>
      <c r="B2" s="8"/>
      <c r="C2" s="8"/>
      <c r="D2" s="8"/>
      <c r="E2" s="8"/>
      <c r="F2" s="8"/>
      <c r="G2" s="8"/>
      <c r="H2" s="8"/>
      <c r="I2" s="8"/>
      <c r="J2" s="37"/>
      <c r="K2" s="19">
        <v>0</v>
      </c>
      <c r="L2" s="198" t="s">
        <v>128</v>
      </c>
      <c r="M2" s="198" t="s">
        <v>128</v>
      </c>
      <c r="N2" s="197" t="s">
        <v>128</v>
      </c>
      <c r="O2" s="195">
        <v>1</v>
      </c>
      <c r="P2" s="45" t="s">
        <v>128</v>
      </c>
      <c r="Q2" s="45" t="s">
        <v>128</v>
      </c>
      <c r="R2" s="45" t="s">
        <v>128</v>
      </c>
      <c r="S2" s="45" t="s">
        <v>128</v>
      </c>
      <c r="T2" s="45" t="s">
        <v>128</v>
      </c>
      <c r="U2" s="45" t="s">
        <v>128</v>
      </c>
      <c r="V2" s="45" t="s">
        <v>128</v>
      </c>
      <c r="W2" s="45" t="s">
        <v>128</v>
      </c>
      <c r="X2" s="45" t="s">
        <v>128</v>
      </c>
      <c r="Y2" s="45" t="s">
        <v>128</v>
      </c>
      <c r="Z2" s="45" t="s">
        <v>128</v>
      </c>
      <c r="AA2" s="45" t="s">
        <v>128</v>
      </c>
      <c r="AB2" s="45" t="s">
        <v>128</v>
      </c>
      <c r="AC2" s="107" t="s">
        <v>128</v>
      </c>
      <c r="AD2" s="107" t="s">
        <v>128</v>
      </c>
      <c r="AE2" s="107" t="s">
        <v>128</v>
      </c>
      <c r="AF2" s="107" t="s">
        <v>128</v>
      </c>
      <c r="AG2" s="107" t="s">
        <v>128</v>
      </c>
      <c r="AH2" s="107" t="s">
        <v>128</v>
      </c>
      <c r="AI2" s="228"/>
      <c r="AJ2" s="228"/>
      <c r="AK2" s="228"/>
      <c r="AL2" s="228"/>
      <c r="AM2" s="228"/>
      <c r="AN2" s="228"/>
      <c r="AO2" s="140"/>
      <c r="AP2" s="140"/>
    </row>
    <row r="3" spans="1:42" s="48" customFormat="1" x14ac:dyDescent="0.2">
      <c r="A3" s="22"/>
      <c r="B3" s="22"/>
      <c r="C3" s="22"/>
      <c r="D3" s="22"/>
      <c r="E3" s="22"/>
      <c r="F3" s="22"/>
      <c r="G3" s="22"/>
      <c r="H3" s="22"/>
      <c r="I3" s="22"/>
      <c r="J3" s="36"/>
      <c r="K3" s="19">
        <v>0</v>
      </c>
      <c r="L3" s="198" t="s">
        <v>128</v>
      </c>
      <c r="M3" s="198" t="s">
        <v>128</v>
      </c>
      <c r="N3" s="197" t="s">
        <v>128</v>
      </c>
      <c r="O3" s="195">
        <v>1</v>
      </c>
      <c r="P3" s="45" t="s">
        <v>128</v>
      </c>
      <c r="Q3" s="45" t="s">
        <v>128</v>
      </c>
      <c r="R3" s="45" t="s">
        <v>128</v>
      </c>
      <c r="S3" s="45" t="s">
        <v>128</v>
      </c>
      <c r="T3" s="45" t="s">
        <v>128</v>
      </c>
      <c r="U3" s="45" t="s">
        <v>128</v>
      </c>
      <c r="V3" s="45" t="s">
        <v>128</v>
      </c>
      <c r="W3" s="45" t="s">
        <v>128</v>
      </c>
      <c r="X3" s="45" t="s">
        <v>128</v>
      </c>
      <c r="Y3" s="45" t="s">
        <v>128</v>
      </c>
      <c r="Z3" s="45" t="s">
        <v>128</v>
      </c>
      <c r="AA3" s="45" t="s">
        <v>128</v>
      </c>
      <c r="AB3" s="45" t="s">
        <v>128</v>
      </c>
      <c r="AC3" s="107" t="s">
        <v>128</v>
      </c>
      <c r="AD3" s="107" t="s">
        <v>128</v>
      </c>
      <c r="AE3" s="107" t="s">
        <v>128</v>
      </c>
      <c r="AF3" s="107" t="s">
        <v>128</v>
      </c>
      <c r="AG3" s="107" t="s">
        <v>128</v>
      </c>
      <c r="AH3" s="107" t="s">
        <v>128</v>
      </c>
      <c r="AI3" s="228"/>
      <c r="AJ3" s="228"/>
      <c r="AK3" s="228"/>
      <c r="AL3" s="228"/>
      <c r="AM3" s="228"/>
      <c r="AN3" s="228"/>
      <c r="AO3" s="140"/>
      <c r="AP3" s="140"/>
    </row>
    <row r="4" spans="1:42" s="48" customFormat="1" x14ac:dyDescent="0.2">
      <c r="A4" s="209"/>
      <c r="B4" s="8"/>
      <c r="C4" s="8"/>
      <c r="D4" s="8"/>
      <c r="E4" s="8"/>
      <c r="F4" s="8"/>
      <c r="G4" s="8"/>
      <c r="H4" s="8"/>
      <c r="I4" s="8"/>
      <c r="J4" s="37"/>
      <c r="K4" s="19">
        <v>0</v>
      </c>
      <c r="L4" s="198" t="s">
        <v>128</v>
      </c>
      <c r="M4" s="198" t="s">
        <v>128</v>
      </c>
      <c r="N4" s="197" t="s">
        <v>128</v>
      </c>
      <c r="O4" s="195">
        <v>1</v>
      </c>
      <c r="P4" s="45" t="s">
        <v>128</v>
      </c>
      <c r="Q4" s="45" t="s">
        <v>128</v>
      </c>
      <c r="R4" s="45" t="s">
        <v>128</v>
      </c>
      <c r="S4" s="45" t="s">
        <v>128</v>
      </c>
      <c r="T4" s="45" t="s">
        <v>128</v>
      </c>
      <c r="U4" s="45" t="s">
        <v>128</v>
      </c>
      <c r="V4" s="45" t="s">
        <v>128</v>
      </c>
      <c r="W4" s="45" t="s">
        <v>128</v>
      </c>
      <c r="X4" s="45" t="s">
        <v>128</v>
      </c>
      <c r="Y4" s="45" t="s">
        <v>128</v>
      </c>
      <c r="Z4" s="45" t="s">
        <v>128</v>
      </c>
      <c r="AA4" s="45" t="s">
        <v>128</v>
      </c>
      <c r="AB4" s="45" t="s">
        <v>128</v>
      </c>
      <c r="AC4" s="107" t="s">
        <v>128</v>
      </c>
      <c r="AD4" s="107" t="s">
        <v>128</v>
      </c>
      <c r="AE4" s="107" t="s">
        <v>128</v>
      </c>
      <c r="AF4" s="107" t="s">
        <v>128</v>
      </c>
      <c r="AG4" s="107" t="s">
        <v>128</v>
      </c>
      <c r="AH4" s="107" t="s">
        <v>128</v>
      </c>
      <c r="AI4" s="228"/>
      <c r="AJ4" s="228"/>
      <c r="AK4" s="228"/>
      <c r="AL4" s="228"/>
      <c r="AM4" s="228"/>
      <c r="AN4" s="228"/>
      <c r="AO4" s="140"/>
      <c r="AP4" s="140"/>
    </row>
    <row r="5" spans="1:42" s="48" customFormat="1" x14ac:dyDescent="0.2">
      <c r="A5" s="22"/>
      <c r="B5" s="22"/>
      <c r="C5" s="22"/>
      <c r="D5" s="22"/>
      <c r="E5" s="22"/>
      <c r="F5" s="22"/>
      <c r="G5" s="22"/>
      <c r="H5" s="22"/>
      <c r="I5" s="22"/>
      <c r="J5" s="36"/>
      <c r="K5" s="19">
        <v>0</v>
      </c>
      <c r="L5" s="198" t="s">
        <v>128</v>
      </c>
      <c r="M5" s="198" t="s">
        <v>128</v>
      </c>
      <c r="N5" s="197" t="s">
        <v>128</v>
      </c>
      <c r="O5" s="195">
        <v>1</v>
      </c>
      <c r="P5" s="45" t="s">
        <v>128</v>
      </c>
      <c r="Q5" s="45" t="s">
        <v>128</v>
      </c>
      <c r="R5" s="45" t="s">
        <v>128</v>
      </c>
      <c r="S5" s="45" t="s">
        <v>128</v>
      </c>
      <c r="T5" s="45" t="s">
        <v>128</v>
      </c>
      <c r="U5" s="45" t="s">
        <v>128</v>
      </c>
      <c r="V5" s="45" t="s">
        <v>128</v>
      </c>
      <c r="W5" s="45" t="s">
        <v>128</v>
      </c>
      <c r="X5" s="45" t="s">
        <v>128</v>
      </c>
      <c r="Y5" s="45" t="s">
        <v>128</v>
      </c>
      <c r="Z5" s="45" t="s">
        <v>128</v>
      </c>
      <c r="AA5" s="45" t="s">
        <v>128</v>
      </c>
      <c r="AB5" s="45" t="s">
        <v>128</v>
      </c>
      <c r="AC5" s="107" t="s">
        <v>128</v>
      </c>
      <c r="AD5" s="107" t="s">
        <v>128</v>
      </c>
      <c r="AE5" s="107" t="s">
        <v>128</v>
      </c>
      <c r="AF5" s="107" t="s">
        <v>128</v>
      </c>
      <c r="AG5" s="107" t="s">
        <v>128</v>
      </c>
      <c r="AH5" s="107" t="s">
        <v>128</v>
      </c>
      <c r="AI5" s="228"/>
      <c r="AJ5" s="228"/>
      <c r="AK5" s="228"/>
      <c r="AL5" s="228"/>
      <c r="AM5" s="228"/>
      <c r="AN5" s="228"/>
      <c r="AO5" s="140"/>
      <c r="AP5" s="140"/>
    </row>
    <row r="6" spans="1:42" s="48" customFormat="1" x14ac:dyDescent="0.2">
      <c r="A6" s="209"/>
      <c r="B6" s="8"/>
      <c r="C6" s="8"/>
      <c r="D6" s="8"/>
      <c r="E6" s="8"/>
      <c r="F6" s="8"/>
      <c r="G6" s="8"/>
      <c r="H6" s="8"/>
      <c r="I6" s="8"/>
      <c r="J6" s="37"/>
      <c r="K6" s="19">
        <v>0</v>
      </c>
      <c r="L6" s="198" t="s">
        <v>128</v>
      </c>
      <c r="M6" s="198" t="s">
        <v>128</v>
      </c>
      <c r="N6" s="197" t="s">
        <v>128</v>
      </c>
      <c r="O6" s="195">
        <v>1</v>
      </c>
      <c r="P6" s="45" t="s">
        <v>128</v>
      </c>
      <c r="Q6" s="45" t="s">
        <v>128</v>
      </c>
      <c r="R6" s="45" t="s">
        <v>128</v>
      </c>
      <c r="S6" s="45" t="s">
        <v>128</v>
      </c>
      <c r="T6" s="45" t="s">
        <v>128</v>
      </c>
      <c r="U6" s="45" t="s">
        <v>128</v>
      </c>
      <c r="V6" s="45" t="s">
        <v>128</v>
      </c>
      <c r="W6" s="45" t="s">
        <v>128</v>
      </c>
      <c r="X6" s="45" t="s">
        <v>128</v>
      </c>
      <c r="Y6" s="45" t="s">
        <v>128</v>
      </c>
      <c r="Z6" s="45" t="s">
        <v>128</v>
      </c>
      <c r="AA6" s="45" t="s">
        <v>128</v>
      </c>
      <c r="AB6" s="45" t="s">
        <v>128</v>
      </c>
      <c r="AC6" s="107" t="s">
        <v>128</v>
      </c>
      <c r="AD6" s="107" t="s">
        <v>128</v>
      </c>
      <c r="AE6" s="107" t="s">
        <v>128</v>
      </c>
      <c r="AF6" s="107" t="s">
        <v>128</v>
      </c>
      <c r="AG6" s="107" t="s">
        <v>128</v>
      </c>
      <c r="AH6" s="107" t="s">
        <v>128</v>
      </c>
      <c r="AI6" s="228"/>
      <c r="AJ6" s="228"/>
      <c r="AK6" s="228"/>
      <c r="AL6" s="228"/>
      <c r="AM6" s="228"/>
      <c r="AN6" s="228"/>
      <c r="AO6" s="140"/>
      <c r="AP6" s="140"/>
    </row>
    <row r="7" spans="1:42" s="48" customFormat="1" x14ac:dyDescent="0.2">
      <c r="A7" s="22"/>
      <c r="B7" s="22"/>
      <c r="C7" s="22"/>
      <c r="D7" s="22"/>
      <c r="E7" s="22"/>
      <c r="F7" s="22"/>
      <c r="G7" s="22"/>
      <c r="H7" s="22"/>
      <c r="I7" s="22"/>
      <c r="J7" s="36"/>
      <c r="K7" s="19">
        <v>0</v>
      </c>
      <c r="L7" s="198" t="s">
        <v>128</v>
      </c>
      <c r="M7" s="198" t="s">
        <v>128</v>
      </c>
      <c r="N7" s="197" t="s">
        <v>128</v>
      </c>
      <c r="O7" s="195">
        <v>1</v>
      </c>
      <c r="P7" s="45" t="s">
        <v>128</v>
      </c>
      <c r="Q7" s="45" t="s">
        <v>128</v>
      </c>
      <c r="R7" s="45" t="s">
        <v>128</v>
      </c>
      <c r="S7" s="45" t="s">
        <v>128</v>
      </c>
      <c r="T7" s="45" t="s">
        <v>128</v>
      </c>
      <c r="U7" s="45" t="s">
        <v>128</v>
      </c>
      <c r="V7" s="45" t="s">
        <v>128</v>
      </c>
      <c r="W7" s="45" t="s">
        <v>128</v>
      </c>
      <c r="X7" s="45" t="s">
        <v>128</v>
      </c>
      <c r="Y7" s="45" t="s">
        <v>128</v>
      </c>
      <c r="Z7" s="45" t="s">
        <v>128</v>
      </c>
      <c r="AA7" s="45" t="s">
        <v>128</v>
      </c>
      <c r="AB7" s="45" t="s">
        <v>128</v>
      </c>
      <c r="AC7" s="107" t="s">
        <v>128</v>
      </c>
      <c r="AD7" s="107" t="s">
        <v>128</v>
      </c>
      <c r="AE7" s="107" t="s">
        <v>128</v>
      </c>
      <c r="AF7" s="107" t="s">
        <v>128</v>
      </c>
      <c r="AG7" s="107" t="s">
        <v>128</v>
      </c>
      <c r="AH7" s="107" t="s">
        <v>128</v>
      </c>
      <c r="AI7" s="228"/>
      <c r="AJ7" s="228"/>
      <c r="AK7" s="228"/>
      <c r="AL7" s="228"/>
      <c r="AM7" s="228"/>
      <c r="AN7" s="228"/>
      <c r="AO7" s="140"/>
      <c r="AP7" s="140"/>
    </row>
    <row r="8" spans="1:42" s="48" customFormat="1" x14ac:dyDescent="0.2">
      <c r="A8" s="209"/>
      <c r="B8" s="8"/>
      <c r="C8" s="8"/>
      <c r="D8" s="8"/>
      <c r="E8" s="8"/>
      <c r="F8" s="8"/>
      <c r="G8" s="8"/>
      <c r="H8" s="8"/>
      <c r="I8" s="8"/>
      <c r="J8" s="37"/>
      <c r="K8" s="19">
        <v>0</v>
      </c>
      <c r="L8" s="198" t="s">
        <v>128</v>
      </c>
      <c r="M8" s="198" t="s">
        <v>128</v>
      </c>
      <c r="N8" s="197" t="s">
        <v>128</v>
      </c>
      <c r="O8" s="195">
        <v>1</v>
      </c>
      <c r="P8" s="45" t="s">
        <v>128</v>
      </c>
      <c r="Q8" s="45" t="s">
        <v>128</v>
      </c>
      <c r="R8" s="45" t="s">
        <v>128</v>
      </c>
      <c r="S8" s="45" t="s">
        <v>128</v>
      </c>
      <c r="T8" s="45" t="s">
        <v>128</v>
      </c>
      <c r="U8" s="45" t="s">
        <v>128</v>
      </c>
      <c r="V8" s="45" t="s">
        <v>128</v>
      </c>
      <c r="W8" s="45" t="s">
        <v>128</v>
      </c>
      <c r="X8" s="45" t="s">
        <v>128</v>
      </c>
      <c r="Y8" s="45" t="s">
        <v>128</v>
      </c>
      <c r="Z8" s="45" t="s">
        <v>128</v>
      </c>
      <c r="AA8" s="45" t="s">
        <v>128</v>
      </c>
      <c r="AB8" s="45" t="s">
        <v>128</v>
      </c>
      <c r="AC8" s="107" t="s">
        <v>128</v>
      </c>
      <c r="AD8" s="107" t="s">
        <v>128</v>
      </c>
      <c r="AE8" s="107" t="s">
        <v>128</v>
      </c>
      <c r="AF8" s="107" t="s">
        <v>128</v>
      </c>
      <c r="AG8" s="107" t="s">
        <v>128</v>
      </c>
      <c r="AH8" s="107" t="s">
        <v>128</v>
      </c>
      <c r="AI8" s="228"/>
      <c r="AJ8" s="228"/>
      <c r="AK8" s="228"/>
      <c r="AL8" s="228"/>
      <c r="AM8" s="228"/>
      <c r="AN8" s="228"/>
      <c r="AO8" s="140"/>
      <c r="AP8" s="140"/>
    </row>
    <row r="9" spans="1:42" s="48" customFormat="1" x14ac:dyDescent="0.2">
      <c r="A9" s="22"/>
      <c r="B9" s="22"/>
      <c r="C9" s="22"/>
      <c r="D9" s="22"/>
      <c r="E9" s="22"/>
      <c r="F9" s="22"/>
      <c r="G9" s="22"/>
      <c r="H9" s="22"/>
      <c r="I9" s="22"/>
      <c r="J9" s="36"/>
      <c r="K9" s="19">
        <v>0</v>
      </c>
      <c r="L9" s="198" t="s">
        <v>128</v>
      </c>
      <c r="M9" s="198" t="s">
        <v>128</v>
      </c>
      <c r="N9" s="197" t="s">
        <v>128</v>
      </c>
      <c r="O9" s="195">
        <v>1</v>
      </c>
      <c r="P9" s="45" t="s">
        <v>128</v>
      </c>
      <c r="Q9" s="45" t="s">
        <v>128</v>
      </c>
      <c r="R9" s="45" t="s">
        <v>128</v>
      </c>
      <c r="S9" s="45" t="s">
        <v>128</v>
      </c>
      <c r="T9" s="45" t="s">
        <v>128</v>
      </c>
      <c r="U9" s="45" t="s">
        <v>128</v>
      </c>
      <c r="V9" s="45" t="s">
        <v>128</v>
      </c>
      <c r="W9" s="45" t="s">
        <v>128</v>
      </c>
      <c r="X9" s="45" t="s">
        <v>128</v>
      </c>
      <c r="Y9" s="45" t="s">
        <v>128</v>
      </c>
      <c r="Z9" s="45" t="s">
        <v>128</v>
      </c>
      <c r="AA9" s="45" t="s">
        <v>128</v>
      </c>
      <c r="AB9" s="45" t="s">
        <v>128</v>
      </c>
      <c r="AC9" s="107" t="s">
        <v>128</v>
      </c>
      <c r="AD9" s="107" t="s">
        <v>128</v>
      </c>
      <c r="AE9" s="107" t="s">
        <v>128</v>
      </c>
      <c r="AF9" s="107" t="s">
        <v>128</v>
      </c>
      <c r="AG9" s="107" t="s">
        <v>128</v>
      </c>
      <c r="AH9" s="107" t="s">
        <v>128</v>
      </c>
      <c r="AI9" s="228"/>
      <c r="AJ9" s="228"/>
      <c r="AK9" s="228"/>
      <c r="AL9" s="228"/>
      <c r="AM9" s="228"/>
      <c r="AN9" s="228"/>
      <c r="AO9" s="140"/>
      <c r="AP9" s="140"/>
    </row>
    <row r="10" spans="1:42" s="48" customFormat="1" x14ac:dyDescent="0.2">
      <c r="A10" s="209"/>
      <c r="B10" s="8"/>
      <c r="C10" s="8"/>
      <c r="D10" s="8"/>
      <c r="E10" s="8"/>
      <c r="F10" s="8"/>
      <c r="G10" s="8"/>
      <c r="H10" s="8"/>
      <c r="I10" s="8"/>
      <c r="J10" s="37"/>
      <c r="K10" s="19">
        <v>0</v>
      </c>
      <c r="L10" s="198" t="s">
        <v>128</v>
      </c>
      <c r="M10" s="198" t="s">
        <v>128</v>
      </c>
      <c r="N10" s="197" t="s">
        <v>128</v>
      </c>
      <c r="O10" s="195">
        <v>1</v>
      </c>
      <c r="P10" s="45" t="s">
        <v>128</v>
      </c>
      <c r="Q10" s="45" t="s">
        <v>128</v>
      </c>
      <c r="R10" s="45" t="s">
        <v>128</v>
      </c>
      <c r="S10" s="45" t="s">
        <v>128</v>
      </c>
      <c r="T10" s="45" t="s">
        <v>128</v>
      </c>
      <c r="U10" s="45" t="s">
        <v>128</v>
      </c>
      <c r="V10" s="45" t="s">
        <v>128</v>
      </c>
      <c r="W10" s="45" t="s">
        <v>128</v>
      </c>
      <c r="X10" s="45" t="s">
        <v>128</v>
      </c>
      <c r="Y10" s="45" t="s">
        <v>128</v>
      </c>
      <c r="Z10" s="45" t="s">
        <v>128</v>
      </c>
      <c r="AA10" s="45" t="s">
        <v>128</v>
      </c>
      <c r="AB10" s="45" t="s">
        <v>128</v>
      </c>
      <c r="AC10" s="107" t="s">
        <v>128</v>
      </c>
      <c r="AD10" s="107" t="s">
        <v>128</v>
      </c>
      <c r="AE10" s="107" t="s">
        <v>128</v>
      </c>
      <c r="AF10" s="107" t="s">
        <v>128</v>
      </c>
      <c r="AG10" s="107" t="s">
        <v>128</v>
      </c>
      <c r="AH10" s="107" t="s">
        <v>128</v>
      </c>
      <c r="AI10" s="228"/>
      <c r="AJ10" s="228"/>
      <c r="AK10" s="228"/>
      <c r="AL10" s="228"/>
      <c r="AM10" s="228"/>
      <c r="AN10" s="228"/>
      <c r="AO10" s="140"/>
      <c r="AP10" s="140"/>
    </row>
    <row r="11" spans="1:42" s="48" customFormat="1" x14ac:dyDescent="0.2">
      <c r="A11" s="22"/>
      <c r="B11" s="22"/>
      <c r="C11" s="22"/>
      <c r="D11" s="22"/>
      <c r="E11" s="22"/>
      <c r="F11" s="22"/>
      <c r="G11" s="22"/>
      <c r="H11" s="22"/>
      <c r="I11" s="22"/>
      <c r="J11" s="36"/>
      <c r="K11" s="19">
        <v>0</v>
      </c>
      <c r="L11" s="198" t="s">
        <v>128</v>
      </c>
      <c r="M11" s="198" t="s">
        <v>128</v>
      </c>
      <c r="N11" s="197" t="s">
        <v>128</v>
      </c>
      <c r="O11" s="195">
        <v>1</v>
      </c>
      <c r="P11" s="45" t="s">
        <v>128</v>
      </c>
      <c r="Q11" s="45" t="s">
        <v>128</v>
      </c>
      <c r="R11" s="45" t="s">
        <v>128</v>
      </c>
      <c r="S11" s="45" t="s">
        <v>128</v>
      </c>
      <c r="T11" s="45" t="s">
        <v>128</v>
      </c>
      <c r="U11" s="45" t="s">
        <v>128</v>
      </c>
      <c r="V11" s="45" t="s">
        <v>128</v>
      </c>
      <c r="W11" s="45" t="s">
        <v>128</v>
      </c>
      <c r="X11" s="45" t="s">
        <v>128</v>
      </c>
      <c r="Y11" s="45" t="s">
        <v>128</v>
      </c>
      <c r="Z11" s="45" t="s">
        <v>128</v>
      </c>
      <c r="AA11" s="45" t="s">
        <v>128</v>
      </c>
      <c r="AB11" s="45" t="s">
        <v>128</v>
      </c>
      <c r="AC11" s="107" t="s">
        <v>128</v>
      </c>
      <c r="AD11" s="107" t="s">
        <v>128</v>
      </c>
      <c r="AE11" s="107" t="s">
        <v>128</v>
      </c>
      <c r="AF11" s="107" t="s">
        <v>128</v>
      </c>
      <c r="AG11" s="107" t="s">
        <v>128</v>
      </c>
      <c r="AH11" s="107" t="s">
        <v>128</v>
      </c>
      <c r="AI11" s="228"/>
      <c r="AJ11" s="228"/>
      <c r="AK11" s="228"/>
      <c r="AL11" s="228"/>
      <c r="AM11" s="228"/>
      <c r="AN11" s="228"/>
      <c r="AO11" s="140"/>
      <c r="AP11" s="140"/>
    </row>
    <row r="12" spans="1:42" s="48" customFormat="1" x14ac:dyDescent="0.2">
      <c r="A12" s="209"/>
      <c r="B12" s="8"/>
      <c r="C12" s="8"/>
      <c r="D12" s="8"/>
      <c r="E12" s="8"/>
      <c r="F12" s="8"/>
      <c r="G12" s="8"/>
      <c r="H12" s="8"/>
      <c r="I12" s="8"/>
      <c r="J12" s="37"/>
      <c r="K12" s="19">
        <v>0</v>
      </c>
      <c r="L12" s="198" t="s">
        <v>128</v>
      </c>
      <c r="M12" s="198" t="s">
        <v>128</v>
      </c>
      <c r="N12" s="197" t="s">
        <v>128</v>
      </c>
      <c r="O12" s="195">
        <v>1</v>
      </c>
      <c r="P12" s="45" t="s">
        <v>128</v>
      </c>
      <c r="Q12" s="45" t="s">
        <v>128</v>
      </c>
      <c r="R12" s="45" t="s">
        <v>128</v>
      </c>
      <c r="S12" s="45" t="s">
        <v>128</v>
      </c>
      <c r="T12" s="45" t="s">
        <v>128</v>
      </c>
      <c r="U12" s="45" t="s">
        <v>128</v>
      </c>
      <c r="V12" s="45" t="s">
        <v>128</v>
      </c>
      <c r="W12" s="45" t="s">
        <v>128</v>
      </c>
      <c r="X12" s="45" t="s">
        <v>128</v>
      </c>
      <c r="Y12" s="45" t="s">
        <v>128</v>
      </c>
      <c r="Z12" s="45" t="s">
        <v>128</v>
      </c>
      <c r="AA12" s="45" t="s">
        <v>128</v>
      </c>
      <c r="AB12" s="45" t="s">
        <v>128</v>
      </c>
      <c r="AC12" s="107" t="s">
        <v>128</v>
      </c>
      <c r="AD12" s="107" t="s">
        <v>128</v>
      </c>
      <c r="AE12" s="107" t="s">
        <v>128</v>
      </c>
      <c r="AF12" s="107" t="s">
        <v>128</v>
      </c>
      <c r="AG12" s="107" t="s">
        <v>128</v>
      </c>
      <c r="AH12" s="107" t="s">
        <v>128</v>
      </c>
      <c r="AI12" s="228"/>
      <c r="AJ12" s="228"/>
      <c r="AK12" s="228"/>
      <c r="AL12" s="228"/>
      <c r="AM12" s="228"/>
      <c r="AN12" s="228"/>
      <c r="AO12" s="140"/>
      <c r="AP12" s="140"/>
    </row>
    <row r="13" spans="1:42" s="48" customFormat="1" x14ac:dyDescent="0.2">
      <c r="A13" s="22"/>
      <c r="B13" s="22"/>
      <c r="C13" s="22"/>
      <c r="D13" s="22"/>
      <c r="E13" s="22"/>
      <c r="F13" s="22"/>
      <c r="G13" s="22"/>
      <c r="H13" s="22"/>
      <c r="I13" s="22"/>
      <c r="J13" s="36"/>
      <c r="K13" s="19">
        <v>0</v>
      </c>
      <c r="L13" s="198" t="s">
        <v>128</v>
      </c>
      <c r="M13" s="198" t="s">
        <v>128</v>
      </c>
      <c r="N13" s="197" t="s">
        <v>128</v>
      </c>
      <c r="O13" s="195">
        <v>1</v>
      </c>
      <c r="P13" s="45" t="s">
        <v>128</v>
      </c>
      <c r="Q13" s="45" t="s">
        <v>128</v>
      </c>
      <c r="R13" s="45" t="s">
        <v>128</v>
      </c>
      <c r="S13" s="45" t="s">
        <v>128</v>
      </c>
      <c r="T13" s="45" t="s">
        <v>128</v>
      </c>
      <c r="U13" s="45" t="s">
        <v>128</v>
      </c>
      <c r="V13" s="45" t="s">
        <v>128</v>
      </c>
      <c r="W13" s="45" t="s">
        <v>128</v>
      </c>
      <c r="X13" s="45" t="s">
        <v>128</v>
      </c>
      <c r="Y13" s="45" t="s">
        <v>128</v>
      </c>
      <c r="Z13" s="45" t="s">
        <v>128</v>
      </c>
      <c r="AA13" s="45" t="s">
        <v>128</v>
      </c>
      <c r="AB13" s="45" t="s">
        <v>128</v>
      </c>
      <c r="AC13" s="107" t="s">
        <v>128</v>
      </c>
      <c r="AD13" s="107" t="s">
        <v>128</v>
      </c>
      <c r="AE13" s="107" t="s">
        <v>128</v>
      </c>
      <c r="AF13" s="107" t="s">
        <v>128</v>
      </c>
      <c r="AG13" s="107" t="s">
        <v>128</v>
      </c>
      <c r="AH13" s="107" t="s">
        <v>128</v>
      </c>
      <c r="AI13" s="228"/>
      <c r="AJ13" s="228"/>
      <c r="AK13" s="228"/>
      <c r="AL13" s="228"/>
      <c r="AM13" s="228"/>
      <c r="AN13" s="228"/>
      <c r="AO13" s="140"/>
      <c r="AP13" s="140"/>
    </row>
    <row r="14" spans="1:42" s="48" customFormat="1" x14ac:dyDescent="0.2">
      <c r="A14" s="209"/>
      <c r="B14" s="8"/>
      <c r="C14" s="8"/>
      <c r="D14" s="8"/>
      <c r="E14" s="8"/>
      <c r="F14" s="8"/>
      <c r="G14" s="8"/>
      <c r="H14" s="8"/>
      <c r="I14" s="8"/>
      <c r="J14" s="37"/>
      <c r="K14" s="19">
        <v>0</v>
      </c>
      <c r="L14" s="198" t="s">
        <v>128</v>
      </c>
      <c r="M14" s="198" t="s">
        <v>128</v>
      </c>
      <c r="N14" s="197" t="s">
        <v>128</v>
      </c>
      <c r="O14" s="195">
        <v>1</v>
      </c>
      <c r="P14" s="45" t="s">
        <v>128</v>
      </c>
      <c r="Q14" s="45" t="s">
        <v>128</v>
      </c>
      <c r="R14" s="45" t="s">
        <v>128</v>
      </c>
      <c r="S14" s="45" t="s">
        <v>128</v>
      </c>
      <c r="T14" s="45" t="s">
        <v>128</v>
      </c>
      <c r="U14" s="45" t="s">
        <v>128</v>
      </c>
      <c r="V14" s="45" t="s">
        <v>128</v>
      </c>
      <c r="W14" s="45" t="s">
        <v>128</v>
      </c>
      <c r="X14" s="45" t="s">
        <v>128</v>
      </c>
      <c r="Y14" s="45" t="s">
        <v>128</v>
      </c>
      <c r="Z14" s="45" t="s">
        <v>128</v>
      </c>
      <c r="AA14" s="45" t="s">
        <v>128</v>
      </c>
      <c r="AB14" s="45" t="s">
        <v>128</v>
      </c>
      <c r="AC14" s="107" t="s">
        <v>128</v>
      </c>
      <c r="AD14" s="107" t="s">
        <v>128</v>
      </c>
      <c r="AE14" s="107" t="s">
        <v>128</v>
      </c>
      <c r="AF14" s="107" t="s">
        <v>128</v>
      </c>
      <c r="AG14" s="107" t="s">
        <v>128</v>
      </c>
      <c r="AH14" s="107" t="s">
        <v>128</v>
      </c>
      <c r="AI14" s="228"/>
      <c r="AJ14" s="228"/>
      <c r="AK14" s="228"/>
      <c r="AL14" s="228"/>
      <c r="AM14" s="228"/>
      <c r="AN14" s="228"/>
      <c r="AO14" s="140"/>
      <c r="AP14" s="140"/>
    </row>
    <row r="15" spans="1:42" s="48" customFormat="1" x14ac:dyDescent="0.2">
      <c r="A15" s="22"/>
      <c r="B15" s="22"/>
      <c r="C15" s="22"/>
      <c r="D15" s="22"/>
      <c r="E15" s="22"/>
      <c r="F15" s="22"/>
      <c r="G15" s="22"/>
      <c r="H15" s="22"/>
      <c r="I15" s="22"/>
      <c r="J15" s="36"/>
      <c r="K15" s="19">
        <v>0</v>
      </c>
      <c r="L15" s="198" t="s">
        <v>128</v>
      </c>
      <c r="M15" s="198" t="s">
        <v>128</v>
      </c>
      <c r="N15" s="197" t="s">
        <v>128</v>
      </c>
      <c r="O15" s="195">
        <v>1</v>
      </c>
      <c r="P15" s="45" t="s">
        <v>128</v>
      </c>
      <c r="Q15" s="45" t="s">
        <v>128</v>
      </c>
      <c r="R15" s="45" t="s">
        <v>128</v>
      </c>
      <c r="S15" s="45" t="s">
        <v>128</v>
      </c>
      <c r="T15" s="45" t="s">
        <v>128</v>
      </c>
      <c r="U15" s="45" t="s">
        <v>128</v>
      </c>
      <c r="V15" s="45" t="s">
        <v>128</v>
      </c>
      <c r="W15" s="45" t="s">
        <v>128</v>
      </c>
      <c r="X15" s="45" t="s">
        <v>128</v>
      </c>
      <c r="Y15" s="45" t="s">
        <v>128</v>
      </c>
      <c r="Z15" s="45" t="s">
        <v>128</v>
      </c>
      <c r="AA15" s="45" t="s">
        <v>128</v>
      </c>
      <c r="AB15" s="45" t="s">
        <v>128</v>
      </c>
      <c r="AC15" s="107" t="s">
        <v>128</v>
      </c>
      <c r="AD15" s="107" t="s">
        <v>128</v>
      </c>
      <c r="AE15" s="107" t="s">
        <v>128</v>
      </c>
      <c r="AF15" s="107" t="s">
        <v>128</v>
      </c>
      <c r="AG15" s="107" t="s">
        <v>128</v>
      </c>
      <c r="AH15" s="107" t="s">
        <v>128</v>
      </c>
      <c r="AI15" s="228"/>
      <c r="AJ15" s="228"/>
      <c r="AK15" s="228"/>
      <c r="AL15" s="228"/>
      <c r="AM15" s="228"/>
      <c r="AN15" s="228"/>
      <c r="AO15" s="140"/>
      <c r="AP15" s="140"/>
    </row>
    <row r="16" spans="1:42" s="48" customFormat="1" x14ac:dyDescent="0.2">
      <c r="A16" s="209"/>
      <c r="B16" s="8"/>
      <c r="C16" s="8"/>
      <c r="D16" s="8"/>
      <c r="E16" s="8"/>
      <c r="F16" s="8"/>
      <c r="G16" s="8"/>
      <c r="H16" s="8"/>
      <c r="I16" s="8"/>
      <c r="J16" s="37"/>
      <c r="K16" s="19">
        <v>0</v>
      </c>
      <c r="L16" s="198" t="s">
        <v>128</v>
      </c>
      <c r="M16" s="198" t="s">
        <v>128</v>
      </c>
      <c r="N16" s="197" t="s">
        <v>128</v>
      </c>
      <c r="O16" s="195">
        <v>1</v>
      </c>
      <c r="P16" s="45" t="s">
        <v>128</v>
      </c>
      <c r="Q16" s="45" t="s">
        <v>128</v>
      </c>
      <c r="R16" s="45" t="s">
        <v>128</v>
      </c>
      <c r="S16" s="45" t="s">
        <v>128</v>
      </c>
      <c r="T16" s="45" t="s">
        <v>128</v>
      </c>
      <c r="U16" s="45" t="s">
        <v>128</v>
      </c>
      <c r="V16" s="45" t="s">
        <v>128</v>
      </c>
      <c r="W16" s="45" t="s">
        <v>128</v>
      </c>
      <c r="X16" s="45" t="s">
        <v>128</v>
      </c>
      <c r="Y16" s="45" t="s">
        <v>128</v>
      </c>
      <c r="Z16" s="45" t="s">
        <v>128</v>
      </c>
      <c r="AA16" s="45" t="s">
        <v>128</v>
      </c>
      <c r="AB16" s="45" t="s">
        <v>128</v>
      </c>
      <c r="AC16" s="107" t="s">
        <v>128</v>
      </c>
      <c r="AD16" s="107" t="s">
        <v>128</v>
      </c>
      <c r="AE16" s="107" t="s">
        <v>128</v>
      </c>
      <c r="AF16" s="107" t="s">
        <v>128</v>
      </c>
      <c r="AG16" s="107" t="s">
        <v>128</v>
      </c>
      <c r="AH16" s="107" t="s">
        <v>128</v>
      </c>
      <c r="AI16" s="228"/>
      <c r="AJ16" s="228"/>
      <c r="AK16" s="228"/>
      <c r="AL16" s="228"/>
      <c r="AM16" s="228"/>
      <c r="AN16" s="228"/>
      <c r="AO16" s="140"/>
      <c r="AP16" s="140"/>
    </row>
    <row r="17" spans="1:42" s="48" customFormat="1" x14ac:dyDescent="0.2">
      <c r="A17" s="22"/>
      <c r="B17" s="22"/>
      <c r="C17" s="22"/>
      <c r="D17" s="22"/>
      <c r="E17" s="22"/>
      <c r="F17" s="22"/>
      <c r="G17" s="22"/>
      <c r="H17" s="22"/>
      <c r="I17" s="22"/>
      <c r="J17" s="36"/>
      <c r="K17" s="19">
        <v>0</v>
      </c>
      <c r="L17" s="198" t="s">
        <v>128</v>
      </c>
      <c r="M17" s="198" t="s">
        <v>128</v>
      </c>
      <c r="N17" s="197" t="s">
        <v>128</v>
      </c>
      <c r="O17" s="195">
        <v>1</v>
      </c>
      <c r="P17" s="45" t="s">
        <v>128</v>
      </c>
      <c r="Q17" s="45" t="s">
        <v>128</v>
      </c>
      <c r="R17" s="45" t="s">
        <v>128</v>
      </c>
      <c r="S17" s="45" t="s">
        <v>128</v>
      </c>
      <c r="T17" s="45" t="s">
        <v>128</v>
      </c>
      <c r="U17" s="45" t="s">
        <v>128</v>
      </c>
      <c r="V17" s="45" t="s">
        <v>128</v>
      </c>
      <c r="W17" s="45" t="s">
        <v>128</v>
      </c>
      <c r="X17" s="45" t="s">
        <v>128</v>
      </c>
      <c r="Y17" s="45" t="s">
        <v>128</v>
      </c>
      <c r="Z17" s="45" t="s">
        <v>128</v>
      </c>
      <c r="AA17" s="45" t="s">
        <v>128</v>
      </c>
      <c r="AB17" s="45" t="s">
        <v>128</v>
      </c>
      <c r="AC17" s="107" t="s">
        <v>128</v>
      </c>
      <c r="AD17" s="107" t="s">
        <v>128</v>
      </c>
      <c r="AE17" s="107" t="s">
        <v>128</v>
      </c>
      <c r="AF17" s="107" t="s">
        <v>128</v>
      </c>
      <c r="AG17" s="107" t="s">
        <v>128</v>
      </c>
      <c r="AH17" s="107" t="s">
        <v>128</v>
      </c>
      <c r="AI17" s="228"/>
      <c r="AJ17" s="228"/>
      <c r="AK17" s="228"/>
      <c r="AL17" s="228"/>
      <c r="AM17" s="228"/>
      <c r="AN17" s="228"/>
      <c r="AO17" s="140"/>
      <c r="AP17" s="140"/>
    </row>
    <row r="18" spans="1:42" s="48" customFormat="1" x14ac:dyDescent="0.2">
      <c r="A18" s="209"/>
      <c r="B18" s="8"/>
      <c r="C18" s="8"/>
      <c r="D18" s="8"/>
      <c r="E18" s="8"/>
      <c r="F18" s="8"/>
      <c r="G18" s="8"/>
      <c r="H18" s="8"/>
      <c r="I18" s="8"/>
      <c r="J18" s="37"/>
      <c r="K18" s="19">
        <v>0</v>
      </c>
      <c r="L18" s="198" t="s">
        <v>128</v>
      </c>
      <c r="M18" s="198" t="s">
        <v>128</v>
      </c>
      <c r="N18" s="197" t="s">
        <v>128</v>
      </c>
      <c r="O18" s="195">
        <v>1</v>
      </c>
      <c r="P18" s="45" t="s">
        <v>128</v>
      </c>
      <c r="Q18" s="45" t="s">
        <v>128</v>
      </c>
      <c r="R18" s="45" t="s">
        <v>128</v>
      </c>
      <c r="S18" s="45" t="s">
        <v>128</v>
      </c>
      <c r="T18" s="45" t="s">
        <v>128</v>
      </c>
      <c r="U18" s="45" t="s">
        <v>128</v>
      </c>
      <c r="V18" s="45" t="s">
        <v>128</v>
      </c>
      <c r="W18" s="45" t="s">
        <v>128</v>
      </c>
      <c r="X18" s="45" t="s">
        <v>128</v>
      </c>
      <c r="Y18" s="45" t="s">
        <v>128</v>
      </c>
      <c r="Z18" s="45" t="s">
        <v>128</v>
      </c>
      <c r="AA18" s="45" t="s">
        <v>128</v>
      </c>
      <c r="AB18" s="45" t="s">
        <v>128</v>
      </c>
      <c r="AC18" s="107" t="s">
        <v>128</v>
      </c>
      <c r="AD18" s="107" t="s">
        <v>128</v>
      </c>
      <c r="AE18" s="107" t="s">
        <v>128</v>
      </c>
      <c r="AF18" s="107" t="s">
        <v>128</v>
      </c>
      <c r="AG18" s="107" t="s">
        <v>128</v>
      </c>
      <c r="AH18" s="107" t="s">
        <v>128</v>
      </c>
      <c r="AI18" s="228"/>
      <c r="AJ18" s="228"/>
      <c r="AK18" s="228"/>
      <c r="AL18" s="228"/>
      <c r="AM18" s="228"/>
      <c r="AN18" s="228"/>
      <c r="AO18" s="279"/>
      <c r="AP18" s="140"/>
    </row>
    <row r="19" spans="1:42" s="48" customFormat="1" x14ac:dyDescent="0.2">
      <c r="A19" s="22"/>
      <c r="B19" s="22"/>
      <c r="C19" s="22"/>
      <c r="D19" s="22"/>
      <c r="E19" s="22"/>
      <c r="F19" s="22"/>
      <c r="G19" s="22"/>
      <c r="H19" s="22"/>
      <c r="I19" s="22"/>
      <c r="J19" s="36"/>
      <c r="K19" s="19">
        <v>0</v>
      </c>
      <c r="L19" s="198" t="s">
        <v>128</v>
      </c>
      <c r="M19" s="198" t="s">
        <v>128</v>
      </c>
      <c r="N19" s="197" t="s">
        <v>128</v>
      </c>
      <c r="O19" s="195">
        <v>1</v>
      </c>
      <c r="P19" s="45" t="s">
        <v>128</v>
      </c>
      <c r="Q19" s="45" t="s">
        <v>128</v>
      </c>
      <c r="R19" s="45" t="s">
        <v>128</v>
      </c>
      <c r="S19" s="45" t="s">
        <v>128</v>
      </c>
      <c r="T19" s="45" t="s">
        <v>128</v>
      </c>
      <c r="U19" s="45" t="s">
        <v>128</v>
      </c>
      <c r="V19" s="45" t="s">
        <v>128</v>
      </c>
      <c r="W19" s="45" t="s">
        <v>128</v>
      </c>
      <c r="X19" s="45" t="s">
        <v>128</v>
      </c>
      <c r="Y19" s="45" t="s">
        <v>128</v>
      </c>
      <c r="Z19" s="45" t="s">
        <v>128</v>
      </c>
      <c r="AA19" s="45" t="s">
        <v>128</v>
      </c>
      <c r="AB19" s="45" t="s">
        <v>128</v>
      </c>
      <c r="AC19" s="107" t="s">
        <v>128</v>
      </c>
      <c r="AD19" s="107" t="s">
        <v>128</v>
      </c>
      <c r="AE19" s="107" t="s">
        <v>128</v>
      </c>
      <c r="AF19" s="107" t="s">
        <v>128</v>
      </c>
      <c r="AG19" s="107" t="s">
        <v>128</v>
      </c>
      <c r="AH19" s="107" t="s">
        <v>128</v>
      </c>
      <c r="AI19" s="228"/>
      <c r="AJ19" s="228"/>
      <c r="AK19" s="228"/>
      <c r="AL19" s="228"/>
      <c r="AM19" s="228"/>
      <c r="AN19" s="228"/>
      <c r="AO19" s="279"/>
      <c r="AP19" s="140"/>
    </row>
    <row r="20" spans="1:42" s="48" customFormat="1" x14ac:dyDescent="0.2">
      <c r="A20" s="209"/>
      <c r="B20" s="8"/>
      <c r="C20" s="8"/>
      <c r="D20" s="8"/>
      <c r="E20" s="8"/>
      <c r="F20" s="8"/>
      <c r="G20" s="8"/>
      <c r="H20" s="8"/>
      <c r="I20" s="8"/>
      <c r="J20" s="37"/>
      <c r="K20" s="19">
        <v>0</v>
      </c>
      <c r="L20" s="198" t="s">
        <v>128</v>
      </c>
      <c r="M20" s="198" t="s">
        <v>128</v>
      </c>
      <c r="N20" s="197" t="s">
        <v>128</v>
      </c>
      <c r="O20" s="195">
        <v>1</v>
      </c>
      <c r="P20" s="45" t="s">
        <v>128</v>
      </c>
      <c r="Q20" s="45" t="s">
        <v>128</v>
      </c>
      <c r="R20" s="45" t="s">
        <v>128</v>
      </c>
      <c r="S20" s="45" t="s">
        <v>128</v>
      </c>
      <c r="T20" s="45" t="s">
        <v>128</v>
      </c>
      <c r="U20" s="45" t="s">
        <v>128</v>
      </c>
      <c r="V20" s="45" t="s">
        <v>128</v>
      </c>
      <c r="W20" s="45" t="s">
        <v>128</v>
      </c>
      <c r="X20" s="45" t="s">
        <v>128</v>
      </c>
      <c r="Y20" s="45" t="s">
        <v>128</v>
      </c>
      <c r="Z20" s="45" t="s">
        <v>128</v>
      </c>
      <c r="AA20" s="45" t="s">
        <v>128</v>
      </c>
      <c r="AB20" s="45" t="s">
        <v>128</v>
      </c>
      <c r="AC20" s="107" t="s">
        <v>128</v>
      </c>
      <c r="AD20" s="107" t="s">
        <v>128</v>
      </c>
      <c r="AE20" s="107" t="s">
        <v>128</v>
      </c>
      <c r="AF20" s="107" t="s">
        <v>128</v>
      </c>
      <c r="AG20" s="107" t="s">
        <v>128</v>
      </c>
      <c r="AH20" s="107" t="s">
        <v>128</v>
      </c>
      <c r="AI20" s="228"/>
      <c r="AJ20" s="228"/>
      <c r="AK20" s="228"/>
      <c r="AL20" s="228"/>
      <c r="AM20" s="228"/>
      <c r="AN20" s="228"/>
      <c r="AO20" s="279"/>
      <c r="AP20" s="140"/>
    </row>
    <row r="21" spans="1:42" s="48" customFormat="1" x14ac:dyDescent="0.2">
      <c r="A21" s="22"/>
      <c r="B21" s="22"/>
      <c r="C21" s="22"/>
      <c r="D21" s="22"/>
      <c r="E21" s="22"/>
      <c r="F21" s="22"/>
      <c r="G21" s="22"/>
      <c r="H21" s="22"/>
      <c r="I21" s="22"/>
      <c r="J21" s="36"/>
      <c r="K21" s="19">
        <v>0</v>
      </c>
      <c r="L21" s="198" t="s">
        <v>128</v>
      </c>
      <c r="M21" s="198" t="s">
        <v>128</v>
      </c>
      <c r="N21" s="197" t="s">
        <v>128</v>
      </c>
      <c r="O21" s="195">
        <v>1</v>
      </c>
      <c r="P21" s="45" t="s">
        <v>128</v>
      </c>
      <c r="Q21" s="45" t="s">
        <v>128</v>
      </c>
      <c r="R21" s="45" t="s">
        <v>128</v>
      </c>
      <c r="S21" s="45" t="s">
        <v>128</v>
      </c>
      <c r="T21" s="45" t="s">
        <v>128</v>
      </c>
      <c r="U21" s="45" t="s">
        <v>128</v>
      </c>
      <c r="V21" s="45" t="s">
        <v>128</v>
      </c>
      <c r="W21" s="45" t="s">
        <v>128</v>
      </c>
      <c r="X21" s="45" t="s">
        <v>128</v>
      </c>
      <c r="Y21" s="45" t="s">
        <v>128</v>
      </c>
      <c r="Z21" s="45" t="s">
        <v>128</v>
      </c>
      <c r="AA21" s="45" t="s">
        <v>128</v>
      </c>
      <c r="AB21" s="45" t="s">
        <v>128</v>
      </c>
      <c r="AC21" s="107" t="s">
        <v>128</v>
      </c>
      <c r="AD21" s="107" t="s">
        <v>128</v>
      </c>
      <c r="AE21" s="107" t="s">
        <v>128</v>
      </c>
      <c r="AF21" s="107" t="s">
        <v>128</v>
      </c>
      <c r="AG21" s="107" t="s">
        <v>128</v>
      </c>
      <c r="AH21" s="107" t="s">
        <v>128</v>
      </c>
      <c r="AI21" s="228"/>
      <c r="AJ21" s="228"/>
      <c r="AK21" s="228"/>
      <c r="AL21" s="228"/>
      <c r="AM21" s="228"/>
      <c r="AN21" s="228"/>
      <c r="AO21" s="140"/>
      <c r="AP21" s="140"/>
    </row>
    <row r="22" spans="1:42" s="48" customFormat="1" x14ac:dyDescent="0.2">
      <c r="A22" s="209"/>
      <c r="B22" s="8"/>
      <c r="C22" s="8"/>
      <c r="D22" s="8"/>
      <c r="E22" s="8"/>
      <c r="F22" s="8"/>
      <c r="G22" s="8"/>
      <c r="H22" s="8"/>
      <c r="I22" s="8"/>
      <c r="J22" s="37"/>
      <c r="K22" s="19">
        <v>0</v>
      </c>
      <c r="L22" s="198" t="s">
        <v>128</v>
      </c>
      <c r="M22" s="198" t="s">
        <v>128</v>
      </c>
      <c r="N22" s="197" t="s">
        <v>128</v>
      </c>
      <c r="O22" s="195">
        <v>1</v>
      </c>
      <c r="P22" s="45" t="s">
        <v>128</v>
      </c>
      <c r="Q22" s="45" t="s">
        <v>128</v>
      </c>
      <c r="R22" s="45" t="s">
        <v>128</v>
      </c>
      <c r="S22" s="45" t="s">
        <v>128</v>
      </c>
      <c r="T22" s="45" t="s">
        <v>128</v>
      </c>
      <c r="U22" s="45" t="s">
        <v>128</v>
      </c>
      <c r="V22" s="45" t="s">
        <v>128</v>
      </c>
      <c r="W22" s="45" t="s">
        <v>128</v>
      </c>
      <c r="X22" s="45" t="s">
        <v>128</v>
      </c>
      <c r="Y22" s="45" t="s">
        <v>128</v>
      </c>
      <c r="Z22" s="45" t="s">
        <v>128</v>
      </c>
      <c r="AA22" s="45" t="s">
        <v>128</v>
      </c>
      <c r="AB22" s="45" t="s">
        <v>128</v>
      </c>
      <c r="AC22" s="107" t="s">
        <v>128</v>
      </c>
      <c r="AD22" s="107" t="s">
        <v>128</v>
      </c>
      <c r="AE22" s="107" t="s">
        <v>128</v>
      </c>
      <c r="AF22" s="107" t="s">
        <v>128</v>
      </c>
      <c r="AG22" s="107" t="s">
        <v>128</v>
      </c>
      <c r="AH22" s="107" t="s">
        <v>128</v>
      </c>
      <c r="AI22" s="228"/>
      <c r="AJ22" s="228"/>
      <c r="AK22" s="228"/>
      <c r="AL22" s="228"/>
      <c r="AM22" s="228"/>
      <c r="AN22" s="228"/>
      <c r="AO22" s="140"/>
      <c r="AP22" s="140"/>
    </row>
    <row r="23" spans="1:42" s="48" customFormat="1" x14ac:dyDescent="0.2">
      <c r="A23" s="22"/>
      <c r="B23" s="22"/>
      <c r="C23" s="22"/>
      <c r="D23" s="22"/>
      <c r="E23" s="22"/>
      <c r="F23" s="22"/>
      <c r="G23" s="22"/>
      <c r="H23" s="22"/>
      <c r="I23" s="22"/>
      <c r="J23" s="36"/>
      <c r="K23" s="19">
        <v>0</v>
      </c>
      <c r="L23" s="198" t="s">
        <v>128</v>
      </c>
      <c r="M23" s="198" t="s">
        <v>128</v>
      </c>
      <c r="N23" s="197" t="s">
        <v>128</v>
      </c>
      <c r="O23" s="195">
        <v>1</v>
      </c>
      <c r="P23" s="45" t="s">
        <v>128</v>
      </c>
      <c r="Q23" s="45" t="s">
        <v>128</v>
      </c>
      <c r="R23" s="45" t="s">
        <v>128</v>
      </c>
      <c r="S23" s="45" t="s">
        <v>128</v>
      </c>
      <c r="T23" s="45" t="s">
        <v>128</v>
      </c>
      <c r="U23" s="45" t="s">
        <v>128</v>
      </c>
      <c r="V23" s="45" t="s">
        <v>128</v>
      </c>
      <c r="W23" s="45" t="s">
        <v>128</v>
      </c>
      <c r="X23" s="45" t="s">
        <v>128</v>
      </c>
      <c r="Y23" s="45" t="s">
        <v>128</v>
      </c>
      <c r="Z23" s="45" t="s">
        <v>128</v>
      </c>
      <c r="AA23" s="45" t="s">
        <v>128</v>
      </c>
      <c r="AB23" s="45" t="s">
        <v>128</v>
      </c>
      <c r="AC23" s="107" t="s">
        <v>128</v>
      </c>
      <c r="AD23" s="107" t="s">
        <v>128</v>
      </c>
      <c r="AE23" s="107" t="s">
        <v>128</v>
      </c>
      <c r="AF23" s="107" t="s">
        <v>128</v>
      </c>
      <c r="AG23" s="107" t="s">
        <v>128</v>
      </c>
      <c r="AH23" s="107" t="s">
        <v>128</v>
      </c>
      <c r="AI23" s="228"/>
      <c r="AJ23" s="228"/>
      <c r="AK23" s="228"/>
      <c r="AL23" s="228"/>
      <c r="AM23" s="228"/>
      <c r="AN23" s="228"/>
      <c r="AO23" s="140"/>
      <c r="AP23" s="140"/>
    </row>
    <row r="24" spans="1:42" s="48" customFormat="1" x14ac:dyDescent="0.2">
      <c r="A24" s="209"/>
      <c r="B24" s="8"/>
      <c r="C24" s="8"/>
      <c r="D24" s="8"/>
      <c r="E24" s="8"/>
      <c r="F24" s="8"/>
      <c r="G24" s="8"/>
      <c r="H24" s="8"/>
      <c r="I24" s="8"/>
      <c r="J24" s="37"/>
      <c r="K24" s="19">
        <v>0</v>
      </c>
      <c r="L24" s="198" t="s">
        <v>128</v>
      </c>
      <c r="M24" s="198" t="s">
        <v>128</v>
      </c>
      <c r="N24" s="197" t="s">
        <v>128</v>
      </c>
      <c r="O24" s="195">
        <v>1</v>
      </c>
      <c r="P24" s="45" t="s">
        <v>128</v>
      </c>
      <c r="Q24" s="45" t="s">
        <v>128</v>
      </c>
      <c r="R24" s="45" t="s">
        <v>128</v>
      </c>
      <c r="S24" s="45" t="s">
        <v>128</v>
      </c>
      <c r="T24" s="45" t="s">
        <v>128</v>
      </c>
      <c r="U24" s="45" t="s">
        <v>128</v>
      </c>
      <c r="V24" s="45" t="s">
        <v>128</v>
      </c>
      <c r="W24" s="45" t="s">
        <v>128</v>
      </c>
      <c r="X24" s="45" t="s">
        <v>128</v>
      </c>
      <c r="Y24" s="45" t="s">
        <v>128</v>
      </c>
      <c r="Z24" s="45" t="s">
        <v>128</v>
      </c>
      <c r="AA24" s="45" t="s">
        <v>128</v>
      </c>
      <c r="AB24" s="45" t="s">
        <v>128</v>
      </c>
      <c r="AC24" s="107" t="s">
        <v>128</v>
      </c>
      <c r="AD24" s="107" t="s">
        <v>128</v>
      </c>
      <c r="AE24" s="107" t="s">
        <v>128</v>
      </c>
      <c r="AF24" s="107" t="s">
        <v>128</v>
      </c>
      <c r="AG24" s="107" t="s">
        <v>128</v>
      </c>
      <c r="AH24" s="107" t="s">
        <v>128</v>
      </c>
      <c r="AI24" s="228"/>
      <c r="AJ24" s="228"/>
      <c r="AK24" s="228"/>
      <c r="AL24" s="228"/>
      <c r="AM24" s="228"/>
      <c r="AN24" s="228"/>
      <c r="AO24" s="140"/>
      <c r="AP24" s="140"/>
    </row>
    <row r="25" spans="1:42" s="48" customFormat="1" x14ac:dyDescent="0.2">
      <c r="A25" s="22"/>
      <c r="B25" s="22"/>
      <c r="C25" s="22"/>
      <c r="D25" s="22"/>
      <c r="E25" s="22"/>
      <c r="F25" s="22"/>
      <c r="G25" s="22"/>
      <c r="H25" s="22"/>
      <c r="I25" s="22"/>
      <c r="J25" s="36"/>
      <c r="K25" s="19">
        <v>0</v>
      </c>
      <c r="L25" s="198" t="s">
        <v>128</v>
      </c>
      <c r="M25" s="198" t="s">
        <v>128</v>
      </c>
      <c r="N25" s="197" t="s">
        <v>128</v>
      </c>
      <c r="O25" s="195">
        <v>1</v>
      </c>
      <c r="P25" s="45" t="s">
        <v>128</v>
      </c>
      <c r="Q25" s="45" t="s">
        <v>128</v>
      </c>
      <c r="R25" s="45" t="s">
        <v>128</v>
      </c>
      <c r="S25" s="45" t="s">
        <v>128</v>
      </c>
      <c r="T25" s="45" t="s">
        <v>128</v>
      </c>
      <c r="U25" s="45" t="s">
        <v>128</v>
      </c>
      <c r="V25" s="45" t="s">
        <v>128</v>
      </c>
      <c r="W25" s="45" t="s">
        <v>128</v>
      </c>
      <c r="X25" s="45" t="s">
        <v>128</v>
      </c>
      <c r="Y25" s="45" t="s">
        <v>128</v>
      </c>
      <c r="Z25" s="45" t="s">
        <v>128</v>
      </c>
      <c r="AA25" s="45" t="s">
        <v>128</v>
      </c>
      <c r="AB25" s="45" t="s">
        <v>128</v>
      </c>
      <c r="AC25" s="107" t="s">
        <v>128</v>
      </c>
      <c r="AD25" s="107" t="s">
        <v>128</v>
      </c>
      <c r="AE25" s="107" t="s">
        <v>128</v>
      </c>
      <c r="AF25" s="107" t="s">
        <v>128</v>
      </c>
      <c r="AG25" s="107" t="s">
        <v>128</v>
      </c>
      <c r="AH25" s="107" t="s">
        <v>128</v>
      </c>
      <c r="AI25" s="228"/>
      <c r="AJ25" s="228"/>
      <c r="AK25" s="228"/>
      <c r="AL25" s="228"/>
      <c r="AM25" s="228"/>
      <c r="AN25" s="228"/>
      <c r="AO25" s="140"/>
      <c r="AP25" s="140"/>
    </row>
    <row r="26" spans="1:42" s="48" customFormat="1" x14ac:dyDescent="0.2">
      <c r="A26" s="209"/>
      <c r="B26" s="8"/>
      <c r="C26" s="8"/>
      <c r="D26" s="8"/>
      <c r="E26" s="8"/>
      <c r="F26" s="8"/>
      <c r="G26" s="8"/>
      <c r="H26" s="8"/>
      <c r="I26" s="8"/>
      <c r="J26" s="37"/>
      <c r="K26" s="19">
        <v>0</v>
      </c>
      <c r="L26" s="198" t="s">
        <v>128</v>
      </c>
      <c r="M26" s="198" t="s">
        <v>128</v>
      </c>
      <c r="N26" s="197" t="s">
        <v>128</v>
      </c>
      <c r="O26" s="195">
        <v>1</v>
      </c>
      <c r="P26" s="45" t="s">
        <v>128</v>
      </c>
      <c r="Q26" s="45" t="s">
        <v>128</v>
      </c>
      <c r="R26" s="45" t="s">
        <v>128</v>
      </c>
      <c r="S26" s="45" t="s">
        <v>128</v>
      </c>
      <c r="T26" s="45" t="s">
        <v>128</v>
      </c>
      <c r="U26" s="45" t="s">
        <v>128</v>
      </c>
      <c r="V26" s="45" t="s">
        <v>128</v>
      </c>
      <c r="W26" s="45" t="s">
        <v>128</v>
      </c>
      <c r="X26" s="45" t="s">
        <v>128</v>
      </c>
      <c r="Y26" s="45" t="s">
        <v>128</v>
      </c>
      <c r="Z26" s="45" t="s">
        <v>128</v>
      </c>
      <c r="AA26" s="45" t="s">
        <v>128</v>
      </c>
      <c r="AB26" s="45" t="s">
        <v>128</v>
      </c>
      <c r="AC26" s="107" t="s">
        <v>128</v>
      </c>
      <c r="AD26" s="107" t="s">
        <v>128</v>
      </c>
      <c r="AE26" s="107" t="s">
        <v>128</v>
      </c>
      <c r="AF26" s="107" t="s">
        <v>128</v>
      </c>
      <c r="AG26" s="107" t="s">
        <v>128</v>
      </c>
      <c r="AH26" s="107" t="s">
        <v>128</v>
      </c>
      <c r="AI26" s="228"/>
      <c r="AJ26" s="228"/>
      <c r="AK26" s="228"/>
      <c r="AL26" s="228"/>
      <c r="AM26" s="228"/>
      <c r="AN26" s="228"/>
      <c r="AO26" s="140"/>
      <c r="AP26" s="140"/>
    </row>
    <row r="27" spans="1:42" s="48" customFormat="1" x14ac:dyDescent="0.2">
      <c r="A27" s="22"/>
      <c r="B27" s="22"/>
      <c r="C27" s="22"/>
      <c r="D27" s="22"/>
      <c r="E27" s="22"/>
      <c r="F27" s="22"/>
      <c r="G27" s="22"/>
      <c r="H27" s="22"/>
      <c r="I27" s="22"/>
      <c r="J27" s="36"/>
      <c r="K27" s="19">
        <v>0</v>
      </c>
      <c r="L27" s="198" t="s">
        <v>128</v>
      </c>
      <c r="M27" s="198" t="s">
        <v>128</v>
      </c>
      <c r="N27" s="197" t="s">
        <v>128</v>
      </c>
      <c r="O27" s="195">
        <v>1</v>
      </c>
      <c r="P27" s="45" t="s">
        <v>128</v>
      </c>
      <c r="Q27" s="45" t="s">
        <v>128</v>
      </c>
      <c r="R27" s="45" t="s">
        <v>128</v>
      </c>
      <c r="S27" s="45" t="s">
        <v>128</v>
      </c>
      <c r="T27" s="45" t="s">
        <v>128</v>
      </c>
      <c r="U27" s="45" t="s">
        <v>128</v>
      </c>
      <c r="V27" s="45" t="s">
        <v>128</v>
      </c>
      <c r="W27" s="45" t="s">
        <v>128</v>
      </c>
      <c r="X27" s="45" t="s">
        <v>128</v>
      </c>
      <c r="Y27" s="45" t="s">
        <v>128</v>
      </c>
      <c r="Z27" s="45" t="s">
        <v>128</v>
      </c>
      <c r="AA27" s="45" t="s">
        <v>128</v>
      </c>
      <c r="AB27" s="45" t="s">
        <v>128</v>
      </c>
      <c r="AC27" s="107" t="s">
        <v>128</v>
      </c>
      <c r="AD27" s="107" t="s">
        <v>128</v>
      </c>
      <c r="AE27" s="107" t="s">
        <v>128</v>
      </c>
      <c r="AF27" s="107" t="s">
        <v>128</v>
      </c>
      <c r="AG27" s="107" t="s">
        <v>128</v>
      </c>
      <c r="AH27" s="107" t="s">
        <v>128</v>
      </c>
      <c r="AI27" s="228"/>
      <c r="AJ27" s="228"/>
      <c r="AK27" s="228"/>
      <c r="AL27" s="228"/>
      <c r="AM27" s="228"/>
      <c r="AN27" s="228"/>
      <c r="AO27" s="140"/>
      <c r="AP27" s="140"/>
    </row>
    <row r="28" spans="1:42" s="48" customFormat="1" x14ac:dyDescent="0.2">
      <c r="A28" s="209"/>
      <c r="B28" s="8"/>
      <c r="C28" s="8"/>
      <c r="D28" s="8"/>
      <c r="E28" s="8"/>
      <c r="F28" s="8"/>
      <c r="G28" s="8"/>
      <c r="H28" s="8"/>
      <c r="I28" s="8"/>
      <c r="J28" s="37"/>
      <c r="K28" s="19">
        <v>0</v>
      </c>
      <c r="L28" s="198" t="s">
        <v>128</v>
      </c>
      <c r="M28" s="198" t="s">
        <v>128</v>
      </c>
      <c r="N28" s="197" t="s">
        <v>128</v>
      </c>
      <c r="O28" s="195">
        <v>1</v>
      </c>
      <c r="P28" s="45" t="s">
        <v>128</v>
      </c>
      <c r="Q28" s="45" t="s">
        <v>128</v>
      </c>
      <c r="R28" s="45" t="s">
        <v>128</v>
      </c>
      <c r="S28" s="45" t="s">
        <v>128</v>
      </c>
      <c r="T28" s="45" t="s">
        <v>128</v>
      </c>
      <c r="U28" s="45" t="s">
        <v>128</v>
      </c>
      <c r="V28" s="45" t="s">
        <v>128</v>
      </c>
      <c r="W28" s="45" t="s">
        <v>128</v>
      </c>
      <c r="X28" s="45" t="s">
        <v>128</v>
      </c>
      <c r="Y28" s="45" t="s">
        <v>128</v>
      </c>
      <c r="Z28" s="45" t="s">
        <v>128</v>
      </c>
      <c r="AA28" s="45" t="s">
        <v>128</v>
      </c>
      <c r="AB28" s="45" t="s">
        <v>128</v>
      </c>
      <c r="AC28" s="107" t="s">
        <v>128</v>
      </c>
      <c r="AD28" s="107" t="s">
        <v>128</v>
      </c>
      <c r="AE28" s="107" t="s">
        <v>128</v>
      </c>
      <c r="AF28" s="107" t="s">
        <v>128</v>
      </c>
      <c r="AG28" s="107" t="s">
        <v>128</v>
      </c>
      <c r="AH28" s="107" t="s">
        <v>128</v>
      </c>
      <c r="AI28" s="228"/>
      <c r="AJ28" s="228"/>
      <c r="AK28" s="228"/>
      <c r="AL28" s="228"/>
      <c r="AM28" s="228"/>
      <c r="AN28" s="228"/>
      <c r="AO28" s="140"/>
      <c r="AP28" s="140"/>
    </row>
    <row r="29" spans="1:42" s="48" customFormat="1" x14ac:dyDescent="0.2">
      <c r="A29" s="22"/>
      <c r="B29" s="22"/>
      <c r="C29" s="22"/>
      <c r="D29" s="22"/>
      <c r="E29" s="22"/>
      <c r="F29" s="22"/>
      <c r="G29" s="22"/>
      <c r="H29" s="22"/>
      <c r="I29" s="22"/>
      <c r="J29" s="36"/>
      <c r="K29" s="19">
        <v>0</v>
      </c>
      <c r="L29" s="198" t="s">
        <v>128</v>
      </c>
      <c r="M29" s="198" t="s">
        <v>128</v>
      </c>
      <c r="N29" s="197" t="s">
        <v>128</v>
      </c>
      <c r="O29" s="195">
        <v>1</v>
      </c>
      <c r="P29" s="45" t="s">
        <v>128</v>
      </c>
      <c r="Q29" s="45" t="s">
        <v>128</v>
      </c>
      <c r="R29" s="45" t="s">
        <v>128</v>
      </c>
      <c r="S29" s="45" t="s">
        <v>128</v>
      </c>
      <c r="T29" s="45" t="s">
        <v>128</v>
      </c>
      <c r="U29" s="45" t="s">
        <v>128</v>
      </c>
      <c r="V29" s="45" t="s">
        <v>128</v>
      </c>
      <c r="W29" s="45" t="s">
        <v>128</v>
      </c>
      <c r="X29" s="45" t="s">
        <v>128</v>
      </c>
      <c r="Y29" s="45" t="s">
        <v>128</v>
      </c>
      <c r="Z29" s="45" t="s">
        <v>128</v>
      </c>
      <c r="AA29" s="45" t="s">
        <v>128</v>
      </c>
      <c r="AB29" s="45" t="s">
        <v>128</v>
      </c>
      <c r="AC29" s="107" t="s">
        <v>128</v>
      </c>
      <c r="AD29" s="107" t="s">
        <v>128</v>
      </c>
      <c r="AE29" s="107" t="s">
        <v>128</v>
      </c>
      <c r="AF29" s="107" t="s">
        <v>128</v>
      </c>
      <c r="AG29" s="107" t="s">
        <v>128</v>
      </c>
      <c r="AH29" s="107" t="s">
        <v>128</v>
      </c>
      <c r="AI29" s="228"/>
      <c r="AJ29" s="228"/>
      <c r="AK29" s="228"/>
      <c r="AL29" s="228"/>
      <c r="AM29" s="228"/>
      <c r="AN29" s="228"/>
      <c r="AO29" s="140"/>
      <c r="AP29" s="140"/>
    </row>
    <row r="30" spans="1:42" s="48" customFormat="1" x14ac:dyDescent="0.2">
      <c r="A30" s="209"/>
      <c r="B30" s="8"/>
      <c r="C30" s="8"/>
      <c r="D30" s="8"/>
      <c r="E30" s="8"/>
      <c r="F30" s="8"/>
      <c r="G30" s="8"/>
      <c r="H30" s="8"/>
      <c r="I30" s="8"/>
      <c r="J30" s="37"/>
      <c r="K30" s="19">
        <v>0</v>
      </c>
      <c r="L30" s="198" t="s">
        <v>128</v>
      </c>
      <c r="M30" s="198" t="s">
        <v>128</v>
      </c>
      <c r="N30" s="197" t="s">
        <v>128</v>
      </c>
      <c r="O30" s="195">
        <v>1</v>
      </c>
      <c r="P30" s="45" t="s">
        <v>128</v>
      </c>
      <c r="Q30" s="45" t="s">
        <v>128</v>
      </c>
      <c r="R30" s="45" t="s">
        <v>128</v>
      </c>
      <c r="S30" s="45" t="s">
        <v>128</v>
      </c>
      <c r="T30" s="45" t="s">
        <v>128</v>
      </c>
      <c r="U30" s="45" t="s">
        <v>128</v>
      </c>
      <c r="V30" s="45" t="s">
        <v>128</v>
      </c>
      <c r="W30" s="45" t="s">
        <v>128</v>
      </c>
      <c r="X30" s="45" t="s">
        <v>128</v>
      </c>
      <c r="Y30" s="45" t="s">
        <v>128</v>
      </c>
      <c r="Z30" s="45" t="s">
        <v>128</v>
      </c>
      <c r="AA30" s="45" t="s">
        <v>128</v>
      </c>
      <c r="AB30" s="45" t="s">
        <v>128</v>
      </c>
      <c r="AC30" s="107" t="s">
        <v>128</v>
      </c>
      <c r="AD30" s="107" t="s">
        <v>128</v>
      </c>
      <c r="AE30" s="107" t="s">
        <v>128</v>
      </c>
      <c r="AF30" s="107" t="s">
        <v>128</v>
      </c>
      <c r="AG30" s="107" t="s">
        <v>128</v>
      </c>
      <c r="AH30" s="107" t="s">
        <v>128</v>
      </c>
      <c r="AI30" s="228"/>
      <c r="AJ30" s="228"/>
      <c r="AK30" s="228"/>
      <c r="AL30" s="228"/>
      <c r="AM30" s="228"/>
      <c r="AN30" s="228"/>
      <c r="AO30" s="140"/>
      <c r="AP30" s="140"/>
    </row>
    <row r="31" spans="1:42" s="48" customFormat="1" x14ac:dyDescent="0.2">
      <c r="A31" s="22"/>
      <c r="B31" s="22"/>
      <c r="C31" s="22"/>
      <c r="D31" s="22"/>
      <c r="E31" s="22"/>
      <c r="F31" s="22"/>
      <c r="G31" s="22"/>
      <c r="H31" s="22"/>
      <c r="I31" s="22"/>
      <c r="J31" s="36"/>
      <c r="K31" s="19">
        <v>0</v>
      </c>
      <c r="L31" s="198" t="s">
        <v>128</v>
      </c>
      <c r="M31" s="198" t="s">
        <v>128</v>
      </c>
      <c r="N31" s="197" t="s">
        <v>128</v>
      </c>
      <c r="O31" s="195">
        <v>1</v>
      </c>
      <c r="P31" s="45" t="s">
        <v>128</v>
      </c>
      <c r="Q31" s="45" t="s">
        <v>128</v>
      </c>
      <c r="R31" s="45" t="s">
        <v>128</v>
      </c>
      <c r="S31" s="45" t="s">
        <v>128</v>
      </c>
      <c r="T31" s="45" t="s">
        <v>128</v>
      </c>
      <c r="U31" s="45" t="s">
        <v>128</v>
      </c>
      <c r="V31" s="45" t="s">
        <v>128</v>
      </c>
      <c r="W31" s="45" t="s">
        <v>128</v>
      </c>
      <c r="X31" s="45" t="s">
        <v>128</v>
      </c>
      <c r="Y31" s="45" t="s">
        <v>128</v>
      </c>
      <c r="Z31" s="45" t="s">
        <v>128</v>
      </c>
      <c r="AA31" s="45" t="s">
        <v>128</v>
      </c>
      <c r="AB31" s="45" t="s">
        <v>128</v>
      </c>
      <c r="AC31" s="107" t="s">
        <v>128</v>
      </c>
      <c r="AD31" s="107" t="s">
        <v>128</v>
      </c>
      <c r="AE31" s="107" t="s">
        <v>128</v>
      </c>
      <c r="AF31" s="107" t="s">
        <v>128</v>
      </c>
      <c r="AG31" s="107" t="s">
        <v>128</v>
      </c>
      <c r="AH31" s="107" t="s">
        <v>128</v>
      </c>
      <c r="AI31" s="228"/>
      <c r="AJ31" s="228"/>
      <c r="AK31" s="228"/>
      <c r="AL31" s="228"/>
      <c r="AM31" s="228"/>
      <c r="AN31" s="228"/>
      <c r="AO31" s="140"/>
      <c r="AP31" s="140"/>
    </row>
    <row r="32" spans="1:42" s="48" customFormat="1" x14ac:dyDescent="0.2">
      <c r="A32" s="209"/>
      <c r="B32" s="8"/>
      <c r="C32" s="8"/>
      <c r="D32" s="8"/>
      <c r="E32" s="8"/>
      <c r="F32" s="8"/>
      <c r="G32" s="8"/>
      <c r="H32" s="8"/>
      <c r="I32" s="8"/>
      <c r="J32" s="37"/>
      <c r="K32" s="19">
        <v>0</v>
      </c>
      <c r="L32" s="198" t="s">
        <v>128</v>
      </c>
      <c r="M32" s="198" t="s">
        <v>128</v>
      </c>
      <c r="N32" s="197" t="s">
        <v>128</v>
      </c>
      <c r="O32" s="195">
        <v>1</v>
      </c>
      <c r="P32" s="45" t="s">
        <v>128</v>
      </c>
      <c r="Q32" s="45" t="s">
        <v>128</v>
      </c>
      <c r="R32" s="45" t="s">
        <v>128</v>
      </c>
      <c r="S32" s="45" t="s">
        <v>128</v>
      </c>
      <c r="T32" s="45" t="s">
        <v>128</v>
      </c>
      <c r="U32" s="45" t="s">
        <v>128</v>
      </c>
      <c r="V32" s="45" t="s">
        <v>128</v>
      </c>
      <c r="W32" s="45" t="s">
        <v>128</v>
      </c>
      <c r="X32" s="45" t="s">
        <v>128</v>
      </c>
      <c r="Y32" s="45" t="s">
        <v>128</v>
      </c>
      <c r="Z32" s="45" t="s">
        <v>128</v>
      </c>
      <c r="AA32" s="45" t="s">
        <v>128</v>
      </c>
      <c r="AB32" s="45" t="s">
        <v>128</v>
      </c>
      <c r="AC32" s="107" t="s">
        <v>128</v>
      </c>
      <c r="AD32" s="107" t="s">
        <v>128</v>
      </c>
      <c r="AE32" s="107" t="s">
        <v>128</v>
      </c>
      <c r="AF32" s="107" t="s">
        <v>128</v>
      </c>
      <c r="AG32" s="107" t="s">
        <v>128</v>
      </c>
      <c r="AH32" s="107" t="s">
        <v>128</v>
      </c>
      <c r="AI32" s="228"/>
      <c r="AJ32" s="228"/>
      <c r="AK32" s="228"/>
      <c r="AL32" s="228"/>
      <c r="AM32" s="228"/>
      <c r="AN32" s="228"/>
      <c r="AO32" s="140"/>
      <c r="AP32" s="140"/>
    </row>
    <row r="33" spans="1:42" s="48" customFormat="1" x14ac:dyDescent="0.2">
      <c r="A33" s="22"/>
      <c r="B33" s="22"/>
      <c r="C33" s="22"/>
      <c r="D33" s="22"/>
      <c r="E33" s="22"/>
      <c r="F33" s="22"/>
      <c r="G33" s="22"/>
      <c r="H33" s="22"/>
      <c r="I33" s="22"/>
      <c r="J33" s="36"/>
      <c r="K33" s="19">
        <v>0</v>
      </c>
      <c r="L33" s="198" t="s">
        <v>128</v>
      </c>
      <c r="M33" s="198" t="s">
        <v>128</v>
      </c>
      <c r="N33" s="197" t="s">
        <v>128</v>
      </c>
      <c r="O33" s="195">
        <v>1</v>
      </c>
      <c r="P33" s="45" t="s">
        <v>128</v>
      </c>
      <c r="Q33" s="45" t="s">
        <v>128</v>
      </c>
      <c r="R33" s="45" t="s">
        <v>128</v>
      </c>
      <c r="S33" s="45" t="s">
        <v>128</v>
      </c>
      <c r="T33" s="45" t="s">
        <v>128</v>
      </c>
      <c r="U33" s="45" t="s">
        <v>128</v>
      </c>
      <c r="V33" s="45" t="s">
        <v>128</v>
      </c>
      <c r="W33" s="45" t="s">
        <v>128</v>
      </c>
      <c r="X33" s="45" t="s">
        <v>128</v>
      </c>
      <c r="Y33" s="45" t="s">
        <v>128</v>
      </c>
      <c r="Z33" s="45" t="s">
        <v>128</v>
      </c>
      <c r="AA33" s="45" t="s">
        <v>128</v>
      </c>
      <c r="AB33" s="45" t="s">
        <v>128</v>
      </c>
      <c r="AC33" s="107" t="s">
        <v>128</v>
      </c>
      <c r="AD33" s="107" t="s">
        <v>128</v>
      </c>
      <c r="AE33" s="107" t="s">
        <v>128</v>
      </c>
      <c r="AF33" s="107" t="s">
        <v>128</v>
      </c>
      <c r="AG33" s="107" t="s">
        <v>128</v>
      </c>
      <c r="AH33" s="107" t="s">
        <v>128</v>
      </c>
      <c r="AI33" s="228"/>
      <c r="AJ33" s="228"/>
      <c r="AK33" s="228"/>
      <c r="AL33" s="228"/>
      <c r="AM33" s="228"/>
      <c r="AN33" s="228"/>
      <c r="AO33" s="140"/>
      <c r="AP33" s="140"/>
    </row>
    <row r="34" spans="1:42" s="48" customFormat="1" x14ac:dyDescent="0.2">
      <c r="A34" s="209"/>
      <c r="B34" s="8"/>
      <c r="C34" s="8"/>
      <c r="D34" s="8"/>
      <c r="E34" s="8"/>
      <c r="F34" s="8"/>
      <c r="G34" s="8"/>
      <c r="H34" s="8"/>
      <c r="I34" s="8"/>
      <c r="J34" s="37"/>
      <c r="K34" s="19">
        <v>0</v>
      </c>
      <c r="L34" s="198" t="s">
        <v>128</v>
      </c>
      <c r="M34" s="198" t="s">
        <v>128</v>
      </c>
      <c r="N34" s="197" t="s">
        <v>128</v>
      </c>
      <c r="O34" s="195">
        <v>1</v>
      </c>
      <c r="P34" s="45" t="s">
        <v>128</v>
      </c>
      <c r="Q34" s="45" t="s">
        <v>128</v>
      </c>
      <c r="R34" s="45" t="s">
        <v>128</v>
      </c>
      <c r="S34" s="45" t="s">
        <v>128</v>
      </c>
      <c r="T34" s="45" t="s">
        <v>128</v>
      </c>
      <c r="U34" s="45" t="s">
        <v>128</v>
      </c>
      <c r="V34" s="45" t="s">
        <v>128</v>
      </c>
      <c r="W34" s="45" t="s">
        <v>128</v>
      </c>
      <c r="X34" s="45" t="s">
        <v>128</v>
      </c>
      <c r="Y34" s="45" t="s">
        <v>128</v>
      </c>
      <c r="Z34" s="45" t="s">
        <v>128</v>
      </c>
      <c r="AA34" s="45" t="s">
        <v>128</v>
      </c>
      <c r="AB34" s="45" t="s">
        <v>128</v>
      </c>
      <c r="AC34" s="107" t="s">
        <v>128</v>
      </c>
      <c r="AD34" s="107" t="s">
        <v>128</v>
      </c>
      <c r="AE34" s="107" t="s">
        <v>128</v>
      </c>
      <c r="AF34" s="107" t="s">
        <v>128</v>
      </c>
      <c r="AG34" s="107" t="s">
        <v>128</v>
      </c>
      <c r="AH34" s="107" t="s">
        <v>128</v>
      </c>
      <c r="AI34" s="228"/>
      <c r="AJ34" s="228"/>
      <c r="AK34" s="228"/>
      <c r="AL34" s="228"/>
      <c r="AM34" s="228"/>
      <c r="AN34" s="228"/>
      <c r="AO34" s="228"/>
      <c r="AP34" s="228"/>
    </row>
    <row r="35" spans="1:42" s="48" customFormat="1" x14ac:dyDescent="0.2">
      <c r="A35" s="22"/>
      <c r="B35" s="22"/>
      <c r="C35" s="22"/>
      <c r="D35" s="22"/>
      <c r="E35" s="22"/>
      <c r="F35" s="22"/>
      <c r="G35" s="22"/>
      <c r="H35" s="22"/>
      <c r="I35" s="22"/>
      <c r="J35" s="36"/>
      <c r="K35" s="19">
        <v>0</v>
      </c>
      <c r="L35" s="198" t="s">
        <v>128</v>
      </c>
      <c r="M35" s="198" t="s">
        <v>128</v>
      </c>
      <c r="N35" s="197" t="s">
        <v>128</v>
      </c>
      <c r="O35" s="195">
        <v>1</v>
      </c>
      <c r="P35" s="45" t="s">
        <v>128</v>
      </c>
      <c r="Q35" s="45" t="s">
        <v>128</v>
      </c>
      <c r="R35" s="45" t="s">
        <v>128</v>
      </c>
      <c r="S35" s="45" t="s">
        <v>128</v>
      </c>
      <c r="T35" s="45" t="s">
        <v>128</v>
      </c>
      <c r="U35" s="45" t="s">
        <v>128</v>
      </c>
      <c r="V35" s="45" t="s">
        <v>128</v>
      </c>
      <c r="W35" s="45" t="s">
        <v>128</v>
      </c>
      <c r="X35" s="45" t="s">
        <v>128</v>
      </c>
      <c r="Y35" s="45" t="s">
        <v>128</v>
      </c>
      <c r="Z35" s="45" t="s">
        <v>128</v>
      </c>
      <c r="AA35" s="45" t="s">
        <v>128</v>
      </c>
      <c r="AB35" s="45" t="s">
        <v>128</v>
      </c>
      <c r="AC35" s="107" t="s">
        <v>128</v>
      </c>
      <c r="AD35" s="107" t="s">
        <v>128</v>
      </c>
      <c r="AE35" s="107" t="s">
        <v>128</v>
      </c>
      <c r="AF35" s="107" t="s">
        <v>128</v>
      </c>
      <c r="AG35" s="107" t="s">
        <v>128</v>
      </c>
      <c r="AH35" s="107" t="s">
        <v>128</v>
      </c>
      <c r="AI35" s="228"/>
      <c r="AJ35" s="228"/>
      <c r="AK35" s="228"/>
      <c r="AL35" s="228"/>
      <c r="AM35" s="228"/>
      <c r="AN35" s="228"/>
      <c r="AO35" s="228"/>
      <c r="AP35" s="228"/>
    </row>
    <row r="36" spans="1:42" s="48" customFormat="1" x14ac:dyDescent="0.2">
      <c r="A36" s="209"/>
      <c r="B36" s="8"/>
      <c r="C36" s="8"/>
      <c r="D36" s="8"/>
      <c r="E36" s="8"/>
      <c r="F36" s="8"/>
      <c r="G36" s="8"/>
      <c r="H36" s="8"/>
      <c r="I36" s="8"/>
      <c r="J36" s="37"/>
      <c r="K36" s="19">
        <v>0</v>
      </c>
      <c r="L36" s="198" t="s">
        <v>128</v>
      </c>
      <c r="M36" s="198" t="s">
        <v>128</v>
      </c>
      <c r="N36" s="197" t="s">
        <v>128</v>
      </c>
      <c r="O36" s="195">
        <v>1</v>
      </c>
      <c r="P36" s="45" t="s">
        <v>128</v>
      </c>
      <c r="Q36" s="45" t="s">
        <v>128</v>
      </c>
      <c r="R36" s="45" t="s">
        <v>128</v>
      </c>
      <c r="S36" s="45" t="s">
        <v>128</v>
      </c>
      <c r="T36" s="45" t="s">
        <v>128</v>
      </c>
      <c r="U36" s="45" t="s">
        <v>128</v>
      </c>
      <c r="V36" s="45" t="s">
        <v>128</v>
      </c>
      <c r="W36" s="45" t="s">
        <v>128</v>
      </c>
      <c r="X36" s="45" t="s">
        <v>128</v>
      </c>
      <c r="Y36" s="45" t="s">
        <v>128</v>
      </c>
      <c r="Z36" s="45" t="s">
        <v>128</v>
      </c>
      <c r="AA36" s="45" t="s">
        <v>128</v>
      </c>
      <c r="AB36" s="45" t="s">
        <v>128</v>
      </c>
      <c r="AC36" s="107" t="s">
        <v>128</v>
      </c>
      <c r="AD36" s="107" t="s">
        <v>128</v>
      </c>
      <c r="AE36" s="107" t="s">
        <v>128</v>
      </c>
      <c r="AF36" s="107" t="s">
        <v>128</v>
      </c>
      <c r="AG36" s="107" t="s">
        <v>128</v>
      </c>
      <c r="AH36" s="107" t="s">
        <v>128</v>
      </c>
      <c r="AI36" s="228"/>
      <c r="AJ36" s="228"/>
      <c r="AK36" s="228"/>
      <c r="AL36" s="228"/>
      <c r="AM36" s="228"/>
      <c r="AN36" s="228"/>
      <c r="AO36" s="228"/>
      <c r="AP36" s="228"/>
    </row>
    <row r="37" spans="1:42" s="48" customFormat="1" x14ac:dyDescent="0.2">
      <c r="A37" s="22"/>
      <c r="B37" s="22"/>
      <c r="C37" s="22"/>
      <c r="D37" s="22"/>
      <c r="E37" s="22"/>
      <c r="F37" s="22"/>
      <c r="G37" s="22"/>
      <c r="H37" s="22"/>
      <c r="I37" s="22"/>
      <c r="J37" s="36"/>
      <c r="K37" s="19">
        <v>0</v>
      </c>
      <c r="L37" s="198" t="s">
        <v>128</v>
      </c>
      <c r="M37" s="198" t="s">
        <v>128</v>
      </c>
      <c r="N37" s="197" t="s">
        <v>128</v>
      </c>
      <c r="O37" s="195">
        <v>1</v>
      </c>
      <c r="P37" s="45" t="s">
        <v>128</v>
      </c>
      <c r="Q37" s="45" t="s">
        <v>128</v>
      </c>
      <c r="R37" s="45" t="s">
        <v>128</v>
      </c>
      <c r="S37" s="45" t="s">
        <v>128</v>
      </c>
      <c r="T37" s="45" t="s">
        <v>128</v>
      </c>
      <c r="U37" s="45" t="s">
        <v>128</v>
      </c>
      <c r="V37" s="45" t="s">
        <v>128</v>
      </c>
      <c r="W37" s="45" t="s">
        <v>128</v>
      </c>
      <c r="X37" s="45" t="s">
        <v>128</v>
      </c>
      <c r="Y37" s="45" t="s">
        <v>128</v>
      </c>
      <c r="Z37" s="45" t="s">
        <v>128</v>
      </c>
      <c r="AA37" s="45" t="s">
        <v>128</v>
      </c>
      <c r="AB37" s="45" t="s">
        <v>128</v>
      </c>
      <c r="AC37" s="107" t="s">
        <v>128</v>
      </c>
      <c r="AD37" s="107" t="s">
        <v>128</v>
      </c>
      <c r="AE37" s="107" t="s">
        <v>128</v>
      </c>
      <c r="AF37" s="107" t="s">
        <v>128</v>
      </c>
      <c r="AG37" s="107" t="s">
        <v>128</v>
      </c>
      <c r="AH37" s="107" t="s">
        <v>128</v>
      </c>
      <c r="AI37" s="228"/>
      <c r="AJ37" s="228"/>
      <c r="AK37" s="228"/>
      <c r="AL37" s="228"/>
      <c r="AM37" s="228"/>
      <c r="AN37" s="228"/>
      <c r="AO37" s="228"/>
      <c r="AP37" s="228"/>
    </row>
    <row r="38" spans="1:42" s="48" customFormat="1" x14ac:dyDescent="0.15">
      <c r="A38" s="209"/>
      <c r="B38" s="8"/>
      <c r="C38" s="8"/>
      <c r="D38" s="8"/>
      <c r="E38" s="8"/>
      <c r="F38" s="8"/>
      <c r="G38" s="8"/>
      <c r="H38" s="8"/>
      <c r="I38" s="8"/>
      <c r="J38" s="37"/>
      <c r="K38" s="19">
        <v>0</v>
      </c>
      <c r="L38" s="198" t="s">
        <v>128</v>
      </c>
      <c r="M38" s="198" t="s">
        <v>128</v>
      </c>
      <c r="N38" s="197" t="s">
        <v>128</v>
      </c>
      <c r="O38" s="195">
        <v>1</v>
      </c>
      <c r="P38" s="45" t="s">
        <v>128</v>
      </c>
      <c r="Q38" s="45" t="s">
        <v>128</v>
      </c>
      <c r="R38" s="45" t="s">
        <v>128</v>
      </c>
      <c r="S38" s="45" t="s">
        <v>128</v>
      </c>
      <c r="T38" s="45" t="s">
        <v>128</v>
      </c>
      <c r="U38" s="45" t="s">
        <v>128</v>
      </c>
      <c r="V38" s="45" t="s">
        <v>128</v>
      </c>
      <c r="W38" s="45" t="s">
        <v>128</v>
      </c>
      <c r="X38" s="45" t="s">
        <v>128</v>
      </c>
      <c r="Y38" s="45" t="s">
        <v>128</v>
      </c>
      <c r="Z38" s="45" t="s">
        <v>128</v>
      </c>
      <c r="AA38" s="45" t="s">
        <v>128</v>
      </c>
      <c r="AB38" s="45" t="s">
        <v>128</v>
      </c>
      <c r="AC38" s="107" t="s">
        <v>128</v>
      </c>
      <c r="AD38" s="107" t="s">
        <v>128</v>
      </c>
      <c r="AE38" s="107" t="s">
        <v>128</v>
      </c>
      <c r="AF38" s="107" t="s">
        <v>128</v>
      </c>
      <c r="AG38" s="107" t="s">
        <v>128</v>
      </c>
      <c r="AH38" s="107" t="s">
        <v>128</v>
      </c>
      <c r="AI38" s="205"/>
      <c r="AJ38" s="140"/>
      <c r="AK38" s="305"/>
      <c r="AL38" s="306"/>
      <c r="AM38" s="228"/>
      <c r="AN38" s="140"/>
      <c r="AO38" s="140"/>
      <c r="AP38" s="140"/>
    </row>
    <row r="39" spans="1:42" s="48" customFormat="1" x14ac:dyDescent="0.2">
      <c r="A39" s="22"/>
      <c r="B39" s="22"/>
      <c r="C39" s="22"/>
      <c r="D39" s="22"/>
      <c r="E39" s="22"/>
      <c r="F39" s="22"/>
      <c r="G39" s="22"/>
      <c r="H39" s="22"/>
      <c r="I39" s="22"/>
      <c r="J39" s="36"/>
      <c r="K39" s="19">
        <v>0</v>
      </c>
      <c r="L39" s="198" t="s">
        <v>128</v>
      </c>
      <c r="M39" s="198" t="s">
        <v>128</v>
      </c>
      <c r="N39" s="197" t="s">
        <v>128</v>
      </c>
      <c r="O39" s="195">
        <v>1</v>
      </c>
      <c r="P39" s="45" t="s">
        <v>128</v>
      </c>
      <c r="Q39" s="45" t="s">
        <v>128</v>
      </c>
      <c r="R39" s="45" t="s">
        <v>128</v>
      </c>
      <c r="S39" s="45" t="s">
        <v>128</v>
      </c>
      <c r="T39" s="45" t="s">
        <v>128</v>
      </c>
      <c r="U39" s="45" t="s">
        <v>128</v>
      </c>
      <c r="V39" s="45" t="s">
        <v>128</v>
      </c>
      <c r="W39" s="45" t="s">
        <v>128</v>
      </c>
      <c r="X39" s="45" t="s">
        <v>128</v>
      </c>
      <c r="Y39" s="45" t="s">
        <v>128</v>
      </c>
      <c r="Z39" s="45" t="s">
        <v>128</v>
      </c>
      <c r="AA39" s="45" t="s">
        <v>128</v>
      </c>
      <c r="AB39" s="45" t="s">
        <v>128</v>
      </c>
      <c r="AC39" s="107" t="s">
        <v>128</v>
      </c>
      <c r="AD39" s="107" t="s">
        <v>128</v>
      </c>
      <c r="AE39" s="107" t="s">
        <v>128</v>
      </c>
      <c r="AF39" s="107" t="s">
        <v>128</v>
      </c>
      <c r="AG39" s="107" t="s">
        <v>128</v>
      </c>
      <c r="AH39" s="107" t="s">
        <v>128</v>
      </c>
      <c r="AI39" s="228"/>
      <c r="AJ39" s="228"/>
      <c r="AK39" s="228"/>
      <c r="AL39" s="228"/>
      <c r="AM39" s="228"/>
      <c r="AN39" s="140"/>
      <c r="AO39" s="228"/>
      <c r="AP39" s="228"/>
    </row>
    <row r="40" spans="1:42" s="48" customFormat="1" x14ac:dyDescent="0.2">
      <c r="A40" s="209"/>
      <c r="B40" s="8"/>
      <c r="C40" s="8"/>
      <c r="D40" s="8"/>
      <c r="E40" s="8"/>
      <c r="F40" s="8"/>
      <c r="G40" s="8"/>
      <c r="H40" s="8"/>
      <c r="I40" s="8"/>
      <c r="J40" s="37"/>
      <c r="K40" s="19">
        <v>0</v>
      </c>
      <c r="L40" s="198" t="s">
        <v>128</v>
      </c>
      <c r="M40" s="198" t="s">
        <v>128</v>
      </c>
      <c r="N40" s="197" t="s">
        <v>128</v>
      </c>
      <c r="O40" s="195">
        <v>1</v>
      </c>
      <c r="P40" s="45" t="s">
        <v>128</v>
      </c>
      <c r="Q40" s="45" t="s">
        <v>128</v>
      </c>
      <c r="R40" s="45" t="s">
        <v>128</v>
      </c>
      <c r="S40" s="45" t="s">
        <v>128</v>
      </c>
      <c r="T40" s="45" t="s">
        <v>128</v>
      </c>
      <c r="U40" s="45" t="s">
        <v>128</v>
      </c>
      <c r="V40" s="45" t="s">
        <v>128</v>
      </c>
      <c r="W40" s="45" t="s">
        <v>128</v>
      </c>
      <c r="X40" s="45" t="s">
        <v>128</v>
      </c>
      <c r="Y40" s="45" t="s">
        <v>128</v>
      </c>
      <c r="Z40" s="45" t="s">
        <v>128</v>
      </c>
      <c r="AA40" s="45" t="s">
        <v>128</v>
      </c>
      <c r="AB40" s="45" t="s">
        <v>128</v>
      </c>
      <c r="AC40" s="107" t="s">
        <v>128</v>
      </c>
      <c r="AD40" s="107" t="s">
        <v>128</v>
      </c>
      <c r="AE40" s="107" t="s">
        <v>128</v>
      </c>
      <c r="AF40" s="107" t="s">
        <v>128</v>
      </c>
      <c r="AG40" s="107" t="s">
        <v>128</v>
      </c>
      <c r="AH40" s="107" t="s">
        <v>128</v>
      </c>
      <c r="AI40" s="228"/>
      <c r="AJ40" s="228"/>
      <c r="AK40" s="228"/>
      <c r="AL40" s="228"/>
      <c r="AM40" s="228"/>
      <c r="AN40" s="140"/>
      <c r="AO40" s="228"/>
      <c r="AP40" s="228"/>
    </row>
    <row r="41" spans="1:42" s="48" customFormat="1" x14ac:dyDescent="0.15">
      <c r="A41" s="22"/>
      <c r="B41" s="22"/>
      <c r="C41" s="22"/>
      <c r="D41" s="22"/>
      <c r="E41" s="22"/>
      <c r="F41" s="22"/>
      <c r="G41" s="22"/>
      <c r="H41" s="22"/>
      <c r="I41" s="22"/>
      <c r="J41" s="36"/>
      <c r="K41" s="19">
        <v>0</v>
      </c>
      <c r="L41" s="198" t="s">
        <v>128</v>
      </c>
      <c r="M41" s="198" t="s">
        <v>128</v>
      </c>
      <c r="N41" s="197" t="s">
        <v>128</v>
      </c>
      <c r="O41" s="195">
        <v>1</v>
      </c>
      <c r="P41" s="45" t="s">
        <v>128</v>
      </c>
      <c r="Q41" s="45" t="s">
        <v>128</v>
      </c>
      <c r="R41" s="45" t="s">
        <v>128</v>
      </c>
      <c r="S41" s="45" t="s">
        <v>128</v>
      </c>
      <c r="T41" s="45" t="s">
        <v>128</v>
      </c>
      <c r="U41" s="45" t="s">
        <v>128</v>
      </c>
      <c r="V41" s="45" t="s">
        <v>128</v>
      </c>
      <c r="W41" s="45" t="s">
        <v>128</v>
      </c>
      <c r="X41" s="45" t="s">
        <v>128</v>
      </c>
      <c r="Y41" s="45" t="s">
        <v>128</v>
      </c>
      <c r="Z41" s="45" t="s">
        <v>128</v>
      </c>
      <c r="AA41" s="45" t="s">
        <v>128</v>
      </c>
      <c r="AB41" s="45" t="s">
        <v>128</v>
      </c>
      <c r="AC41" s="107" t="s">
        <v>128</v>
      </c>
      <c r="AD41" s="107" t="s">
        <v>128</v>
      </c>
      <c r="AE41" s="107" t="s">
        <v>128</v>
      </c>
      <c r="AF41" s="107" t="s">
        <v>128</v>
      </c>
      <c r="AG41" s="107" t="s">
        <v>128</v>
      </c>
      <c r="AH41" s="107" t="s">
        <v>128</v>
      </c>
      <c r="AI41" s="205"/>
      <c r="AJ41" s="140"/>
      <c r="AK41" s="305"/>
      <c r="AL41" s="306"/>
      <c r="AM41" s="228"/>
      <c r="AN41" s="140"/>
      <c r="AO41" s="140"/>
      <c r="AP41" s="140"/>
    </row>
    <row r="42" spans="1:42" s="48" customFormat="1" x14ac:dyDescent="0.2">
      <c r="A42" s="209"/>
      <c r="B42" s="8"/>
      <c r="C42" s="8"/>
      <c r="D42" s="8"/>
      <c r="E42" s="8"/>
      <c r="F42" s="8"/>
      <c r="G42" s="8"/>
      <c r="H42" s="8"/>
      <c r="I42" s="8"/>
      <c r="J42" s="37"/>
      <c r="K42" s="19">
        <v>0</v>
      </c>
      <c r="L42" s="198" t="s">
        <v>128</v>
      </c>
      <c r="M42" s="198" t="s">
        <v>128</v>
      </c>
      <c r="N42" s="197" t="s">
        <v>128</v>
      </c>
      <c r="O42" s="195">
        <v>1</v>
      </c>
      <c r="P42" s="45" t="s">
        <v>128</v>
      </c>
      <c r="Q42" s="45" t="s">
        <v>128</v>
      </c>
      <c r="R42" s="45" t="s">
        <v>128</v>
      </c>
      <c r="S42" s="45" t="s">
        <v>128</v>
      </c>
      <c r="T42" s="45" t="s">
        <v>128</v>
      </c>
      <c r="U42" s="45" t="s">
        <v>128</v>
      </c>
      <c r="V42" s="45" t="s">
        <v>128</v>
      </c>
      <c r="W42" s="45" t="s">
        <v>128</v>
      </c>
      <c r="X42" s="45" t="s">
        <v>128</v>
      </c>
      <c r="Y42" s="45" t="s">
        <v>128</v>
      </c>
      <c r="Z42" s="45" t="s">
        <v>128</v>
      </c>
      <c r="AA42" s="45" t="s">
        <v>128</v>
      </c>
      <c r="AB42" s="45" t="s">
        <v>128</v>
      </c>
      <c r="AC42" s="107" t="s">
        <v>128</v>
      </c>
      <c r="AD42" s="107" t="s">
        <v>128</v>
      </c>
      <c r="AE42" s="107" t="s">
        <v>128</v>
      </c>
      <c r="AF42" s="107" t="s">
        <v>128</v>
      </c>
      <c r="AG42" s="107" t="s">
        <v>128</v>
      </c>
      <c r="AH42" s="107" t="s">
        <v>128</v>
      </c>
      <c r="AI42" s="228"/>
      <c r="AJ42" s="140"/>
      <c r="AK42" s="228"/>
      <c r="AL42" s="228"/>
      <c r="AM42" s="228"/>
      <c r="AN42" s="140"/>
      <c r="AO42" s="228"/>
      <c r="AP42" s="228"/>
    </row>
    <row r="43" spans="1:42" s="48" customFormat="1" x14ac:dyDescent="0.15">
      <c r="A43" s="22"/>
      <c r="B43" s="22"/>
      <c r="C43" s="22"/>
      <c r="D43" s="22"/>
      <c r="E43" s="22"/>
      <c r="F43" s="22"/>
      <c r="G43" s="22"/>
      <c r="H43" s="22"/>
      <c r="I43" s="22"/>
      <c r="J43" s="36"/>
      <c r="K43" s="19">
        <v>0</v>
      </c>
      <c r="L43" s="198" t="s">
        <v>128</v>
      </c>
      <c r="M43" s="198" t="s">
        <v>128</v>
      </c>
      <c r="N43" s="197" t="s">
        <v>128</v>
      </c>
      <c r="O43" s="195">
        <v>1</v>
      </c>
      <c r="P43" s="45" t="s">
        <v>128</v>
      </c>
      <c r="Q43" s="45" t="s">
        <v>128</v>
      </c>
      <c r="R43" s="45" t="s">
        <v>128</v>
      </c>
      <c r="S43" s="45" t="s">
        <v>128</v>
      </c>
      <c r="T43" s="45" t="s">
        <v>128</v>
      </c>
      <c r="U43" s="45" t="s">
        <v>128</v>
      </c>
      <c r="V43" s="45" t="s">
        <v>128</v>
      </c>
      <c r="W43" s="45" t="s">
        <v>128</v>
      </c>
      <c r="X43" s="45" t="s">
        <v>128</v>
      </c>
      <c r="Y43" s="45" t="s">
        <v>128</v>
      </c>
      <c r="Z43" s="45" t="s">
        <v>128</v>
      </c>
      <c r="AA43" s="45" t="s">
        <v>128</v>
      </c>
      <c r="AB43" s="45" t="s">
        <v>128</v>
      </c>
      <c r="AC43" s="107" t="s">
        <v>128</v>
      </c>
      <c r="AD43" s="107" t="s">
        <v>128</v>
      </c>
      <c r="AE43" s="107" t="s">
        <v>128</v>
      </c>
      <c r="AF43" s="107" t="s">
        <v>128</v>
      </c>
      <c r="AG43" s="107" t="s">
        <v>128</v>
      </c>
      <c r="AH43" s="107" t="s">
        <v>128</v>
      </c>
      <c r="AI43" s="280"/>
      <c r="AJ43" s="274"/>
      <c r="AK43" s="307"/>
      <c r="AL43" s="308"/>
      <c r="AM43" s="273"/>
      <c r="AN43" s="274"/>
      <c r="AO43" s="274"/>
      <c r="AP43" s="274"/>
    </row>
    <row r="44" spans="1:42" s="48" customFormat="1" x14ac:dyDescent="0.2">
      <c r="A44" s="209"/>
      <c r="B44" s="8"/>
      <c r="C44" s="8"/>
      <c r="D44" s="8"/>
      <c r="E44" s="8"/>
      <c r="F44" s="8"/>
      <c r="G44" s="8"/>
      <c r="H44" s="8"/>
      <c r="I44" s="8"/>
      <c r="J44" s="37"/>
      <c r="K44" s="19">
        <v>0</v>
      </c>
      <c r="L44" s="198" t="s">
        <v>128</v>
      </c>
      <c r="M44" s="198" t="s">
        <v>128</v>
      </c>
      <c r="N44" s="197" t="s">
        <v>128</v>
      </c>
      <c r="O44" s="195">
        <v>1</v>
      </c>
      <c r="P44" s="45" t="s">
        <v>128</v>
      </c>
      <c r="Q44" s="45" t="s">
        <v>128</v>
      </c>
      <c r="R44" s="45" t="s">
        <v>128</v>
      </c>
      <c r="S44" s="45" t="s">
        <v>128</v>
      </c>
      <c r="T44" s="45" t="s">
        <v>128</v>
      </c>
      <c r="U44" s="45" t="s">
        <v>128</v>
      </c>
      <c r="V44" s="45" t="s">
        <v>128</v>
      </c>
      <c r="W44" s="45" t="s">
        <v>128</v>
      </c>
      <c r="X44" s="45" t="s">
        <v>128</v>
      </c>
      <c r="Y44" s="45" t="s">
        <v>128</v>
      </c>
      <c r="Z44" s="45" t="s">
        <v>128</v>
      </c>
      <c r="AA44" s="45" t="s">
        <v>128</v>
      </c>
      <c r="AB44" s="45" t="s">
        <v>128</v>
      </c>
      <c r="AC44" s="107" t="s">
        <v>128</v>
      </c>
      <c r="AD44" s="107" t="s">
        <v>128</v>
      </c>
      <c r="AE44" s="107" t="s">
        <v>128</v>
      </c>
      <c r="AF44" s="107" t="s">
        <v>128</v>
      </c>
      <c r="AG44" s="107" t="s">
        <v>128</v>
      </c>
      <c r="AH44" s="107" t="s">
        <v>128</v>
      </c>
      <c r="AI44" s="228"/>
      <c r="AJ44" s="228"/>
      <c r="AK44" s="228"/>
      <c r="AL44" s="228"/>
      <c r="AM44" s="228"/>
      <c r="AN44" s="228"/>
      <c r="AO44" s="228"/>
      <c r="AP44" s="228"/>
    </row>
    <row r="45" spans="1:42" s="48" customFormat="1" x14ac:dyDescent="0.2">
      <c r="A45" s="22"/>
      <c r="B45" s="22"/>
      <c r="C45" s="22"/>
      <c r="D45" s="22"/>
      <c r="E45" s="22"/>
      <c r="F45" s="22"/>
      <c r="G45" s="22"/>
      <c r="H45" s="22"/>
      <c r="I45" s="22"/>
      <c r="J45" s="36"/>
      <c r="K45" s="19">
        <v>0</v>
      </c>
      <c r="L45" s="198" t="s">
        <v>128</v>
      </c>
      <c r="M45" s="198" t="s">
        <v>128</v>
      </c>
      <c r="N45" s="197" t="s">
        <v>128</v>
      </c>
      <c r="O45" s="195">
        <v>1</v>
      </c>
      <c r="P45" s="45" t="s">
        <v>128</v>
      </c>
      <c r="Q45" s="45" t="s">
        <v>128</v>
      </c>
      <c r="R45" s="45" t="s">
        <v>128</v>
      </c>
      <c r="S45" s="45" t="s">
        <v>128</v>
      </c>
      <c r="T45" s="45" t="s">
        <v>128</v>
      </c>
      <c r="U45" s="45" t="s">
        <v>128</v>
      </c>
      <c r="V45" s="45" t="s">
        <v>128</v>
      </c>
      <c r="W45" s="45" t="s">
        <v>128</v>
      </c>
      <c r="X45" s="45" t="s">
        <v>128</v>
      </c>
      <c r="Y45" s="45" t="s">
        <v>128</v>
      </c>
      <c r="Z45" s="45" t="s">
        <v>128</v>
      </c>
      <c r="AA45" s="45" t="s">
        <v>128</v>
      </c>
      <c r="AB45" s="45" t="s">
        <v>128</v>
      </c>
      <c r="AC45" s="107" t="s">
        <v>128</v>
      </c>
      <c r="AD45" s="107" t="s">
        <v>128</v>
      </c>
      <c r="AE45" s="107" t="s">
        <v>128</v>
      </c>
      <c r="AF45" s="107" t="s">
        <v>128</v>
      </c>
      <c r="AG45" s="107" t="s">
        <v>128</v>
      </c>
      <c r="AH45" s="107" t="s">
        <v>128</v>
      </c>
      <c r="AI45" s="228"/>
      <c r="AJ45" s="228"/>
      <c r="AK45" s="228"/>
      <c r="AL45" s="228"/>
      <c r="AM45" s="228"/>
      <c r="AN45" s="228"/>
      <c r="AO45" s="228"/>
      <c r="AP45" s="228"/>
    </row>
    <row r="46" spans="1:42" s="48" customFormat="1" x14ac:dyDescent="0.2">
      <c r="A46" s="209"/>
      <c r="B46" s="8"/>
      <c r="C46" s="8"/>
      <c r="D46" s="8"/>
      <c r="E46" s="8"/>
      <c r="F46" s="8"/>
      <c r="G46" s="8"/>
      <c r="H46" s="8"/>
      <c r="I46" s="8"/>
      <c r="J46" s="37"/>
      <c r="K46" s="19">
        <v>0</v>
      </c>
      <c r="L46" s="198" t="s">
        <v>128</v>
      </c>
      <c r="M46" s="198" t="s">
        <v>128</v>
      </c>
      <c r="N46" s="197" t="s">
        <v>128</v>
      </c>
      <c r="O46" s="195">
        <v>1</v>
      </c>
      <c r="P46" s="45" t="s">
        <v>128</v>
      </c>
      <c r="Q46" s="45" t="s">
        <v>128</v>
      </c>
      <c r="R46" s="45" t="s">
        <v>128</v>
      </c>
      <c r="S46" s="45" t="s">
        <v>128</v>
      </c>
      <c r="T46" s="45" t="s">
        <v>128</v>
      </c>
      <c r="U46" s="45" t="s">
        <v>128</v>
      </c>
      <c r="V46" s="45" t="s">
        <v>128</v>
      </c>
      <c r="W46" s="45" t="s">
        <v>128</v>
      </c>
      <c r="X46" s="45" t="s">
        <v>128</v>
      </c>
      <c r="Y46" s="45" t="s">
        <v>128</v>
      </c>
      <c r="Z46" s="45" t="s">
        <v>128</v>
      </c>
      <c r="AA46" s="45" t="s">
        <v>128</v>
      </c>
      <c r="AB46" s="45" t="s">
        <v>128</v>
      </c>
      <c r="AC46" s="107" t="s">
        <v>128</v>
      </c>
      <c r="AD46" s="107" t="s">
        <v>128</v>
      </c>
      <c r="AE46" s="107" t="s">
        <v>128</v>
      </c>
      <c r="AF46" s="107" t="s">
        <v>128</v>
      </c>
      <c r="AG46" s="107" t="s">
        <v>128</v>
      </c>
      <c r="AH46" s="107" t="s">
        <v>128</v>
      </c>
      <c r="AI46" s="228"/>
      <c r="AJ46" s="228"/>
      <c r="AK46" s="228"/>
      <c r="AL46" s="228"/>
      <c r="AM46" s="228"/>
      <c r="AN46" s="228"/>
      <c r="AO46" s="228"/>
      <c r="AP46" s="228"/>
    </row>
    <row r="47" spans="1:42" s="48" customFormat="1" x14ac:dyDescent="0.2">
      <c r="A47" s="22"/>
      <c r="B47" s="22"/>
      <c r="C47" s="22"/>
      <c r="D47" s="22"/>
      <c r="E47" s="22"/>
      <c r="F47" s="22"/>
      <c r="G47" s="22"/>
      <c r="H47" s="22"/>
      <c r="I47" s="22"/>
      <c r="J47" s="36"/>
      <c r="K47" s="19">
        <v>0</v>
      </c>
      <c r="L47" s="198" t="s">
        <v>128</v>
      </c>
      <c r="M47" s="198" t="s">
        <v>128</v>
      </c>
      <c r="N47" s="197" t="s">
        <v>128</v>
      </c>
      <c r="O47" s="195">
        <v>1</v>
      </c>
      <c r="P47" s="45" t="s">
        <v>128</v>
      </c>
      <c r="Q47" s="45" t="s">
        <v>128</v>
      </c>
      <c r="R47" s="45" t="s">
        <v>128</v>
      </c>
      <c r="S47" s="45" t="s">
        <v>128</v>
      </c>
      <c r="T47" s="45" t="s">
        <v>128</v>
      </c>
      <c r="U47" s="45" t="s">
        <v>128</v>
      </c>
      <c r="V47" s="45" t="s">
        <v>128</v>
      </c>
      <c r="W47" s="45" t="s">
        <v>128</v>
      </c>
      <c r="X47" s="45" t="s">
        <v>128</v>
      </c>
      <c r="Y47" s="45" t="s">
        <v>128</v>
      </c>
      <c r="Z47" s="45" t="s">
        <v>128</v>
      </c>
      <c r="AA47" s="45" t="s">
        <v>128</v>
      </c>
      <c r="AB47" s="45" t="s">
        <v>128</v>
      </c>
      <c r="AC47" s="107" t="s">
        <v>128</v>
      </c>
      <c r="AD47" s="107" t="s">
        <v>128</v>
      </c>
      <c r="AE47" s="107" t="s">
        <v>128</v>
      </c>
      <c r="AF47" s="107" t="s">
        <v>128</v>
      </c>
      <c r="AG47" s="107" t="s">
        <v>128</v>
      </c>
      <c r="AH47" s="107" t="s">
        <v>128</v>
      </c>
      <c r="AI47" s="228"/>
      <c r="AJ47" s="228"/>
      <c r="AK47" s="228"/>
      <c r="AL47" s="228"/>
      <c r="AM47" s="228"/>
      <c r="AN47" s="228"/>
      <c r="AO47" s="228"/>
      <c r="AP47" s="228"/>
    </row>
    <row r="48" spans="1:42" s="48" customFormat="1" x14ac:dyDescent="0.2">
      <c r="A48" s="209"/>
      <c r="B48" s="8"/>
      <c r="C48" s="8"/>
      <c r="D48" s="8"/>
      <c r="E48" s="8"/>
      <c r="F48" s="8"/>
      <c r="G48" s="8"/>
      <c r="H48" s="8"/>
      <c r="I48" s="8"/>
      <c r="J48" s="37"/>
      <c r="K48" s="19">
        <v>0</v>
      </c>
      <c r="L48" s="198" t="s">
        <v>128</v>
      </c>
      <c r="M48" s="198" t="s">
        <v>128</v>
      </c>
      <c r="N48" s="197" t="s">
        <v>128</v>
      </c>
      <c r="O48" s="195">
        <v>1</v>
      </c>
      <c r="P48" s="45" t="s">
        <v>128</v>
      </c>
      <c r="Q48" s="45" t="s">
        <v>128</v>
      </c>
      <c r="R48" s="45" t="s">
        <v>128</v>
      </c>
      <c r="S48" s="45" t="s">
        <v>128</v>
      </c>
      <c r="T48" s="45" t="s">
        <v>128</v>
      </c>
      <c r="U48" s="45" t="s">
        <v>128</v>
      </c>
      <c r="V48" s="45" t="s">
        <v>128</v>
      </c>
      <c r="W48" s="45" t="s">
        <v>128</v>
      </c>
      <c r="X48" s="45" t="s">
        <v>128</v>
      </c>
      <c r="Y48" s="45" t="s">
        <v>128</v>
      </c>
      <c r="Z48" s="45" t="s">
        <v>128</v>
      </c>
      <c r="AA48" s="45" t="s">
        <v>128</v>
      </c>
      <c r="AB48" s="45" t="s">
        <v>128</v>
      </c>
      <c r="AC48" s="107" t="s">
        <v>128</v>
      </c>
      <c r="AD48" s="107" t="s">
        <v>128</v>
      </c>
      <c r="AE48" s="107" t="s">
        <v>128</v>
      </c>
      <c r="AF48" s="107" t="s">
        <v>128</v>
      </c>
      <c r="AG48" s="107" t="s">
        <v>128</v>
      </c>
      <c r="AH48" s="107" t="s">
        <v>128</v>
      </c>
      <c r="AI48" s="228"/>
      <c r="AJ48" s="228"/>
      <c r="AK48" s="228"/>
      <c r="AL48" s="228"/>
      <c r="AM48" s="228"/>
      <c r="AN48" s="228"/>
      <c r="AO48" s="228"/>
      <c r="AP48" s="228"/>
    </row>
    <row r="49" spans="1:42" s="48" customFormat="1" x14ac:dyDescent="0.2">
      <c r="A49" s="22"/>
      <c r="B49" s="22"/>
      <c r="C49" s="22"/>
      <c r="D49" s="22"/>
      <c r="E49" s="22"/>
      <c r="F49" s="22"/>
      <c r="G49" s="22"/>
      <c r="H49" s="22"/>
      <c r="I49" s="22"/>
      <c r="J49" s="36"/>
      <c r="K49" s="19">
        <v>0</v>
      </c>
      <c r="L49" s="198" t="s">
        <v>128</v>
      </c>
      <c r="M49" s="198" t="s">
        <v>128</v>
      </c>
      <c r="N49" s="197" t="s">
        <v>128</v>
      </c>
      <c r="O49" s="195">
        <v>1</v>
      </c>
      <c r="P49" s="45" t="s">
        <v>128</v>
      </c>
      <c r="Q49" s="45" t="s">
        <v>128</v>
      </c>
      <c r="R49" s="45" t="s">
        <v>128</v>
      </c>
      <c r="S49" s="45" t="s">
        <v>128</v>
      </c>
      <c r="T49" s="45" t="s">
        <v>128</v>
      </c>
      <c r="U49" s="45" t="s">
        <v>128</v>
      </c>
      <c r="V49" s="45" t="s">
        <v>128</v>
      </c>
      <c r="W49" s="45" t="s">
        <v>128</v>
      </c>
      <c r="X49" s="45" t="s">
        <v>128</v>
      </c>
      <c r="Y49" s="45" t="s">
        <v>128</v>
      </c>
      <c r="Z49" s="45" t="s">
        <v>128</v>
      </c>
      <c r="AA49" s="45" t="s">
        <v>128</v>
      </c>
      <c r="AB49" s="45" t="s">
        <v>128</v>
      </c>
      <c r="AC49" s="107" t="s">
        <v>128</v>
      </c>
      <c r="AD49" s="107" t="s">
        <v>128</v>
      </c>
      <c r="AE49" s="107" t="s">
        <v>128</v>
      </c>
      <c r="AF49" s="107" t="s">
        <v>128</v>
      </c>
      <c r="AG49" s="107" t="s">
        <v>128</v>
      </c>
      <c r="AH49" s="107" t="s">
        <v>128</v>
      </c>
      <c r="AI49" s="228"/>
      <c r="AJ49" s="228"/>
      <c r="AK49" s="228"/>
      <c r="AL49" s="228"/>
      <c r="AM49" s="228"/>
      <c r="AN49" s="228"/>
      <c r="AO49" s="228"/>
      <c r="AP49" s="228"/>
    </row>
    <row r="50" spans="1:42" s="48" customFormat="1" x14ac:dyDescent="0.2">
      <c r="A50" s="209"/>
      <c r="B50" s="8"/>
      <c r="C50" s="8"/>
      <c r="D50" s="8"/>
      <c r="E50" s="8"/>
      <c r="F50" s="8"/>
      <c r="G50" s="8"/>
      <c r="H50" s="8"/>
      <c r="I50" s="8"/>
      <c r="J50" s="37"/>
      <c r="K50" s="19">
        <v>0</v>
      </c>
      <c r="L50" s="198" t="s">
        <v>128</v>
      </c>
      <c r="M50" s="198" t="s">
        <v>128</v>
      </c>
      <c r="N50" s="197" t="s">
        <v>128</v>
      </c>
      <c r="O50" s="195">
        <v>1</v>
      </c>
      <c r="P50" s="45" t="s">
        <v>128</v>
      </c>
      <c r="Q50" s="45" t="s">
        <v>128</v>
      </c>
      <c r="R50" s="45" t="s">
        <v>128</v>
      </c>
      <c r="S50" s="45" t="s">
        <v>128</v>
      </c>
      <c r="T50" s="45" t="s">
        <v>128</v>
      </c>
      <c r="U50" s="45" t="s">
        <v>128</v>
      </c>
      <c r="V50" s="45" t="s">
        <v>128</v>
      </c>
      <c r="W50" s="45" t="s">
        <v>128</v>
      </c>
      <c r="X50" s="45" t="s">
        <v>128</v>
      </c>
      <c r="Y50" s="45" t="s">
        <v>128</v>
      </c>
      <c r="Z50" s="45" t="s">
        <v>128</v>
      </c>
      <c r="AA50" s="45" t="s">
        <v>128</v>
      </c>
      <c r="AB50" s="45" t="s">
        <v>128</v>
      </c>
      <c r="AC50" s="107" t="s">
        <v>128</v>
      </c>
      <c r="AD50" s="107" t="s">
        <v>128</v>
      </c>
      <c r="AE50" s="107" t="s">
        <v>128</v>
      </c>
      <c r="AF50" s="107" t="s">
        <v>128</v>
      </c>
      <c r="AG50" s="107" t="s">
        <v>128</v>
      </c>
      <c r="AH50" s="107" t="s">
        <v>128</v>
      </c>
      <c r="AI50" s="228"/>
      <c r="AJ50" s="228"/>
      <c r="AK50" s="228"/>
      <c r="AL50" s="228"/>
      <c r="AM50" s="228"/>
      <c r="AN50" s="228"/>
      <c r="AO50" s="228"/>
      <c r="AP50" s="228"/>
    </row>
    <row r="51" spans="1:42" s="48" customFormat="1" x14ac:dyDescent="0.2">
      <c r="A51" s="22"/>
      <c r="B51" s="22"/>
      <c r="C51" s="22"/>
      <c r="D51" s="22"/>
      <c r="E51" s="22"/>
      <c r="F51" s="22"/>
      <c r="G51" s="22"/>
      <c r="H51" s="22"/>
      <c r="I51" s="22"/>
      <c r="J51" s="36"/>
      <c r="K51" s="19">
        <v>0</v>
      </c>
      <c r="L51" s="198" t="s">
        <v>128</v>
      </c>
      <c r="M51" s="198" t="s">
        <v>128</v>
      </c>
      <c r="N51" s="197" t="s">
        <v>128</v>
      </c>
      <c r="O51" s="195">
        <v>1</v>
      </c>
      <c r="P51" s="45" t="s">
        <v>128</v>
      </c>
      <c r="Q51" s="45" t="s">
        <v>128</v>
      </c>
      <c r="R51" s="45" t="s">
        <v>128</v>
      </c>
      <c r="S51" s="45" t="s">
        <v>128</v>
      </c>
      <c r="T51" s="45" t="s">
        <v>128</v>
      </c>
      <c r="U51" s="45" t="s">
        <v>128</v>
      </c>
      <c r="V51" s="45" t="s">
        <v>128</v>
      </c>
      <c r="W51" s="45" t="s">
        <v>128</v>
      </c>
      <c r="X51" s="45" t="s">
        <v>128</v>
      </c>
      <c r="Y51" s="45" t="s">
        <v>128</v>
      </c>
      <c r="Z51" s="45" t="s">
        <v>128</v>
      </c>
      <c r="AA51" s="45" t="s">
        <v>128</v>
      </c>
      <c r="AB51" s="45" t="s">
        <v>128</v>
      </c>
      <c r="AC51" s="107" t="s">
        <v>128</v>
      </c>
      <c r="AD51" s="107" t="s">
        <v>128</v>
      </c>
      <c r="AE51" s="107" t="s">
        <v>128</v>
      </c>
      <c r="AF51" s="107" t="s">
        <v>128</v>
      </c>
      <c r="AG51" s="107" t="s">
        <v>128</v>
      </c>
      <c r="AH51" s="107" t="s">
        <v>128</v>
      </c>
      <c r="AI51" s="228"/>
      <c r="AJ51" s="228"/>
      <c r="AK51" s="228"/>
      <c r="AL51" s="228"/>
      <c r="AM51" s="228"/>
      <c r="AN51" s="228"/>
      <c r="AO51" s="228"/>
      <c r="AP51" s="228"/>
    </row>
    <row r="52" spans="1:42" s="48" customFormat="1" x14ac:dyDescent="0.2">
      <c r="A52" s="209"/>
      <c r="B52" s="8"/>
      <c r="C52" s="8"/>
      <c r="D52" s="8"/>
      <c r="E52" s="8"/>
      <c r="F52" s="8"/>
      <c r="G52" s="8"/>
      <c r="H52" s="8"/>
      <c r="I52" s="8"/>
      <c r="J52" s="37"/>
      <c r="K52" s="19">
        <v>0</v>
      </c>
      <c r="L52" s="198" t="s">
        <v>128</v>
      </c>
      <c r="M52" s="198" t="s">
        <v>128</v>
      </c>
      <c r="N52" s="197" t="s">
        <v>128</v>
      </c>
      <c r="O52" s="195">
        <v>1</v>
      </c>
      <c r="P52" s="45" t="s">
        <v>128</v>
      </c>
      <c r="Q52" s="45" t="s">
        <v>128</v>
      </c>
      <c r="R52" s="45" t="s">
        <v>128</v>
      </c>
      <c r="S52" s="45" t="s">
        <v>128</v>
      </c>
      <c r="T52" s="45" t="s">
        <v>128</v>
      </c>
      <c r="U52" s="45" t="s">
        <v>128</v>
      </c>
      <c r="V52" s="45" t="s">
        <v>128</v>
      </c>
      <c r="W52" s="45" t="s">
        <v>128</v>
      </c>
      <c r="X52" s="45" t="s">
        <v>128</v>
      </c>
      <c r="Y52" s="45" t="s">
        <v>128</v>
      </c>
      <c r="Z52" s="45" t="s">
        <v>128</v>
      </c>
      <c r="AA52" s="45" t="s">
        <v>128</v>
      </c>
      <c r="AB52" s="45" t="s">
        <v>128</v>
      </c>
      <c r="AC52" s="107" t="s">
        <v>128</v>
      </c>
      <c r="AD52" s="107" t="s">
        <v>128</v>
      </c>
      <c r="AE52" s="107" t="s">
        <v>128</v>
      </c>
      <c r="AF52" s="107" t="s">
        <v>128</v>
      </c>
      <c r="AG52" s="107" t="s">
        <v>128</v>
      </c>
      <c r="AH52" s="107" t="s">
        <v>128</v>
      </c>
      <c r="AI52" s="228"/>
      <c r="AJ52" s="228"/>
      <c r="AK52" s="228"/>
      <c r="AL52" s="228"/>
      <c r="AM52" s="228"/>
      <c r="AN52" s="228"/>
      <c r="AO52" s="228"/>
      <c r="AP52" s="228"/>
    </row>
    <row r="53" spans="1:42" s="48" customFormat="1" x14ac:dyDescent="0.2">
      <c r="A53" s="22"/>
      <c r="B53" s="22"/>
      <c r="C53" s="22"/>
      <c r="D53" s="22"/>
      <c r="E53" s="22"/>
      <c r="F53" s="22"/>
      <c r="G53" s="22"/>
      <c r="H53" s="22"/>
      <c r="I53" s="22"/>
      <c r="J53" s="36"/>
      <c r="K53" s="19">
        <v>0</v>
      </c>
      <c r="L53" s="198" t="s">
        <v>128</v>
      </c>
      <c r="M53" s="198" t="s">
        <v>128</v>
      </c>
      <c r="N53" s="197" t="s">
        <v>128</v>
      </c>
      <c r="O53" s="195">
        <v>1</v>
      </c>
      <c r="P53" s="45" t="s">
        <v>128</v>
      </c>
      <c r="Q53" s="45" t="s">
        <v>128</v>
      </c>
      <c r="R53" s="45" t="s">
        <v>128</v>
      </c>
      <c r="S53" s="45" t="s">
        <v>128</v>
      </c>
      <c r="T53" s="45" t="s">
        <v>128</v>
      </c>
      <c r="U53" s="45" t="s">
        <v>128</v>
      </c>
      <c r="V53" s="45" t="s">
        <v>128</v>
      </c>
      <c r="W53" s="45" t="s">
        <v>128</v>
      </c>
      <c r="X53" s="45" t="s">
        <v>128</v>
      </c>
      <c r="Y53" s="45" t="s">
        <v>128</v>
      </c>
      <c r="Z53" s="45" t="s">
        <v>128</v>
      </c>
      <c r="AA53" s="45" t="s">
        <v>128</v>
      </c>
      <c r="AB53" s="45" t="s">
        <v>128</v>
      </c>
      <c r="AC53" s="107" t="s">
        <v>128</v>
      </c>
      <c r="AD53" s="107" t="s">
        <v>128</v>
      </c>
      <c r="AE53" s="107" t="s">
        <v>128</v>
      </c>
      <c r="AF53" s="107" t="s">
        <v>128</v>
      </c>
      <c r="AG53" s="107" t="s">
        <v>128</v>
      </c>
      <c r="AH53" s="107" t="s">
        <v>128</v>
      </c>
      <c r="AI53" s="228"/>
      <c r="AJ53" s="228"/>
      <c r="AK53" s="228"/>
      <c r="AL53" s="228"/>
      <c r="AM53" s="228"/>
      <c r="AN53" s="228"/>
      <c r="AO53" s="228"/>
      <c r="AP53" s="228"/>
    </row>
    <row r="54" spans="1:42" s="48" customFormat="1" x14ac:dyDescent="0.2">
      <c r="A54" s="209"/>
      <c r="B54" s="8"/>
      <c r="C54" s="8"/>
      <c r="D54" s="8"/>
      <c r="E54" s="8"/>
      <c r="F54" s="8"/>
      <c r="G54" s="8"/>
      <c r="H54" s="8"/>
      <c r="I54" s="8"/>
      <c r="J54" s="37"/>
      <c r="K54" s="19">
        <v>0</v>
      </c>
      <c r="L54" s="198" t="s">
        <v>128</v>
      </c>
      <c r="M54" s="198" t="s">
        <v>128</v>
      </c>
      <c r="N54" s="197" t="s">
        <v>128</v>
      </c>
      <c r="O54" s="195">
        <v>1</v>
      </c>
      <c r="P54" s="45" t="s">
        <v>128</v>
      </c>
      <c r="Q54" s="45" t="s">
        <v>128</v>
      </c>
      <c r="R54" s="45" t="s">
        <v>128</v>
      </c>
      <c r="S54" s="45" t="s">
        <v>128</v>
      </c>
      <c r="T54" s="45" t="s">
        <v>128</v>
      </c>
      <c r="U54" s="45" t="s">
        <v>128</v>
      </c>
      <c r="V54" s="45" t="s">
        <v>128</v>
      </c>
      <c r="W54" s="45" t="s">
        <v>128</v>
      </c>
      <c r="X54" s="45" t="s">
        <v>128</v>
      </c>
      <c r="Y54" s="45" t="s">
        <v>128</v>
      </c>
      <c r="Z54" s="45" t="s">
        <v>128</v>
      </c>
      <c r="AA54" s="45" t="s">
        <v>128</v>
      </c>
      <c r="AB54" s="45" t="s">
        <v>128</v>
      </c>
      <c r="AC54" s="107" t="s">
        <v>128</v>
      </c>
      <c r="AD54" s="107" t="s">
        <v>128</v>
      </c>
      <c r="AE54" s="107" t="s">
        <v>128</v>
      </c>
      <c r="AF54" s="107" t="s">
        <v>128</v>
      </c>
      <c r="AG54" s="107" t="s">
        <v>128</v>
      </c>
      <c r="AH54" s="107" t="s">
        <v>128</v>
      </c>
      <c r="AI54" s="228"/>
      <c r="AJ54" s="228"/>
      <c r="AK54" s="228"/>
      <c r="AL54" s="228"/>
      <c r="AM54" s="228"/>
      <c r="AN54" s="228"/>
      <c r="AO54" s="228"/>
      <c r="AP54" s="228"/>
    </row>
    <row r="55" spans="1:42" s="48" customFormat="1" x14ac:dyDescent="0.2">
      <c r="A55" s="22"/>
      <c r="B55" s="22"/>
      <c r="C55" s="22"/>
      <c r="D55" s="22"/>
      <c r="E55" s="22"/>
      <c r="F55" s="22"/>
      <c r="G55" s="22"/>
      <c r="H55" s="22"/>
      <c r="I55" s="22"/>
      <c r="J55" s="36"/>
      <c r="K55" s="19">
        <v>0</v>
      </c>
      <c r="L55" s="198" t="s">
        <v>128</v>
      </c>
      <c r="M55" s="198" t="s">
        <v>128</v>
      </c>
      <c r="N55" s="197" t="s">
        <v>128</v>
      </c>
      <c r="O55" s="195">
        <v>1</v>
      </c>
      <c r="P55" s="45" t="s">
        <v>128</v>
      </c>
      <c r="Q55" s="45" t="s">
        <v>128</v>
      </c>
      <c r="R55" s="45" t="s">
        <v>128</v>
      </c>
      <c r="S55" s="45" t="s">
        <v>128</v>
      </c>
      <c r="T55" s="45" t="s">
        <v>128</v>
      </c>
      <c r="U55" s="45" t="s">
        <v>128</v>
      </c>
      <c r="V55" s="45" t="s">
        <v>128</v>
      </c>
      <c r="W55" s="45" t="s">
        <v>128</v>
      </c>
      <c r="X55" s="45" t="s">
        <v>128</v>
      </c>
      <c r="Y55" s="45" t="s">
        <v>128</v>
      </c>
      <c r="Z55" s="45" t="s">
        <v>128</v>
      </c>
      <c r="AA55" s="45" t="s">
        <v>128</v>
      </c>
      <c r="AB55" s="45" t="s">
        <v>128</v>
      </c>
      <c r="AC55" s="107" t="s">
        <v>128</v>
      </c>
      <c r="AD55" s="107" t="s">
        <v>128</v>
      </c>
      <c r="AE55" s="107" t="s">
        <v>128</v>
      </c>
      <c r="AF55" s="107" t="s">
        <v>128</v>
      </c>
      <c r="AG55" s="107" t="s">
        <v>128</v>
      </c>
      <c r="AH55" s="107" t="s">
        <v>128</v>
      </c>
      <c r="AI55" s="228"/>
      <c r="AJ55" s="228"/>
      <c r="AK55" s="228"/>
      <c r="AL55" s="228"/>
      <c r="AM55" s="228"/>
      <c r="AN55" s="228"/>
      <c r="AO55" s="228"/>
      <c r="AP55" s="228"/>
    </row>
    <row r="56" spans="1:42" s="48" customFormat="1" x14ac:dyDescent="0.2">
      <c r="A56" s="209"/>
      <c r="B56" s="8"/>
      <c r="C56" s="8"/>
      <c r="D56" s="8"/>
      <c r="E56" s="8"/>
      <c r="F56" s="8"/>
      <c r="G56" s="8"/>
      <c r="H56" s="8"/>
      <c r="I56" s="8"/>
      <c r="J56" s="37"/>
      <c r="K56" s="19">
        <v>0</v>
      </c>
      <c r="L56" s="198" t="s">
        <v>128</v>
      </c>
      <c r="M56" s="198" t="s">
        <v>128</v>
      </c>
      <c r="N56" s="197" t="s">
        <v>128</v>
      </c>
      <c r="O56" s="195">
        <v>1</v>
      </c>
      <c r="P56" s="45" t="s">
        <v>128</v>
      </c>
      <c r="Q56" s="45" t="s">
        <v>128</v>
      </c>
      <c r="R56" s="45" t="s">
        <v>128</v>
      </c>
      <c r="S56" s="45" t="s">
        <v>128</v>
      </c>
      <c r="T56" s="45" t="s">
        <v>128</v>
      </c>
      <c r="U56" s="45" t="s">
        <v>128</v>
      </c>
      <c r="V56" s="45" t="s">
        <v>128</v>
      </c>
      <c r="W56" s="45" t="s">
        <v>128</v>
      </c>
      <c r="X56" s="45" t="s">
        <v>128</v>
      </c>
      <c r="Y56" s="45" t="s">
        <v>128</v>
      </c>
      <c r="Z56" s="45" t="s">
        <v>128</v>
      </c>
      <c r="AA56" s="45" t="s">
        <v>128</v>
      </c>
      <c r="AB56" s="45" t="s">
        <v>128</v>
      </c>
      <c r="AC56" s="107" t="s">
        <v>128</v>
      </c>
      <c r="AD56" s="107" t="s">
        <v>128</v>
      </c>
      <c r="AE56" s="107" t="s">
        <v>128</v>
      </c>
      <c r="AF56" s="107" t="s">
        <v>128</v>
      </c>
      <c r="AG56" s="107" t="s">
        <v>128</v>
      </c>
      <c r="AH56" s="107" t="s">
        <v>128</v>
      </c>
      <c r="AI56" s="228"/>
      <c r="AJ56" s="228"/>
      <c r="AK56" s="228"/>
      <c r="AL56" s="228"/>
      <c r="AM56" s="228"/>
      <c r="AN56" s="228"/>
      <c r="AO56" s="228"/>
      <c r="AP56" s="228"/>
    </row>
    <row r="57" spans="1:42" s="48" customFormat="1" x14ac:dyDescent="0.2">
      <c r="A57" s="22"/>
      <c r="B57" s="22"/>
      <c r="C57" s="22"/>
      <c r="D57" s="22"/>
      <c r="E57" s="22"/>
      <c r="F57" s="22"/>
      <c r="G57" s="22"/>
      <c r="H57" s="22"/>
      <c r="I57" s="22"/>
      <c r="J57" s="36"/>
      <c r="K57" s="19">
        <v>0</v>
      </c>
      <c r="L57" s="198" t="s">
        <v>128</v>
      </c>
      <c r="M57" s="198" t="s">
        <v>128</v>
      </c>
      <c r="N57" s="197" t="s">
        <v>128</v>
      </c>
      <c r="O57" s="195">
        <v>1</v>
      </c>
      <c r="P57" s="45" t="s">
        <v>128</v>
      </c>
      <c r="Q57" s="45" t="s">
        <v>128</v>
      </c>
      <c r="R57" s="45" t="s">
        <v>128</v>
      </c>
      <c r="S57" s="45" t="s">
        <v>128</v>
      </c>
      <c r="T57" s="45" t="s">
        <v>128</v>
      </c>
      <c r="U57" s="45" t="s">
        <v>128</v>
      </c>
      <c r="V57" s="45" t="s">
        <v>128</v>
      </c>
      <c r="W57" s="45" t="s">
        <v>128</v>
      </c>
      <c r="X57" s="45" t="s">
        <v>128</v>
      </c>
      <c r="Y57" s="45" t="s">
        <v>128</v>
      </c>
      <c r="Z57" s="45" t="s">
        <v>128</v>
      </c>
      <c r="AA57" s="45" t="s">
        <v>128</v>
      </c>
      <c r="AB57" s="45" t="s">
        <v>128</v>
      </c>
      <c r="AC57" s="107" t="s">
        <v>128</v>
      </c>
      <c r="AD57" s="107" t="s">
        <v>128</v>
      </c>
      <c r="AE57" s="107" t="s">
        <v>128</v>
      </c>
      <c r="AF57" s="107" t="s">
        <v>128</v>
      </c>
      <c r="AG57" s="107" t="s">
        <v>128</v>
      </c>
      <c r="AH57" s="107" t="s">
        <v>128</v>
      </c>
      <c r="AI57" s="228"/>
      <c r="AJ57" s="228"/>
      <c r="AK57" s="228"/>
      <c r="AL57" s="228"/>
      <c r="AM57" s="228"/>
      <c r="AN57" s="228"/>
      <c r="AO57" s="228"/>
      <c r="AP57" s="228"/>
    </row>
    <row r="58" spans="1:42" s="48" customFormat="1" x14ac:dyDescent="0.2">
      <c r="A58" s="209"/>
      <c r="B58" s="8"/>
      <c r="C58" s="8"/>
      <c r="D58" s="8"/>
      <c r="E58" s="8"/>
      <c r="F58" s="8"/>
      <c r="G58" s="8"/>
      <c r="H58" s="8"/>
      <c r="I58" s="8"/>
      <c r="J58" s="37"/>
      <c r="K58" s="19">
        <v>0</v>
      </c>
      <c r="L58" s="198" t="s">
        <v>128</v>
      </c>
      <c r="M58" s="198" t="s">
        <v>128</v>
      </c>
      <c r="N58" s="197" t="s">
        <v>128</v>
      </c>
      <c r="O58" s="195">
        <v>1</v>
      </c>
      <c r="P58" s="45" t="s">
        <v>128</v>
      </c>
      <c r="Q58" s="45" t="s">
        <v>128</v>
      </c>
      <c r="R58" s="45" t="s">
        <v>128</v>
      </c>
      <c r="S58" s="45" t="s">
        <v>128</v>
      </c>
      <c r="T58" s="45" t="s">
        <v>128</v>
      </c>
      <c r="U58" s="45" t="s">
        <v>128</v>
      </c>
      <c r="V58" s="45" t="s">
        <v>128</v>
      </c>
      <c r="W58" s="45" t="s">
        <v>128</v>
      </c>
      <c r="X58" s="45" t="s">
        <v>128</v>
      </c>
      <c r="Y58" s="45" t="s">
        <v>128</v>
      </c>
      <c r="Z58" s="45" t="s">
        <v>128</v>
      </c>
      <c r="AA58" s="45" t="s">
        <v>128</v>
      </c>
      <c r="AB58" s="45" t="s">
        <v>128</v>
      </c>
      <c r="AC58" s="107" t="s">
        <v>128</v>
      </c>
      <c r="AD58" s="107" t="s">
        <v>128</v>
      </c>
      <c r="AE58" s="107" t="s">
        <v>128</v>
      </c>
      <c r="AF58" s="107" t="s">
        <v>128</v>
      </c>
      <c r="AG58" s="107" t="s">
        <v>128</v>
      </c>
      <c r="AH58" s="107" t="s">
        <v>128</v>
      </c>
      <c r="AI58" s="228"/>
      <c r="AJ58" s="228"/>
      <c r="AK58" s="228"/>
      <c r="AL58" s="228"/>
      <c r="AM58" s="228"/>
      <c r="AN58" s="228"/>
      <c r="AO58" s="228"/>
      <c r="AP58" s="228"/>
    </row>
    <row r="59" spans="1:42" s="48" customFormat="1" x14ac:dyDescent="0.2">
      <c r="A59" s="22"/>
      <c r="B59" s="22"/>
      <c r="C59" s="22"/>
      <c r="D59" s="22"/>
      <c r="E59" s="22"/>
      <c r="F59" s="22"/>
      <c r="G59" s="22"/>
      <c r="H59" s="22"/>
      <c r="I59" s="22"/>
      <c r="J59" s="36"/>
      <c r="K59" s="19">
        <v>0</v>
      </c>
      <c r="L59" s="198" t="s">
        <v>128</v>
      </c>
      <c r="M59" s="198" t="s">
        <v>128</v>
      </c>
      <c r="N59" s="197" t="s">
        <v>128</v>
      </c>
      <c r="O59" s="195">
        <v>1</v>
      </c>
      <c r="P59" s="45" t="s">
        <v>128</v>
      </c>
      <c r="Q59" s="45" t="s">
        <v>128</v>
      </c>
      <c r="R59" s="45" t="s">
        <v>128</v>
      </c>
      <c r="S59" s="45" t="s">
        <v>128</v>
      </c>
      <c r="T59" s="45" t="s">
        <v>128</v>
      </c>
      <c r="U59" s="45" t="s">
        <v>128</v>
      </c>
      <c r="V59" s="45" t="s">
        <v>128</v>
      </c>
      <c r="W59" s="45" t="s">
        <v>128</v>
      </c>
      <c r="X59" s="45" t="s">
        <v>128</v>
      </c>
      <c r="Y59" s="45" t="s">
        <v>128</v>
      </c>
      <c r="Z59" s="45" t="s">
        <v>128</v>
      </c>
      <c r="AA59" s="45" t="s">
        <v>128</v>
      </c>
      <c r="AB59" s="45" t="s">
        <v>128</v>
      </c>
      <c r="AC59" s="107" t="s">
        <v>128</v>
      </c>
      <c r="AD59" s="107" t="s">
        <v>128</v>
      </c>
      <c r="AE59" s="107" t="s">
        <v>128</v>
      </c>
      <c r="AF59" s="107" t="s">
        <v>128</v>
      </c>
      <c r="AG59" s="107" t="s">
        <v>128</v>
      </c>
      <c r="AH59" s="107" t="s">
        <v>128</v>
      </c>
      <c r="AI59" s="228"/>
      <c r="AJ59" s="228"/>
      <c r="AK59" s="228"/>
      <c r="AL59" s="228"/>
      <c r="AM59" s="228"/>
      <c r="AN59" s="228"/>
      <c r="AO59" s="228"/>
      <c r="AP59" s="228"/>
    </row>
    <row r="60" spans="1:42" s="48" customFormat="1" x14ac:dyDescent="0.2">
      <c r="A60" s="209"/>
      <c r="B60" s="8"/>
      <c r="C60" s="8"/>
      <c r="D60" s="8"/>
      <c r="E60" s="8"/>
      <c r="F60" s="8"/>
      <c r="G60" s="8"/>
      <c r="H60" s="8"/>
      <c r="I60" s="8"/>
      <c r="J60" s="37"/>
      <c r="K60" s="19">
        <v>0</v>
      </c>
      <c r="L60" s="198" t="s">
        <v>128</v>
      </c>
      <c r="M60" s="198" t="s">
        <v>128</v>
      </c>
      <c r="N60" s="197" t="s">
        <v>128</v>
      </c>
      <c r="O60" s="195">
        <v>1</v>
      </c>
      <c r="P60" s="45" t="s">
        <v>128</v>
      </c>
      <c r="Q60" s="45" t="s">
        <v>128</v>
      </c>
      <c r="R60" s="45" t="s">
        <v>128</v>
      </c>
      <c r="S60" s="45" t="s">
        <v>128</v>
      </c>
      <c r="T60" s="45" t="s">
        <v>128</v>
      </c>
      <c r="U60" s="45" t="s">
        <v>128</v>
      </c>
      <c r="V60" s="45" t="s">
        <v>128</v>
      </c>
      <c r="W60" s="45" t="s">
        <v>128</v>
      </c>
      <c r="X60" s="45" t="s">
        <v>128</v>
      </c>
      <c r="Y60" s="45" t="s">
        <v>128</v>
      </c>
      <c r="Z60" s="45" t="s">
        <v>128</v>
      </c>
      <c r="AA60" s="45" t="s">
        <v>128</v>
      </c>
      <c r="AB60" s="45" t="s">
        <v>128</v>
      </c>
      <c r="AC60" s="107" t="s">
        <v>128</v>
      </c>
      <c r="AD60" s="107" t="s">
        <v>128</v>
      </c>
      <c r="AE60" s="107" t="s">
        <v>128</v>
      </c>
      <c r="AF60" s="107" t="s">
        <v>128</v>
      </c>
      <c r="AG60" s="107" t="s">
        <v>128</v>
      </c>
      <c r="AH60" s="107" t="s">
        <v>128</v>
      </c>
      <c r="AI60" s="228"/>
      <c r="AJ60" s="228"/>
      <c r="AK60" s="228"/>
      <c r="AL60" s="228"/>
      <c r="AM60" s="228"/>
      <c r="AN60" s="228"/>
      <c r="AO60" s="228"/>
      <c r="AP60" s="228"/>
    </row>
    <row r="61" spans="1:42" s="48" customFormat="1" x14ac:dyDescent="0.2">
      <c r="A61" s="22"/>
      <c r="B61" s="22"/>
      <c r="C61" s="22"/>
      <c r="D61" s="22"/>
      <c r="E61" s="22"/>
      <c r="F61" s="22"/>
      <c r="G61" s="22"/>
      <c r="H61" s="22"/>
      <c r="I61" s="22"/>
      <c r="J61" s="36"/>
      <c r="K61" s="19">
        <v>0</v>
      </c>
      <c r="L61" s="198" t="s">
        <v>128</v>
      </c>
      <c r="M61" s="198" t="s">
        <v>128</v>
      </c>
      <c r="N61" s="197" t="s">
        <v>128</v>
      </c>
      <c r="O61" s="195">
        <v>1</v>
      </c>
      <c r="P61" s="45" t="s">
        <v>128</v>
      </c>
      <c r="Q61" s="45" t="s">
        <v>128</v>
      </c>
      <c r="R61" s="45" t="s">
        <v>128</v>
      </c>
      <c r="S61" s="45" t="s">
        <v>128</v>
      </c>
      <c r="T61" s="45" t="s">
        <v>128</v>
      </c>
      <c r="U61" s="45" t="s">
        <v>128</v>
      </c>
      <c r="V61" s="45" t="s">
        <v>128</v>
      </c>
      <c r="W61" s="45" t="s">
        <v>128</v>
      </c>
      <c r="X61" s="45" t="s">
        <v>128</v>
      </c>
      <c r="Y61" s="45" t="s">
        <v>128</v>
      </c>
      <c r="Z61" s="45" t="s">
        <v>128</v>
      </c>
      <c r="AA61" s="45" t="s">
        <v>128</v>
      </c>
      <c r="AB61" s="45" t="s">
        <v>128</v>
      </c>
      <c r="AC61" s="107" t="s">
        <v>128</v>
      </c>
      <c r="AD61" s="107" t="s">
        <v>128</v>
      </c>
      <c r="AE61" s="107" t="s">
        <v>128</v>
      </c>
      <c r="AF61" s="107" t="s">
        <v>128</v>
      </c>
      <c r="AG61" s="107" t="s">
        <v>128</v>
      </c>
      <c r="AH61" s="107" t="s">
        <v>128</v>
      </c>
      <c r="AI61" s="228"/>
      <c r="AJ61" s="228"/>
      <c r="AK61" s="228"/>
      <c r="AL61" s="228"/>
      <c r="AM61" s="228"/>
      <c r="AN61" s="228"/>
      <c r="AO61" s="228"/>
      <c r="AP61" s="228"/>
    </row>
    <row r="62" spans="1:42" x14ac:dyDescent="0.2">
      <c r="A62" s="209"/>
      <c r="C62" s="8"/>
      <c r="D62" s="8"/>
      <c r="E62" s="8"/>
      <c r="F62" s="8"/>
      <c r="G62" s="8"/>
      <c r="H62" s="8"/>
      <c r="I62" s="8"/>
      <c r="J62" s="37"/>
      <c r="K62" s="19"/>
      <c r="L62" s="33"/>
      <c r="M62" s="19"/>
      <c r="N62"/>
      <c r="O62"/>
      <c r="P62"/>
      <c r="Q62"/>
      <c r="R62"/>
      <c r="S62"/>
      <c r="T62"/>
      <c r="U62"/>
      <c r="V62"/>
      <c r="W62"/>
      <c r="X62"/>
      <c r="Y62"/>
      <c r="Z62"/>
      <c r="AA62"/>
      <c r="AB62"/>
      <c r="AC62"/>
    </row>
    <row r="63" spans="1:42" s="8" customFormat="1" x14ac:dyDescent="0.2">
      <c r="C63" s="366" t="s">
        <v>83</v>
      </c>
      <c r="D63" s="366"/>
      <c r="E63" s="43" t="s">
        <v>4</v>
      </c>
      <c r="F63" s="1"/>
      <c r="G63" s="1"/>
      <c r="H63" s="285" t="s">
        <v>741</v>
      </c>
      <c r="I63" s="30">
        <f>SUM(O2:O61)</f>
        <v>60</v>
      </c>
      <c r="J63" s="20">
        <f>SUM(J2:J61)</f>
        <v>0</v>
      </c>
      <c r="K63" s="24">
        <f>SUM(P63:AH63)</f>
        <v>1</v>
      </c>
      <c r="L63" s="1"/>
      <c r="M63" s="1"/>
      <c r="N63" s="21"/>
      <c r="P63" s="271">
        <v>0.03</v>
      </c>
      <c r="Q63" s="209"/>
      <c r="R63" s="271">
        <v>0.1</v>
      </c>
      <c r="S63" s="209"/>
      <c r="T63" s="436">
        <v>0.3</v>
      </c>
      <c r="U63" s="438"/>
      <c r="V63" s="438"/>
      <c r="W63" s="436">
        <v>0.3</v>
      </c>
      <c r="X63" s="438"/>
      <c r="Y63" s="438"/>
      <c r="Z63" s="436">
        <v>0.1</v>
      </c>
      <c r="AA63" s="438"/>
      <c r="AB63" s="438"/>
      <c r="AC63" s="436">
        <v>0.12</v>
      </c>
      <c r="AD63" s="438"/>
      <c r="AE63" s="438"/>
      <c r="AF63" s="436">
        <v>0.05</v>
      </c>
      <c r="AG63" s="438"/>
      <c r="AH63" s="438"/>
    </row>
    <row r="64" spans="1:42" x14ac:dyDescent="0.2">
      <c r="C64" s="23" t="s">
        <v>24</v>
      </c>
      <c r="D64" s="8">
        <f t="shared" ref="D64:D70" si="0">SUMIF($E$2:$E$61,C64,$O$2:$O$61)</f>
        <v>0</v>
      </c>
      <c r="E64" s="23" t="s">
        <v>29</v>
      </c>
      <c r="F64" s="8">
        <f>SUMIF($C$2:$C$61,E64,$O$2:$O$61)</f>
        <v>0</v>
      </c>
      <c r="M64" s="360" t="s">
        <v>406</v>
      </c>
      <c r="N64" s="360"/>
      <c r="O64" s="360"/>
    </row>
    <row r="65" spans="1:32" s="8" customFormat="1" x14ac:dyDescent="0.2">
      <c r="C65" s="23" t="s">
        <v>66</v>
      </c>
      <c r="D65" s="8">
        <f t="shared" si="0"/>
        <v>0</v>
      </c>
      <c r="E65" s="23" t="s">
        <v>22</v>
      </c>
      <c r="F65" s="8">
        <f t="shared" ref="F65:F66" si="1">SUMIF($C$2:$C$61,E65,$O$2:$O$61)</f>
        <v>0</v>
      </c>
      <c r="G65" s="1"/>
      <c r="H65" s="348" t="s">
        <v>75</v>
      </c>
      <c r="I65" s="348"/>
      <c r="J65" s="20">
        <f>SUMIF(K2:K61,K65,J2:J61)</f>
        <v>0</v>
      </c>
      <c r="K65" s="24">
        <v>1</v>
      </c>
      <c r="L65" s="1"/>
      <c r="M65" s="48"/>
      <c r="N65" s="43">
        <f>SUMIF($K$2:$K$61,K65,$O$2:$O$61)</f>
        <v>0</v>
      </c>
      <c r="O65" s="43"/>
      <c r="P65" s="1"/>
      <c r="Q65" s="1"/>
      <c r="R65" s="1"/>
      <c r="S65" s="1"/>
      <c r="T65" s="1"/>
      <c r="U65" s="1"/>
      <c r="V65" s="1"/>
      <c r="W65" s="1"/>
      <c r="X65" s="1"/>
      <c r="Y65" s="1"/>
      <c r="Z65" s="1"/>
      <c r="AA65" s="1"/>
      <c r="AB65" s="1"/>
      <c r="AC65" s="1"/>
      <c r="AD65" s="43"/>
      <c r="AE65" s="43"/>
      <c r="AF65" s="43"/>
    </row>
    <row r="66" spans="1:32" s="8" customFormat="1" x14ac:dyDescent="0.2">
      <c r="C66" s="1" t="s">
        <v>34</v>
      </c>
      <c r="D66" s="8">
        <f t="shared" si="0"/>
        <v>0</v>
      </c>
      <c r="E66" s="1" t="s">
        <v>735</v>
      </c>
      <c r="F66" s="8">
        <f t="shared" si="1"/>
        <v>0</v>
      </c>
      <c r="G66" s="1"/>
      <c r="H66" s="1" t="s">
        <v>76</v>
      </c>
      <c r="I66" s="39" t="s">
        <v>734</v>
      </c>
      <c r="J66" s="20">
        <f>SUMIF($L$2:$L$61,K66,$J$2:$J$61)</f>
        <v>0</v>
      </c>
      <c r="K66" s="25">
        <v>1</v>
      </c>
      <c r="L66" s="1"/>
      <c r="M66" s="1"/>
      <c r="N66" s="21"/>
      <c r="P66" s="1"/>
      <c r="Q66" s="1"/>
      <c r="R66" s="1"/>
      <c r="S66" s="1"/>
      <c r="T66" s="1"/>
      <c r="U66" s="1"/>
      <c r="V66" s="1"/>
      <c r="W66" s="1"/>
      <c r="X66" s="1"/>
      <c r="Y66" s="1"/>
      <c r="Z66" s="1"/>
      <c r="AA66" s="1"/>
      <c r="AB66" s="1"/>
      <c r="AC66" s="1"/>
      <c r="AD66" s="43"/>
      <c r="AE66" s="43"/>
      <c r="AF66" s="43"/>
    </row>
    <row r="67" spans="1:32" s="8" customFormat="1" x14ac:dyDescent="0.2">
      <c r="C67" s="23" t="s">
        <v>31</v>
      </c>
      <c r="D67" s="8">
        <f t="shared" si="0"/>
        <v>0</v>
      </c>
      <c r="E67" s="1"/>
      <c r="F67" s="1"/>
      <c r="G67" s="1"/>
      <c r="H67" s="1" t="s">
        <v>76</v>
      </c>
      <c r="I67" s="39" t="s">
        <v>742</v>
      </c>
      <c r="J67" s="20">
        <f>SUMIF($L$2:$L$61,K67,$J$2:$J$61)</f>
        <v>0</v>
      </c>
      <c r="K67" s="25">
        <v>2</v>
      </c>
      <c r="L67" s="1"/>
      <c r="M67" s="1"/>
      <c r="N67" s="21"/>
      <c r="P67" s="1"/>
      <c r="Q67" s="1"/>
      <c r="R67" s="1"/>
      <c r="S67" s="1"/>
      <c r="T67" s="1"/>
      <c r="U67" s="1"/>
      <c r="V67" s="1"/>
      <c r="W67" s="1"/>
      <c r="X67" s="1"/>
      <c r="Y67" s="1"/>
      <c r="Z67" s="1"/>
      <c r="AA67" s="1"/>
      <c r="AB67" s="1"/>
      <c r="AC67" s="1"/>
      <c r="AD67" s="43"/>
      <c r="AE67" s="43"/>
      <c r="AF67" s="43"/>
    </row>
    <row r="68" spans="1:32" s="8" customFormat="1" x14ac:dyDescent="0.2">
      <c r="C68" s="23" t="s">
        <v>85</v>
      </c>
      <c r="D68" s="8">
        <f t="shared" si="0"/>
        <v>0</v>
      </c>
      <c r="E68" s="1"/>
      <c r="F68" s="1"/>
      <c r="G68" s="1"/>
      <c r="H68" s="1" t="s">
        <v>76</v>
      </c>
      <c r="I68" s="39" t="s">
        <v>743</v>
      </c>
      <c r="J68" s="20">
        <f>SUMIF($L$2:$L$61,K68,$J$2:$J$61)</f>
        <v>0</v>
      </c>
      <c r="K68" s="25">
        <v>3</v>
      </c>
      <c r="L68" s="1"/>
      <c r="M68" s="1"/>
      <c r="N68" s="21"/>
      <c r="P68" s="1"/>
      <c r="Q68" s="1"/>
      <c r="R68" s="1"/>
      <c r="S68" s="1"/>
      <c r="T68" s="1"/>
      <c r="U68" s="1"/>
      <c r="V68" s="1"/>
      <c r="W68" s="1"/>
      <c r="X68" s="1"/>
      <c r="Y68" s="1"/>
      <c r="Z68" s="1"/>
      <c r="AA68" s="1"/>
      <c r="AB68" s="1"/>
      <c r="AC68" s="1"/>
      <c r="AD68" s="43"/>
      <c r="AE68" s="43"/>
      <c r="AF68" s="43"/>
    </row>
    <row r="69" spans="1:32" s="8" customFormat="1" x14ac:dyDescent="0.2">
      <c r="C69" s="23" t="s">
        <v>46</v>
      </c>
      <c r="D69" s="8">
        <f t="shared" si="0"/>
        <v>0</v>
      </c>
      <c r="E69" s="1"/>
      <c r="F69" s="1"/>
      <c r="G69" s="1"/>
      <c r="H69" s="1" t="s">
        <v>76</v>
      </c>
      <c r="I69" s="39" t="s">
        <v>744</v>
      </c>
      <c r="J69" s="20">
        <f>SUMIF($L$2:$L$61,K69,$J$2:$J$61)</f>
        <v>0</v>
      </c>
      <c r="K69" s="25">
        <v>4</v>
      </c>
      <c r="L69" s="1"/>
      <c r="M69" s="1"/>
      <c r="N69" s="21"/>
      <c r="P69" s="1"/>
      <c r="Q69" s="1"/>
      <c r="R69" s="1"/>
      <c r="S69" s="1"/>
      <c r="T69" s="1"/>
      <c r="U69" s="1"/>
      <c r="V69" s="1"/>
      <c r="W69" s="1"/>
      <c r="X69" s="1"/>
      <c r="Y69" s="1"/>
      <c r="Z69" s="1"/>
      <c r="AA69" s="1"/>
      <c r="AB69" s="1"/>
      <c r="AC69" s="1"/>
      <c r="AD69" s="43"/>
      <c r="AE69" s="43"/>
      <c r="AF69" s="43"/>
    </row>
    <row r="70" spans="1:32" x14ac:dyDescent="0.2">
      <c r="C70" s="23" t="s">
        <v>38</v>
      </c>
      <c r="D70" s="8">
        <f t="shared" si="0"/>
        <v>0</v>
      </c>
      <c r="H70" s="1" t="s">
        <v>76</v>
      </c>
      <c r="I70" s="39" t="s">
        <v>745</v>
      </c>
      <c r="J70" s="20">
        <f>SUMIF($L$2:$L$61,K70,$J$2:$J$61)</f>
        <v>0</v>
      </c>
      <c r="K70" s="25">
        <v>5</v>
      </c>
    </row>
    <row r="72" spans="1:32" x14ac:dyDescent="0.2">
      <c r="C72" s="23"/>
      <c r="D72" s="8"/>
    </row>
    <row r="73" spans="1:32" x14ac:dyDescent="0.2">
      <c r="L73" s="33"/>
    </row>
    <row r="74" spans="1:32" x14ac:dyDescent="0.2">
      <c r="C74" s="3" t="s">
        <v>157</v>
      </c>
      <c r="D74" s="8">
        <f>SUM(D64:D73)</f>
        <v>0</v>
      </c>
      <c r="E74" s="3" t="s">
        <v>157</v>
      </c>
      <c r="F74" s="8">
        <f>SUM(F64:F73)</f>
        <v>0</v>
      </c>
    </row>
    <row r="75" spans="1:32" s="57" customFormat="1" ht="29.25" customHeight="1" x14ac:dyDescent="0.2">
      <c r="A75" s="383" t="s">
        <v>158</v>
      </c>
      <c r="B75" s="383"/>
      <c r="C75" s="383"/>
      <c r="I75" s="58" t="s">
        <v>159</v>
      </c>
      <c r="J75" s="58" t="s">
        <v>160</v>
      </c>
      <c r="N75" s="59"/>
      <c r="O75" s="7"/>
      <c r="AD75" s="60"/>
      <c r="AE75" s="60"/>
      <c r="AF75" s="60"/>
    </row>
    <row r="76" spans="1:32" x14ac:dyDescent="0.2">
      <c r="A76" s="286">
        <v>44896</v>
      </c>
      <c r="B76" s="287" t="s">
        <v>163</v>
      </c>
      <c r="C76" s="353"/>
      <c r="D76" s="353"/>
      <c r="E76" s="353"/>
      <c r="F76" s="353"/>
      <c r="G76" s="353"/>
      <c r="H76" s="353"/>
      <c r="I76" s="51"/>
      <c r="J76" s="51"/>
    </row>
    <row r="77" spans="1:32" x14ac:dyDescent="0.2">
      <c r="A77" s="49">
        <f>+A76+1</f>
        <v>44897</v>
      </c>
      <c r="B77" s="50" t="s">
        <v>164</v>
      </c>
      <c r="C77" s="353"/>
      <c r="D77" s="353"/>
      <c r="E77" s="353"/>
      <c r="F77" s="353"/>
      <c r="G77" s="353"/>
      <c r="H77" s="353"/>
      <c r="I77" s="51"/>
      <c r="J77" s="51"/>
    </row>
    <row r="78" spans="1:32" x14ac:dyDescent="0.2">
      <c r="A78" s="49">
        <f t="shared" ref="A78:A106" si="2">+A77+1</f>
        <v>44898</v>
      </c>
      <c r="B78" s="50" t="s">
        <v>165</v>
      </c>
      <c r="C78" s="353"/>
      <c r="D78" s="353"/>
      <c r="E78" s="353"/>
      <c r="F78" s="353"/>
      <c r="G78" s="353"/>
      <c r="H78" s="353"/>
      <c r="I78" s="51"/>
      <c r="J78" s="51"/>
    </row>
    <row r="79" spans="1:32" x14ac:dyDescent="0.2">
      <c r="A79" s="49">
        <f t="shared" si="2"/>
        <v>44899</v>
      </c>
      <c r="B79" s="50" t="s">
        <v>166</v>
      </c>
      <c r="C79" s="353"/>
      <c r="D79" s="353"/>
      <c r="E79" s="353"/>
      <c r="F79" s="353"/>
      <c r="G79" s="353"/>
      <c r="H79" s="353"/>
      <c r="I79" s="51"/>
      <c r="J79" s="51"/>
    </row>
    <row r="80" spans="1:32" x14ac:dyDescent="0.2">
      <c r="A80" s="49">
        <f t="shared" si="2"/>
        <v>44900</v>
      </c>
      <c r="B80" s="50" t="s">
        <v>167</v>
      </c>
      <c r="C80" s="353"/>
      <c r="D80" s="353"/>
      <c r="E80" s="353"/>
      <c r="F80" s="353"/>
      <c r="G80" s="353"/>
      <c r="H80" s="353"/>
      <c r="I80" s="51"/>
      <c r="J80" s="51"/>
    </row>
    <row r="81" spans="1:10" x14ac:dyDescent="0.2">
      <c r="A81" s="49">
        <f t="shared" si="2"/>
        <v>44901</v>
      </c>
      <c r="B81" s="50" t="s">
        <v>161</v>
      </c>
      <c r="C81" s="353"/>
      <c r="D81" s="353"/>
      <c r="E81" s="353"/>
      <c r="F81" s="353"/>
      <c r="G81" s="353"/>
      <c r="H81" s="353"/>
      <c r="I81" s="51"/>
      <c r="J81" s="51"/>
    </row>
    <row r="82" spans="1:10" x14ac:dyDescent="0.2">
      <c r="A82" s="49">
        <f t="shared" si="2"/>
        <v>44902</v>
      </c>
      <c r="B82" s="50" t="s">
        <v>162</v>
      </c>
      <c r="C82" s="353"/>
      <c r="D82" s="353"/>
      <c r="E82" s="353"/>
      <c r="F82" s="353"/>
      <c r="G82" s="353"/>
      <c r="H82" s="353"/>
      <c r="I82" s="51"/>
      <c r="J82" s="51"/>
    </row>
    <row r="83" spans="1:10" x14ac:dyDescent="0.2">
      <c r="A83" s="61">
        <f t="shared" si="2"/>
        <v>44903</v>
      </c>
      <c r="B83" s="62" t="s">
        <v>163</v>
      </c>
      <c r="C83" s="429"/>
      <c r="D83" s="429"/>
      <c r="E83" s="429"/>
      <c r="F83" s="429"/>
      <c r="G83" s="429"/>
      <c r="H83" s="429"/>
      <c r="I83" s="63"/>
      <c r="J83" s="63"/>
    </row>
    <row r="84" spans="1:10" x14ac:dyDescent="0.2">
      <c r="A84" s="49">
        <f t="shared" si="2"/>
        <v>44904</v>
      </c>
      <c r="B84" s="50" t="s">
        <v>164</v>
      </c>
      <c r="C84" s="353"/>
      <c r="D84" s="353"/>
      <c r="E84" s="353"/>
      <c r="F84" s="353"/>
      <c r="G84" s="353"/>
      <c r="H84" s="353"/>
      <c r="I84" s="51"/>
      <c r="J84" s="51"/>
    </row>
    <row r="85" spans="1:10" x14ac:dyDescent="0.2">
      <c r="A85" s="49">
        <f t="shared" si="2"/>
        <v>44905</v>
      </c>
      <c r="B85" s="50" t="s">
        <v>165</v>
      </c>
      <c r="C85" s="353"/>
      <c r="D85" s="353"/>
      <c r="E85" s="353"/>
      <c r="F85" s="353"/>
      <c r="G85" s="353"/>
      <c r="H85" s="353"/>
      <c r="I85" s="51"/>
      <c r="J85" s="51"/>
    </row>
    <row r="86" spans="1:10" x14ac:dyDescent="0.2">
      <c r="A86" s="49">
        <f t="shared" si="2"/>
        <v>44906</v>
      </c>
      <c r="B86" s="50" t="s">
        <v>166</v>
      </c>
      <c r="C86" s="353"/>
      <c r="D86" s="353"/>
      <c r="E86" s="353"/>
      <c r="F86" s="353"/>
      <c r="G86" s="353"/>
      <c r="H86" s="353"/>
      <c r="I86" s="51"/>
      <c r="J86" s="51"/>
    </row>
    <row r="87" spans="1:10" x14ac:dyDescent="0.2">
      <c r="A87" s="49">
        <f t="shared" si="2"/>
        <v>44907</v>
      </c>
      <c r="B87" s="50" t="s">
        <v>167</v>
      </c>
      <c r="C87" s="353"/>
      <c r="D87" s="353"/>
      <c r="E87" s="353"/>
      <c r="F87" s="353"/>
      <c r="G87" s="353"/>
      <c r="H87" s="353"/>
      <c r="I87" s="51"/>
      <c r="J87" s="51"/>
    </row>
    <row r="88" spans="1:10" x14ac:dyDescent="0.2">
      <c r="A88" s="49">
        <f t="shared" si="2"/>
        <v>44908</v>
      </c>
      <c r="B88" s="50" t="s">
        <v>161</v>
      </c>
      <c r="C88" s="353"/>
      <c r="D88" s="353"/>
      <c r="E88" s="353"/>
      <c r="F88" s="353"/>
      <c r="G88" s="353"/>
      <c r="H88" s="353"/>
      <c r="I88" s="51"/>
      <c r="J88" s="51"/>
    </row>
    <row r="89" spans="1:10" x14ac:dyDescent="0.2">
      <c r="A89" s="49">
        <f t="shared" si="2"/>
        <v>44909</v>
      </c>
      <c r="B89" s="50" t="s">
        <v>162</v>
      </c>
      <c r="C89" s="353"/>
      <c r="D89" s="353"/>
      <c r="E89" s="353"/>
      <c r="F89" s="353"/>
      <c r="G89" s="353"/>
      <c r="H89" s="353"/>
      <c r="I89" s="51"/>
      <c r="J89" s="51"/>
    </row>
    <row r="90" spans="1:10" x14ac:dyDescent="0.2">
      <c r="A90" s="49">
        <f t="shared" si="2"/>
        <v>44910</v>
      </c>
      <c r="B90" s="50" t="s">
        <v>163</v>
      </c>
      <c r="C90" s="353"/>
      <c r="D90" s="353"/>
      <c r="E90" s="353"/>
      <c r="F90" s="353"/>
      <c r="G90" s="353"/>
      <c r="H90" s="353"/>
      <c r="I90" s="51"/>
      <c r="J90" s="51"/>
    </row>
    <row r="91" spans="1:10" x14ac:dyDescent="0.2">
      <c r="A91" s="49">
        <f t="shared" si="2"/>
        <v>44911</v>
      </c>
      <c r="B91" s="50" t="s">
        <v>164</v>
      </c>
      <c r="C91" s="353"/>
      <c r="D91" s="353"/>
      <c r="E91" s="353"/>
      <c r="F91" s="353"/>
      <c r="G91" s="353"/>
      <c r="H91" s="353"/>
      <c r="I91" s="51"/>
      <c r="J91" s="51"/>
    </row>
    <row r="92" spans="1:10" x14ac:dyDescent="0.2">
      <c r="A92" s="49">
        <f t="shared" si="2"/>
        <v>44912</v>
      </c>
      <c r="B92" s="50" t="s">
        <v>165</v>
      </c>
      <c r="C92" s="353"/>
      <c r="D92" s="353"/>
      <c r="E92" s="353"/>
      <c r="F92" s="353"/>
      <c r="G92" s="353"/>
      <c r="H92" s="353"/>
      <c r="I92" s="51"/>
      <c r="J92" s="51"/>
    </row>
    <row r="93" spans="1:10" x14ac:dyDescent="0.2">
      <c r="A93" s="49">
        <f t="shared" si="2"/>
        <v>44913</v>
      </c>
      <c r="B93" s="50" t="s">
        <v>166</v>
      </c>
      <c r="C93" s="353"/>
      <c r="D93" s="353"/>
      <c r="E93" s="353"/>
      <c r="F93" s="353"/>
      <c r="G93" s="353"/>
      <c r="H93" s="353"/>
      <c r="I93" s="51"/>
      <c r="J93" s="51"/>
    </row>
    <row r="94" spans="1:10" x14ac:dyDescent="0.2">
      <c r="A94" s="49">
        <f t="shared" si="2"/>
        <v>44914</v>
      </c>
      <c r="B94" s="50" t="s">
        <v>167</v>
      </c>
      <c r="C94" s="353"/>
      <c r="D94" s="353"/>
      <c r="E94" s="353"/>
      <c r="F94" s="353"/>
      <c r="G94" s="353"/>
      <c r="H94" s="353"/>
      <c r="I94" s="51"/>
      <c r="J94" s="51"/>
    </row>
    <row r="95" spans="1:10" x14ac:dyDescent="0.2">
      <c r="A95" s="49">
        <f t="shared" si="2"/>
        <v>44915</v>
      </c>
      <c r="B95" s="50" t="s">
        <v>161</v>
      </c>
      <c r="C95" s="353"/>
      <c r="D95" s="353"/>
      <c r="E95" s="353"/>
      <c r="F95" s="353"/>
      <c r="G95" s="353"/>
      <c r="H95" s="353"/>
      <c r="I95" s="51"/>
      <c r="J95" s="51"/>
    </row>
    <row r="96" spans="1:10" x14ac:dyDescent="0.2">
      <c r="A96" s="49">
        <f t="shared" si="2"/>
        <v>44916</v>
      </c>
      <c r="B96" s="50" t="s">
        <v>162</v>
      </c>
      <c r="C96" s="353"/>
      <c r="D96" s="353"/>
      <c r="E96" s="353"/>
      <c r="F96" s="353"/>
      <c r="G96" s="353"/>
      <c r="H96" s="353"/>
      <c r="I96" s="51"/>
      <c r="J96" s="51"/>
    </row>
    <row r="97" spans="1:21" x14ac:dyDescent="0.2">
      <c r="A97" s="49">
        <f t="shared" si="2"/>
        <v>44917</v>
      </c>
      <c r="B97" s="50" t="s">
        <v>163</v>
      </c>
      <c r="C97" s="353"/>
      <c r="D97" s="353"/>
      <c r="E97" s="353"/>
      <c r="F97" s="353"/>
      <c r="G97" s="353"/>
      <c r="H97" s="353"/>
      <c r="I97" s="51"/>
      <c r="J97" s="51"/>
    </row>
    <row r="98" spans="1:21" x14ac:dyDescent="0.2">
      <c r="A98" s="49">
        <f t="shared" si="2"/>
        <v>44918</v>
      </c>
      <c r="B98" s="50" t="s">
        <v>164</v>
      </c>
      <c r="C98" s="353"/>
      <c r="D98" s="353"/>
      <c r="E98" s="353"/>
      <c r="F98" s="353"/>
      <c r="G98" s="353"/>
      <c r="H98" s="353"/>
      <c r="I98" s="51"/>
      <c r="J98" s="51"/>
    </row>
    <row r="99" spans="1:21" x14ac:dyDescent="0.2">
      <c r="A99" s="49">
        <f t="shared" si="2"/>
        <v>44919</v>
      </c>
      <c r="B99" s="50" t="s">
        <v>165</v>
      </c>
      <c r="C99" s="353"/>
      <c r="D99" s="353"/>
      <c r="E99" s="353"/>
      <c r="F99" s="353"/>
      <c r="G99" s="353"/>
      <c r="H99" s="353"/>
      <c r="I99" s="51"/>
      <c r="J99" s="51"/>
    </row>
    <row r="100" spans="1:21" x14ac:dyDescent="0.2">
      <c r="A100" s="61">
        <f t="shared" si="2"/>
        <v>44920</v>
      </c>
      <c r="B100" s="62" t="s">
        <v>166</v>
      </c>
      <c r="C100" s="429"/>
      <c r="D100" s="429"/>
      <c r="E100" s="429"/>
      <c r="F100" s="429"/>
      <c r="G100" s="429"/>
      <c r="H100" s="429"/>
      <c r="I100" s="63"/>
      <c r="J100" s="63"/>
    </row>
    <row r="101" spans="1:21" x14ac:dyDescent="0.2">
      <c r="A101" s="49">
        <f t="shared" si="2"/>
        <v>44921</v>
      </c>
      <c r="B101" s="50" t="s">
        <v>167</v>
      </c>
      <c r="C101" s="353"/>
      <c r="D101" s="353"/>
      <c r="E101" s="353"/>
      <c r="F101" s="353"/>
      <c r="G101" s="353"/>
      <c r="H101" s="353"/>
      <c r="I101" s="51"/>
      <c r="J101" s="51"/>
    </row>
    <row r="102" spans="1:21" x14ac:dyDescent="0.2">
      <c r="A102" s="49">
        <f t="shared" si="2"/>
        <v>44922</v>
      </c>
      <c r="B102" s="50" t="s">
        <v>161</v>
      </c>
      <c r="C102" s="353"/>
      <c r="D102" s="353"/>
      <c r="E102" s="353"/>
      <c r="F102" s="353"/>
      <c r="G102" s="353"/>
      <c r="H102" s="353"/>
      <c r="I102" s="51"/>
      <c r="J102" s="51"/>
    </row>
    <row r="103" spans="1:21" x14ac:dyDescent="0.2">
      <c r="A103" s="49">
        <f t="shared" si="2"/>
        <v>44923</v>
      </c>
      <c r="B103" s="50" t="s">
        <v>162</v>
      </c>
      <c r="C103" s="353"/>
      <c r="D103" s="353"/>
      <c r="E103" s="353"/>
      <c r="F103" s="353"/>
      <c r="G103" s="353"/>
      <c r="H103" s="353"/>
      <c r="I103" s="51"/>
      <c r="J103" s="51"/>
    </row>
    <row r="104" spans="1:21" x14ac:dyDescent="0.2">
      <c r="A104" s="49">
        <f t="shared" si="2"/>
        <v>44924</v>
      </c>
      <c r="B104" s="50" t="s">
        <v>163</v>
      </c>
      <c r="C104" s="353"/>
      <c r="D104" s="353"/>
      <c r="E104" s="353"/>
      <c r="F104" s="353"/>
      <c r="G104" s="353"/>
      <c r="H104" s="353"/>
      <c r="I104" s="51"/>
      <c r="J104" s="51"/>
    </row>
    <row r="105" spans="1:21" x14ac:dyDescent="0.2">
      <c r="A105" s="49">
        <f t="shared" si="2"/>
        <v>44925</v>
      </c>
      <c r="B105" s="50" t="s">
        <v>164</v>
      </c>
      <c r="C105" s="353"/>
      <c r="D105" s="353"/>
      <c r="E105" s="353"/>
      <c r="F105" s="353"/>
      <c r="G105" s="353"/>
      <c r="H105" s="353"/>
      <c r="I105" s="51"/>
      <c r="J105" s="51"/>
    </row>
    <row r="106" spans="1:21" x14ac:dyDescent="0.2">
      <c r="A106" s="49">
        <f t="shared" si="2"/>
        <v>44926</v>
      </c>
      <c r="B106" s="50" t="s">
        <v>165</v>
      </c>
      <c r="C106" s="353"/>
      <c r="D106" s="353"/>
      <c r="E106" s="353"/>
      <c r="F106" s="353"/>
      <c r="G106" s="353"/>
      <c r="H106" s="353"/>
      <c r="I106" s="51"/>
      <c r="J106" s="51"/>
    </row>
    <row r="107" spans="1:21" x14ac:dyDescent="0.2">
      <c r="A107" s="32"/>
      <c r="I107" s="8"/>
      <c r="J107" s="8"/>
      <c r="R107" s="21"/>
      <c r="S107" s="21"/>
      <c r="T107" s="8"/>
      <c r="U107" s="8"/>
    </row>
    <row r="108" spans="1:21" x14ac:dyDescent="0.2">
      <c r="A108" s="367" t="s">
        <v>207</v>
      </c>
      <c r="B108" s="368"/>
      <c r="C108" s="368"/>
      <c r="D108" s="368"/>
      <c r="I108" s="8"/>
      <c r="J108" s="8"/>
      <c r="R108" s="21"/>
      <c r="S108" s="21"/>
      <c r="T108" s="8"/>
      <c r="U108" s="8"/>
    </row>
    <row r="109" spans="1:21" x14ac:dyDescent="0.2">
      <c r="A109" s="52">
        <f>COUNTIF($I$76:$I$109,B109)</f>
        <v>0</v>
      </c>
      <c r="B109" s="53" t="s">
        <v>208</v>
      </c>
      <c r="C109" s="370" t="s">
        <v>209</v>
      </c>
      <c r="D109" s="370"/>
      <c r="I109" s="8"/>
      <c r="J109" s="8"/>
      <c r="R109" s="21"/>
      <c r="S109" s="21"/>
      <c r="T109" s="8"/>
      <c r="U109" s="8"/>
    </row>
    <row r="110" spans="1:21" x14ac:dyDescent="0.2">
      <c r="A110" s="52">
        <f t="shared" ref="A110:A119" si="3">COUNTIF($I$76:$I$109,B110)</f>
        <v>0</v>
      </c>
      <c r="B110" s="53" t="s">
        <v>172</v>
      </c>
      <c r="C110" s="370" t="s">
        <v>210</v>
      </c>
      <c r="D110" s="370"/>
      <c r="I110" s="8"/>
      <c r="J110" s="8"/>
      <c r="R110" s="21"/>
      <c r="S110" s="21"/>
      <c r="T110" s="8"/>
      <c r="U110" s="8"/>
    </row>
    <row r="111" spans="1:21" x14ac:dyDescent="0.2">
      <c r="A111" s="52">
        <f t="shared" si="3"/>
        <v>0</v>
      </c>
      <c r="B111" s="53" t="s">
        <v>169</v>
      </c>
      <c r="C111" s="370" t="s">
        <v>211</v>
      </c>
      <c r="D111" s="370"/>
      <c r="I111" s="8"/>
      <c r="J111" s="8"/>
      <c r="R111" s="21"/>
      <c r="S111" s="21"/>
      <c r="T111" s="8"/>
      <c r="U111" s="8"/>
    </row>
    <row r="112" spans="1:21" x14ac:dyDescent="0.2">
      <c r="A112" s="52">
        <f t="shared" si="3"/>
        <v>0</v>
      </c>
      <c r="B112" s="53" t="s">
        <v>181</v>
      </c>
      <c r="C112" s="370" t="s">
        <v>212</v>
      </c>
      <c r="D112" s="370"/>
      <c r="I112" s="8"/>
      <c r="J112" s="8"/>
      <c r="R112" s="21"/>
      <c r="S112" s="21"/>
      <c r="T112" s="8"/>
      <c r="U112" s="8"/>
    </row>
    <row r="113" spans="1:21" x14ac:dyDescent="0.2">
      <c r="A113" s="52">
        <f t="shared" si="3"/>
        <v>0</v>
      </c>
      <c r="B113" s="53" t="s">
        <v>183</v>
      </c>
      <c r="C113" s="370" t="s">
        <v>213</v>
      </c>
      <c r="D113" s="370"/>
      <c r="I113" s="8"/>
      <c r="J113" s="8"/>
      <c r="R113" s="21"/>
      <c r="S113" s="21"/>
      <c r="T113" s="8"/>
      <c r="U113" s="8"/>
    </row>
    <row r="114" spans="1:21" x14ac:dyDescent="0.2">
      <c r="A114" s="52">
        <f t="shared" si="3"/>
        <v>0</v>
      </c>
      <c r="B114" s="53" t="s">
        <v>214</v>
      </c>
      <c r="C114" s="370" t="s">
        <v>215</v>
      </c>
      <c r="D114" s="370"/>
      <c r="I114" s="8"/>
      <c r="J114" s="8"/>
      <c r="R114" s="21"/>
      <c r="S114" s="21"/>
      <c r="T114" s="8"/>
      <c r="U114" s="8"/>
    </row>
    <row r="115" spans="1:21" x14ac:dyDescent="0.2">
      <c r="A115" s="52">
        <f t="shared" si="3"/>
        <v>0</v>
      </c>
      <c r="B115" s="53" t="s">
        <v>216</v>
      </c>
      <c r="C115" s="370" t="s">
        <v>217</v>
      </c>
      <c r="D115" s="370"/>
      <c r="I115" s="8"/>
      <c r="J115" s="8"/>
      <c r="R115" s="21"/>
      <c r="S115" s="21"/>
      <c r="T115" s="8"/>
      <c r="U115" s="8"/>
    </row>
    <row r="116" spans="1:21" x14ac:dyDescent="0.2">
      <c r="A116" s="52">
        <f t="shared" si="3"/>
        <v>0</v>
      </c>
      <c r="B116" s="53" t="s">
        <v>218</v>
      </c>
      <c r="C116" s="371" t="s">
        <v>219</v>
      </c>
      <c r="D116" s="372"/>
      <c r="I116" s="8"/>
      <c r="J116" s="8"/>
      <c r="R116" s="21"/>
      <c r="S116" s="21"/>
      <c r="T116" s="8"/>
      <c r="U116" s="8"/>
    </row>
    <row r="117" spans="1:21" x14ac:dyDescent="0.2">
      <c r="A117" s="52">
        <f t="shared" si="3"/>
        <v>0</v>
      </c>
      <c r="B117" s="53" t="s">
        <v>220</v>
      </c>
      <c r="C117" s="370" t="s">
        <v>221</v>
      </c>
      <c r="D117" s="370"/>
      <c r="I117" s="8"/>
      <c r="J117" s="8"/>
    </row>
    <row r="118" spans="1:21" x14ac:dyDescent="0.2">
      <c r="A118" s="52">
        <f>COUNTIF($I$76:$I$109,B118)</f>
        <v>0</v>
      </c>
      <c r="B118" s="53" t="s">
        <v>178</v>
      </c>
      <c r="C118" s="370" t="s">
        <v>222</v>
      </c>
      <c r="D118" s="370"/>
      <c r="I118" s="8"/>
      <c r="J118" s="8"/>
    </row>
    <row r="119" spans="1:21" x14ac:dyDescent="0.2">
      <c r="A119" s="52">
        <f t="shared" si="3"/>
        <v>0</v>
      </c>
      <c r="B119" s="53" t="s">
        <v>223</v>
      </c>
      <c r="C119" s="370" t="s">
        <v>224</v>
      </c>
      <c r="D119" s="370"/>
      <c r="I119" s="8"/>
      <c r="J119" s="8"/>
    </row>
    <row r="120" spans="1:21" x14ac:dyDescent="0.2">
      <c r="A120" s="54"/>
      <c r="B120" s="55"/>
      <c r="C120" s="56"/>
      <c r="D120" s="56"/>
      <c r="I120" s="8"/>
      <c r="J120" s="8"/>
    </row>
    <row r="121" spans="1:21" x14ac:dyDescent="0.2">
      <c r="A121" s="54"/>
      <c r="B121" s="55"/>
      <c r="C121" s="56"/>
      <c r="D121" s="56"/>
      <c r="I121" s="8"/>
      <c r="J121" s="8"/>
    </row>
    <row r="122" spans="1:21" x14ac:dyDescent="0.2">
      <c r="A122" s="54"/>
      <c r="B122" s="55"/>
      <c r="C122" s="56"/>
      <c r="D122" s="56"/>
      <c r="I122" s="8"/>
      <c r="J122" s="8"/>
    </row>
    <row r="123" spans="1:21" x14ac:dyDescent="0.2">
      <c r="A123" s="54"/>
      <c r="B123" s="55"/>
      <c r="C123" s="56"/>
      <c r="D123" s="56"/>
      <c r="I123" s="8"/>
      <c r="J123" s="8"/>
    </row>
    <row r="124" spans="1:21" x14ac:dyDescent="0.2">
      <c r="A124" s="32"/>
      <c r="I124" s="8"/>
      <c r="J124" s="8"/>
    </row>
    <row r="125" spans="1:21" x14ac:dyDescent="0.2">
      <c r="A125" s="367" t="s">
        <v>225</v>
      </c>
      <c r="B125" s="368"/>
      <c r="C125" s="368"/>
      <c r="D125" s="368"/>
      <c r="I125" s="8"/>
      <c r="J125" s="8"/>
    </row>
    <row r="126" spans="1:21" x14ac:dyDescent="0.2">
      <c r="A126" s="52">
        <f>COUNTIF($J$76:$J$109,B126)</f>
        <v>0</v>
      </c>
      <c r="B126" s="52" t="s">
        <v>170</v>
      </c>
      <c r="C126" s="356" t="s">
        <v>226</v>
      </c>
      <c r="D126" s="356"/>
      <c r="I126" s="8"/>
      <c r="J126" s="8"/>
    </row>
    <row r="127" spans="1:21" x14ac:dyDescent="0.2">
      <c r="A127" s="52">
        <f t="shared" ref="A127:A138" si="4">COUNTIF($J$76:$J$109,B127)</f>
        <v>0</v>
      </c>
      <c r="B127" s="52" t="s">
        <v>191</v>
      </c>
      <c r="C127" s="356" t="s">
        <v>227</v>
      </c>
      <c r="D127" s="356"/>
      <c r="I127" s="8"/>
      <c r="J127" s="8"/>
    </row>
    <row r="128" spans="1:21" x14ac:dyDescent="0.2">
      <c r="A128" s="52">
        <f t="shared" si="4"/>
        <v>0</v>
      </c>
      <c r="B128" s="52" t="s">
        <v>179</v>
      </c>
      <c r="C128" s="356" t="s">
        <v>228</v>
      </c>
      <c r="D128" s="356"/>
      <c r="I128" s="8"/>
      <c r="J128" s="8"/>
    </row>
    <row r="129" spans="1:10" x14ac:dyDescent="0.2">
      <c r="A129" s="52">
        <f t="shared" si="4"/>
        <v>0</v>
      </c>
      <c r="B129" s="52" t="s">
        <v>229</v>
      </c>
      <c r="C129" s="356" t="s">
        <v>230</v>
      </c>
      <c r="D129" s="356"/>
      <c r="I129" s="8"/>
      <c r="J129" s="8"/>
    </row>
    <row r="130" spans="1:10" x14ac:dyDescent="0.2">
      <c r="A130" s="52">
        <f t="shared" si="4"/>
        <v>0</v>
      </c>
      <c r="B130" s="52" t="s">
        <v>174</v>
      </c>
      <c r="C130" s="356" t="s">
        <v>231</v>
      </c>
      <c r="D130" s="356"/>
      <c r="I130" s="8"/>
      <c r="J130" s="8"/>
    </row>
    <row r="131" spans="1:10" x14ac:dyDescent="0.2">
      <c r="A131" s="52">
        <f t="shared" si="4"/>
        <v>0</v>
      </c>
      <c r="B131" s="52" t="s">
        <v>232</v>
      </c>
      <c r="C131" s="356" t="s">
        <v>233</v>
      </c>
      <c r="D131" s="356"/>
      <c r="I131" s="8"/>
      <c r="J131" s="8"/>
    </row>
    <row r="132" spans="1:10" x14ac:dyDescent="0.2">
      <c r="A132" s="52">
        <f t="shared" si="4"/>
        <v>0</v>
      </c>
      <c r="B132" s="52" t="s">
        <v>187</v>
      </c>
      <c r="C132" s="356" t="s">
        <v>234</v>
      </c>
      <c r="D132" s="356"/>
      <c r="I132" s="8"/>
      <c r="J132" s="8"/>
    </row>
    <row r="133" spans="1:10" x14ac:dyDescent="0.2">
      <c r="A133" s="52">
        <f t="shared" si="4"/>
        <v>0</v>
      </c>
      <c r="B133" s="52" t="s">
        <v>235</v>
      </c>
      <c r="C133" s="356" t="s">
        <v>236</v>
      </c>
      <c r="D133" s="356"/>
      <c r="I133" s="8"/>
      <c r="J133" s="8"/>
    </row>
    <row r="134" spans="1:10" x14ac:dyDescent="0.2">
      <c r="A134" s="52">
        <f t="shared" si="4"/>
        <v>0</v>
      </c>
      <c r="B134" s="52" t="s">
        <v>185</v>
      </c>
      <c r="C134" s="356" t="s">
        <v>237</v>
      </c>
      <c r="D134" s="356"/>
      <c r="I134" s="8"/>
      <c r="J134" s="8"/>
    </row>
    <row r="135" spans="1:10" x14ac:dyDescent="0.2">
      <c r="A135" s="52">
        <f t="shared" si="4"/>
        <v>0</v>
      </c>
      <c r="B135" s="52" t="s">
        <v>238</v>
      </c>
      <c r="C135" s="356" t="s">
        <v>239</v>
      </c>
      <c r="D135" s="356"/>
      <c r="I135" s="8"/>
      <c r="J135" s="8"/>
    </row>
    <row r="136" spans="1:10" x14ac:dyDescent="0.2">
      <c r="A136" s="52">
        <f>COUNTIF($J$76:$J$109,B136)</f>
        <v>0</v>
      </c>
      <c r="B136" s="52" t="s">
        <v>240</v>
      </c>
      <c r="C136" s="356" t="s">
        <v>241</v>
      </c>
      <c r="D136" s="356"/>
      <c r="I136" s="8"/>
      <c r="J136" s="8"/>
    </row>
    <row r="137" spans="1:10" x14ac:dyDescent="0.2">
      <c r="A137" s="52">
        <f>COUNTIF($J$76:$J$109,B137)</f>
        <v>0</v>
      </c>
      <c r="B137" s="52" t="s">
        <v>242</v>
      </c>
      <c r="C137" s="356" t="s">
        <v>243</v>
      </c>
      <c r="D137" s="356"/>
      <c r="I137" s="8"/>
      <c r="J137" s="8"/>
    </row>
    <row r="138" spans="1:10" x14ac:dyDescent="0.2">
      <c r="A138" s="52">
        <f t="shared" si="4"/>
        <v>0</v>
      </c>
      <c r="B138" s="52" t="s">
        <v>244</v>
      </c>
      <c r="C138" s="356" t="s">
        <v>245</v>
      </c>
      <c r="D138" s="356"/>
      <c r="I138" s="8"/>
      <c r="J138" s="8"/>
    </row>
    <row r="139" spans="1:10" x14ac:dyDescent="0.2">
      <c r="A139" s="32"/>
      <c r="I139" s="8"/>
      <c r="J139" s="8"/>
    </row>
    <row r="140" spans="1:10" x14ac:dyDescent="0.2">
      <c r="A140" s="32"/>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ht="19" x14ac:dyDescent="0.2">
      <c r="A145" s="32"/>
      <c r="C145" s="349" t="s">
        <v>86</v>
      </c>
      <c r="D145" s="350"/>
      <c r="E145" s="350"/>
      <c r="F145" s="350"/>
      <c r="G145" s="351"/>
      <c r="I145" s="8"/>
      <c r="J145" s="8"/>
    </row>
    <row r="146" spans="1:10" ht="32" x14ac:dyDescent="0.2">
      <c r="A146" s="32"/>
      <c r="C146" s="68" t="s">
        <v>87</v>
      </c>
      <c r="D146" s="64" t="s">
        <v>88</v>
      </c>
      <c r="E146" s="64" t="s">
        <v>89</v>
      </c>
      <c r="F146" s="64" t="s">
        <v>90</v>
      </c>
      <c r="G146" s="66" t="s">
        <v>91</v>
      </c>
      <c r="I146" s="8"/>
      <c r="J146" s="8"/>
    </row>
    <row r="147" spans="1:10" x14ac:dyDescent="0.2">
      <c r="A147" s="32"/>
      <c r="C147" s="65"/>
      <c r="D147" s="65"/>
      <c r="E147" s="65"/>
      <c r="F147" s="65"/>
      <c r="G147" s="67">
        <f>SUM(B147:F147)</f>
        <v>0</v>
      </c>
      <c r="I147" s="8"/>
      <c r="J147" s="8"/>
    </row>
    <row r="148" spans="1:10" x14ac:dyDescent="0.2">
      <c r="A148" s="32"/>
      <c r="G148"/>
      <c r="I148" s="8"/>
      <c r="J148" s="8"/>
    </row>
    <row r="149" spans="1:10" x14ac:dyDescent="0.2">
      <c r="A149" s="32"/>
      <c r="I149" s="8"/>
      <c r="J149" s="8"/>
    </row>
    <row r="150" spans="1:10" x14ac:dyDescent="0.2">
      <c r="A150" s="32"/>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row>
    <row r="224" spans="1:10" x14ac:dyDescent="0.2">
      <c r="A224" s="32"/>
    </row>
    <row r="225" spans="1:1" x14ac:dyDescent="0.2">
      <c r="A225" s="32"/>
    </row>
    <row r="226" spans="1:1" x14ac:dyDescent="0.2">
      <c r="A226" s="32"/>
    </row>
    <row r="227" spans="1:1" x14ac:dyDescent="0.2">
      <c r="A227" s="32"/>
    </row>
    <row r="228" spans="1:1" x14ac:dyDescent="0.2">
      <c r="A228" s="32"/>
    </row>
    <row r="229" spans="1:1" x14ac:dyDescent="0.2">
      <c r="A229" s="32"/>
    </row>
    <row r="230" spans="1:1" x14ac:dyDescent="0.2">
      <c r="A230" s="32"/>
    </row>
    <row r="231" spans="1:1" x14ac:dyDescent="0.2">
      <c r="A231" s="32"/>
    </row>
    <row r="232" spans="1:1" x14ac:dyDescent="0.2">
      <c r="A232" s="32"/>
    </row>
    <row r="233" spans="1:1" x14ac:dyDescent="0.2">
      <c r="A233" s="32"/>
    </row>
    <row r="234" spans="1:1" x14ac:dyDescent="0.2">
      <c r="A234" s="32"/>
    </row>
    <row r="235" spans="1:1" x14ac:dyDescent="0.2">
      <c r="A235" s="32"/>
    </row>
    <row r="236" spans="1:1" x14ac:dyDescent="0.2">
      <c r="A236" s="32"/>
    </row>
    <row r="237" spans="1:1" x14ac:dyDescent="0.2">
      <c r="A237" s="32"/>
    </row>
    <row r="238" spans="1:1" x14ac:dyDescent="0.2">
      <c r="A238" s="32"/>
    </row>
    <row r="239" spans="1:1" x14ac:dyDescent="0.2">
      <c r="A239" s="32"/>
    </row>
    <row r="240" spans="1:1" x14ac:dyDescent="0.2">
      <c r="A240" s="32"/>
    </row>
    <row r="241" spans="1:1" x14ac:dyDescent="0.2">
      <c r="A241" s="32"/>
    </row>
    <row r="242" spans="1:1" x14ac:dyDescent="0.2">
      <c r="A242" s="32"/>
    </row>
    <row r="243" spans="1:1" x14ac:dyDescent="0.2">
      <c r="A243" s="32"/>
    </row>
    <row r="244" spans="1:1" x14ac:dyDescent="0.2">
      <c r="A244" s="32"/>
    </row>
    <row r="245" spans="1:1" x14ac:dyDescent="0.2">
      <c r="A245" s="32"/>
    </row>
    <row r="246" spans="1:1" x14ac:dyDescent="0.2">
      <c r="A246" s="32"/>
    </row>
    <row r="247" spans="1:1" x14ac:dyDescent="0.2">
      <c r="A247" s="32"/>
    </row>
    <row r="248" spans="1:1" x14ac:dyDescent="0.2">
      <c r="A248" s="32"/>
    </row>
  </sheetData>
  <autoFilter ref="A1:AH1" xr:uid="{00000000-0001-0000-0800-000000000000}"/>
  <mergeCells count="67">
    <mergeCell ref="AC63:AE63"/>
    <mergeCell ref="AF63:AH63"/>
    <mergeCell ref="C78:H78"/>
    <mergeCell ref="C63:D63"/>
    <mergeCell ref="T63:V63"/>
    <mergeCell ref="W63:Y63"/>
    <mergeCell ref="Z63:AB63"/>
    <mergeCell ref="M64:O64"/>
    <mergeCell ref="H65:I65"/>
    <mergeCell ref="A75:C75"/>
    <mergeCell ref="C76:H76"/>
    <mergeCell ref="C77:H77"/>
    <mergeCell ref="C90:H90"/>
    <mergeCell ref="C79:H79"/>
    <mergeCell ref="C80:H80"/>
    <mergeCell ref="C81:H81"/>
    <mergeCell ref="C82:H82"/>
    <mergeCell ref="C83:H83"/>
    <mergeCell ref="C84:H84"/>
    <mergeCell ref="C85:H85"/>
    <mergeCell ref="C86:H86"/>
    <mergeCell ref="C87:H87"/>
    <mergeCell ref="C88:H88"/>
    <mergeCell ref="C89:H89"/>
    <mergeCell ref="C102:H102"/>
    <mergeCell ref="C91:H91"/>
    <mergeCell ref="C92:H92"/>
    <mergeCell ref="C93:H93"/>
    <mergeCell ref="C94:H94"/>
    <mergeCell ref="C95:H95"/>
    <mergeCell ref="C96:H96"/>
    <mergeCell ref="C97:H97"/>
    <mergeCell ref="C98:H98"/>
    <mergeCell ref="C99:H99"/>
    <mergeCell ref="C100:H100"/>
    <mergeCell ref="C101:H101"/>
    <mergeCell ref="C115:D115"/>
    <mergeCell ref="C103:H103"/>
    <mergeCell ref="C104:H104"/>
    <mergeCell ref="C105:H105"/>
    <mergeCell ref="C106:H106"/>
    <mergeCell ref="A108:D108"/>
    <mergeCell ref="C109:D109"/>
    <mergeCell ref="C110:D110"/>
    <mergeCell ref="C111:D111"/>
    <mergeCell ref="C112:D112"/>
    <mergeCell ref="C113:D113"/>
    <mergeCell ref="C114:D114"/>
    <mergeCell ref="C132:D132"/>
    <mergeCell ref="C116:D116"/>
    <mergeCell ref="C117:D117"/>
    <mergeCell ref="C118:D118"/>
    <mergeCell ref="C119:D119"/>
    <mergeCell ref="A125:D125"/>
    <mergeCell ref="C126:D126"/>
    <mergeCell ref="C127:D127"/>
    <mergeCell ref="C128:D128"/>
    <mergeCell ref="C129:D129"/>
    <mergeCell ref="C130:D130"/>
    <mergeCell ref="C131:D131"/>
    <mergeCell ref="C145:G145"/>
    <mergeCell ref="C133:D133"/>
    <mergeCell ref="C134:D134"/>
    <mergeCell ref="C135:D135"/>
    <mergeCell ref="C136:D136"/>
    <mergeCell ref="C137:D137"/>
    <mergeCell ref="C138:D138"/>
  </mergeCells>
  <dataValidations count="2">
    <dataValidation type="list" allowBlank="1" showInputMessage="1" showErrorMessage="1" sqref="J76:J106" xr:uid="{EDE8E4F8-68C0-439D-BAFF-6AADB222028D}">
      <formula1>$B$125:$B$138</formula1>
    </dataValidation>
    <dataValidation type="list" allowBlank="1" showInputMessage="1" showErrorMessage="1" sqref="I76:I106" xr:uid="{701985C6-211C-41D3-9B5E-EE61865B6E6E}">
      <formula1>$B$109:$B$119</formula1>
    </dataValidation>
  </dataValidation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46019-157B-4AF9-A775-44B79B30C7E4}">
  <sheetPr codeName="Hoja19"/>
  <dimension ref="A1:AP248"/>
  <sheetViews>
    <sheetView zoomScale="85" zoomScaleNormal="85" workbookViewId="0">
      <pane xSplit="11" ySplit="1" topLeftCell="L22"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13.5" style="1" customWidth="1"/>
    <col min="23" max="23" width="4.6640625" style="1" customWidth="1"/>
    <col min="24" max="24" width="13.5" style="1" customWidth="1"/>
    <col min="25" max="25" width="4.6640625" style="1" customWidth="1"/>
    <col min="26" max="26" width="13.5" style="1" customWidth="1"/>
    <col min="27" max="27" width="4.6640625" style="1" customWidth="1"/>
    <col min="28" max="28" width="13.5" style="1" customWidth="1"/>
    <col min="29" max="29" width="13" style="1" bestFit="1" customWidth="1"/>
    <col min="30" max="30" width="4.6640625" style="48" customWidth="1"/>
    <col min="31" max="31" width="11.5" style="48" bestFit="1" customWidth="1"/>
    <col min="32" max="32" width="16.6640625" style="48" bestFit="1" customWidth="1"/>
    <col min="33" max="33" width="4.6640625" style="1" customWidth="1"/>
    <col min="34" max="34" width="11.5" style="1" bestFit="1" customWidth="1"/>
    <col min="35" max="38" width="9.1640625" style="1"/>
    <col min="39" max="39" width="15.5" style="1" bestFit="1" customWidth="1"/>
    <col min="40" max="16384" width="11.5" style="1"/>
  </cols>
  <sheetData>
    <row r="1" spans="1:42"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125</v>
      </c>
      <c r="AO1" s="304" t="s">
        <v>255</v>
      </c>
      <c r="AP1" s="304" t="s">
        <v>257</v>
      </c>
    </row>
    <row r="2" spans="1:42" s="48" customFormat="1" x14ac:dyDescent="0.2">
      <c r="A2" s="209"/>
      <c r="B2" s="8"/>
      <c r="C2" s="8"/>
      <c r="D2" s="8"/>
      <c r="E2" s="8"/>
      <c r="F2" s="8"/>
      <c r="G2" s="8"/>
      <c r="H2" s="8"/>
      <c r="I2" s="8"/>
      <c r="J2" s="37"/>
      <c r="K2" s="19">
        <v>0</v>
      </c>
      <c r="L2" s="198" t="s">
        <v>128</v>
      </c>
      <c r="M2" s="198" t="s">
        <v>128</v>
      </c>
      <c r="N2" s="197" t="s">
        <v>128</v>
      </c>
      <c r="O2" s="195">
        <v>1</v>
      </c>
      <c r="P2" s="45" t="s">
        <v>128</v>
      </c>
      <c r="Q2" s="45" t="s">
        <v>128</v>
      </c>
      <c r="R2" s="45" t="s">
        <v>128</v>
      </c>
      <c r="S2" s="45" t="s">
        <v>128</v>
      </c>
      <c r="T2" s="45" t="s">
        <v>128</v>
      </c>
      <c r="U2" s="45" t="s">
        <v>128</v>
      </c>
      <c r="V2" s="45" t="s">
        <v>128</v>
      </c>
      <c r="W2" s="45" t="s">
        <v>128</v>
      </c>
      <c r="X2" s="45" t="s">
        <v>128</v>
      </c>
      <c r="Y2" s="45" t="s">
        <v>128</v>
      </c>
      <c r="Z2" s="45" t="s">
        <v>128</v>
      </c>
      <c r="AA2" s="45" t="s">
        <v>128</v>
      </c>
      <c r="AB2" s="45" t="s">
        <v>128</v>
      </c>
      <c r="AC2" s="107" t="s">
        <v>128</v>
      </c>
      <c r="AD2" s="107" t="s">
        <v>128</v>
      </c>
      <c r="AE2" s="107" t="s">
        <v>128</v>
      </c>
      <c r="AF2" s="107" t="s">
        <v>128</v>
      </c>
      <c r="AG2" s="107" t="s">
        <v>128</v>
      </c>
      <c r="AH2" s="107" t="s">
        <v>128</v>
      </c>
      <c r="AI2" s="228"/>
      <c r="AJ2" s="228"/>
      <c r="AK2" s="228"/>
      <c r="AL2" s="228"/>
      <c r="AM2" s="228"/>
      <c r="AN2" s="228"/>
      <c r="AO2" s="140"/>
      <c r="AP2" s="140"/>
    </row>
    <row r="3" spans="1:42" s="48" customFormat="1" x14ac:dyDescent="0.2">
      <c r="A3" s="22"/>
      <c r="B3" s="22"/>
      <c r="C3" s="22"/>
      <c r="D3" s="22"/>
      <c r="E3" s="22"/>
      <c r="F3" s="22"/>
      <c r="G3" s="22"/>
      <c r="H3" s="22"/>
      <c r="I3" s="22"/>
      <c r="J3" s="36"/>
      <c r="K3" s="19">
        <v>0</v>
      </c>
      <c r="L3" s="198" t="s">
        <v>128</v>
      </c>
      <c r="M3" s="198" t="s">
        <v>128</v>
      </c>
      <c r="N3" s="197" t="s">
        <v>128</v>
      </c>
      <c r="O3" s="195">
        <v>1</v>
      </c>
      <c r="P3" s="45" t="s">
        <v>128</v>
      </c>
      <c r="Q3" s="45" t="s">
        <v>128</v>
      </c>
      <c r="R3" s="45" t="s">
        <v>128</v>
      </c>
      <c r="S3" s="45" t="s">
        <v>128</v>
      </c>
      <c r="T3" s="45" t="s">
        <v>128</v>
      </c>
      <c r="U3" s="45" t="s">
        <v>128</v>
      </c>
      <c r="V3" s="45" t="s">
        <v>128</v>
      </c>
      <c r="W3" s="45" t="s">
        <v>128</v>
      </c>
      <c r="X3" s="45" t="s">
        <v>128</v>
      </c>
      <c r="Y3" s="45" t="s">
        <v>128</v>
      </c>
      <c r="Z3" s="45" t="s">
        <v>128</v>
      </c>
      <c r="AA3" s="45" t="s">
        <v>128</v>
      </c>
      <c r="AB3" s="45" t="s">
        <v>128</v>
      </c>
      <c r="AC3" s="107" t="s">
        <v>128</v>
      </c>
      <c r="AD3" s="107" t="s">
        <v>128</v>
      </c>
      <c r="AE3" s="107" t="s">
        <v>128</v>
      </c>
      <c r="AF3" s="107" t="s">
        <v>128</v>
      </c>
      <c r="AG3" s="107" t="s">
        <v>128</v>
      </c>
      <c r="AH3" s="107" t="s">
        <v>128</v>
      </c>
      <c r="AI3" s="228"/>
      <c r="AJ3" s="228"/>
      <c r="AK3" s="228"/>
      <c r="AL3" s="228"/>
      <c r="AM3" s="228"/>
      <c r="AN3" s="228"/>
      <c r="AO3" s="140"/>
      <c r="AP3" s="140"/>
    </row>
    <row r="4" spans="1:42" s="48" customFormat="1" x14ac:dyDescent="0.2">
      <c r="A4" s="209"/>
      <c r="B4" s="8"/>
      <c r="C4" s="8"/>
      <c r="D4" s="8"/>
      <c r="E4" s="8"/>
      <c r="F4" s="8"/>
      <c r="G4" s="8"/>
      <c r="H4" s="8"/>
      <c r="I4" s="8"/>
      <c r="J4" s="37"/>
      <c r="K4" s="19">
        <v>0</v>
      </c>
      <c r="L4" s="198" t="s">
        <v>128</v>
      </c>
      <c r="M4" s="198" t="s">
        <v>128</v>
      </c>
      <c r="N4" s="197" t="s">
        <v>128</v>
      </c>
      <c r="O4" s="195">
        <v>1</v>
      </c>
      <c r="P4" s="45" t="s">
        <v>128</v>
      </c>
      <c r="Q4" s="45" t="s">
        <v>128</v>
      </c>
      <c r="R4" s="45" t="s">
        <v>128</v>
      </c>
      <c r="S4" s="45" t="s">
        <v>128</v>
      </c>
      <c r="T4" s="45" t="s">
        <v>128</v>
      </c>
      <c r="U4" s="45" t="s">
        <v>128</v>
      </c>
      <c r="V4" s="45" t="s">
        <v>128</v>
      </c>
      <c r="W4" s="45" t="s">
        <v>128</v>
      </c>
      <c r="X4" s="45" t="s">
        <v>128</v>
      </c>
      <c r="Y4" s="45" t="s">
        <v>128</v>
      </c>
      <c r="Z4" s="45" t="s">
        <v>128</v>
      </c>
      <c r="AA4" s="45" t="s">
        <v>128</v>
      </c>
      <c r="AB4" s="45" t="s">
        <v>128</v>
      </c>
      <c r="AC4" s="107" t="s">
        <v>128</v>
      </c>
      <c r="AD4" s="107" t="s">
        <v>128</v>
      </c>
      <c r="AE4" s="107" t="s">
        <v>128</v>
      </c>
      <c r="AF4" s="107" t="s">
        <v>128</v>
      </c>
      <c r="AG4" s="107" t="s">
        <v>128</v>
      </c>
      <c r="AH4" s="107" t="s">
        <v>128</v>
      </c>
      <c r="AI4" s="228"/>
      <c r="AJ4" s="228"/>
      <c r="AK4" s="228"/>
      <c r="AL4" s="228"/>
      <c r="AM4" s="228"/>
      <c r="AN4" s="228"/>
      <c r="AO4" s="140"/>
      <c r="AP4" s="140"/>
    </row>
    <row r="5" spans="1:42" s="48" customFormat="1" x14ac:dyDescent="0.2">
      <c r="A5" s="22"/>
      <c r="B5" s="22"/>
      <c r="C5" s="22"/>
      <c r="D5" s="22"/>
      <c r="E5" s="22"/>
      <c r="F5" s="22"/>
      <c r="G5" s="22"/>
      <c r="H5" s="22"/>
      <c r="I5" s="22"/>
      <c r="J5" s="36"/>
      <c r="K5" s="19">
        <v>0</v>
      </c>
      <c r="L5" s="198" t="s">
        <v>128</v>
      </c>
      <c r="M5" s="198" t="s">
        <v>128</v>
      </c>
      <c r="N5" s="197" t="s">
        <v>128</v>
      </c>
      <c r="O5" s="195">
        <v>1</v>
      </c>
      <c r="P5" s="45" t="s">
        <v>128</v>
      </c>
      <c r="Q5" s="45" t="s">
        <v>128</v>
      </c>
      <c r="R5" s="45" t="s">
        <v>128</v>
      </c>
      <c r="S5" s="45" t="s">
        <v>128</v>
      </c>
      <c r="T5" s="45" t="s">
        <v>128</v>
      </c>
      <c r="U5" s="45" t="s">
        <v>128</v>
      </c>
      <c r="V5" s="45" t="s">
        <v>128</v>
      </c>
      <c r="W5" s="45" t="s">
        <v>128</v>
      </c>
      <c r="X5" s="45" t="s">
        <v>128</v>
      </c>
      <c r="Y5" s="45" t="s">
        <v>128</v>
      </c>
      <c r="Z5" s="45" t="s">
        <v>128</v>
      </c>
      <c r="AA5" s="45" t="s">
        <v>128</v>
      </c>
      <c r="AB5" s="45" t="s">
        <v>128</v>
      </c>
      <c r="AC5" s="107" t="s">
        <v>128</v>
      </c>
      <c r="AD5" s="107" t="s">
        <v>128</v>
      </c>
      <c r="AE5" s="107" t="s">
        <v>128</v>
      </c>
      <c r="AF5" s="107" t="s">
        <v>128</v>
      </c>
      <c r="AG5" s="107" t="s">
        <v>128</v>
      </c>
      <c r="AH5" s="107" t="s">
        <v>128</v>
      </c>
      <c r="AI5" s="228"/>
      <c r="AJ5" s="228"/>
      <c r="AK5" s="228"/>
      <c r="AL5" s="228"/>
      <c r="AM5" s="228"/>
      <c r="AN5" s="228"/>
      <c r="AO5" s="140"/>
      <c r="AP5" s="140"/>
    </row>
    <row r="6" spans="1:42" s="48" customFormat="1" x14ac:dyDescent="0.2">
      <c r="A6" s="209"/>
      <c r="B6" s="8"/>
      <c r="C6" s="8"/>
      <c r="D6" s="8"/>
      <c r="E6" s="8"/>
      <c r="F6" s="8"/>
      <c r="G6" s="8"/>
      <c r="H6" s="8"/>
      <c r="I6" s="8"/>
      <c r="J6" s="37"/>
      <c r="K6" s="19">
        <v>0</v>
      </c>
      <c r="L6" s="198" t="s">
        <v>128</v>
      </c>
      <c r="M6" s="198" t="s">
        <v>128</v>
      </c>
      <c r="N6" s="197" t="s">
        <v>128</v>
      </c>
      <c r="O6" s="195">
        <v>1</v>
      </c>
      <c r="P6" s="45" t="s">
        <v>128</v>
      </c>
      <c r="Q6" s="45" t="s">
        <v>128</v>
      </c>
      <c r="R6" s="45" t="s">
        <v>128</v>
      </c>
      <c r="S6" s="45" t="s">
        <v>128</v>
      </c>
      <c r="T6" s="45" t="s">
        <v>128</v>
      </c>
      <c r="U6" s="45" t="s">
        <v>128</v>
      </c>
      <c r="V6" s="45" t="s">
        <v>128</v>
      </c>
      <c r="W6" s="45" t="s">
        <v>128</v>
      </c>
      <c r="X6" s="45" t="s">
        <v>128</v>
      </c>
      <c r="Y6" s="45" t="s">
        <v>128</v>
      </c>
      <c r="Z6" s="45" t="s">
        <v>128</v>
      </c>
      <c r="AA6" s="45" t="s">
        <v>128</v>
      </c>
      <c r="AB6" s="45" t="s">
        <v>128</v>
      </c>
      <c r="AC6" s="107" t="s">
        <v>128</v>
      </c>
      <c r="AD6" s="107" t="s">
        <v>128</v>
      </c>
      <c r="AE6" s="107" t="s">
        <v>128</v>
      </c>
      <c r="AF6" s="107" t="s">
        <v>128</v>
      </c>
      <c r="AG6" s="107" t="s">
        <v>128</v>
      </c>
      <c r="AH6" s="107" t="s">
        <v>128</v>
      </c>
      <c r="AI6" s="228"/>
      <c r="AJ6" s="228"/>
      <c r="AK6" s="228"/>
      <c r="AL6" s="228"/>
      <c r="AM6" s="228"/>
      <c r="AN6" s="228"/>
      <c r="AO6" s="140"/>
      <c r="AP6" s="140"/>
    </row>
    <row r="7" spans="1:42" s="48" customFormat="1" x14ac:dyDescent="0.2">
      <c r="A7" s="22"/>
      <c r="B7" s="22"/>
      <c r="C7" s="22"/>
      <c r="D7" s="22"/>
      <c r="E7" s="22"/>
      <c r="F7" s="22"/>
      <c r="G7" s="22"/>
      <c r="H7" s="22"/>
      <c r="I7" s="22"/>
      <c r="J7" s="36"/>
      <c r="K7" s="19">
        <v>0</v>
      </c>
      <c r="L7" s="198" t="s">
        <v>128</v>
      </c>
      <c r="M7" s="198" t="s">
        <v>128</v>
      </c>
      <c r="N7" s="197" t="s">
        <v>128</v>
      </c>
      <c r="O7" s="195">
        <v>1</v>
      </c>
      <c r="P7" s="45" t="s">
        <v>128</v>
      </c>
      <c r="Q7" s="45" t="s">
        <v>128</v>
      </c>
      <c r="R7" s="45" t="s">
        <v>128</v>
      </c>
      <c r="S7" s="45" t="s">
        <v>128</v>
      </c>
      <c r="T7" s="45" t="s">
        <v>128</v>
      </c>
      <c r="U7" s="45" t="s">
        <v>128</v>
      </c>
      <c r="V7" s="45" t="s">
        <v>128</v>
      </c>
      <c r="W7" s="45" t="s">
        <v>128</v>
      </c>
      <c r="X7" s="45" t="s">
        <v>128</v>
      </c>
      <c r="Y7" s="45" t="s">
        <v>128</v>
      </c>
      <c r="Z7" s="45" t="s">
        <v>128</v>
      </c>
      <c r="AA7" s="45" t="s">
        <v>128</v>
      </c>
      <c r="AB7" s="45" t="s">
        <v>128</v>
      </c>
      <c r="AC7" s="107" t="s">
        <v>128</v>
      </c>
      <c r="AD7" s="107" t="s">
        <v>128</v>
      </c>
      <c r="AE7" s="107" t="s">
        <v>128</v>
      </c>
      <c r="AF7" s="107" t="s">
        <v>128</v>
      </c>
      <c r="AG7" s="107" t="s">
        <v>128</v>
      </c>
      <c r="AH7" s="107" t="s">
        <v>128</v>
      </c>
      <c r="AI7" s="228"/>
      <c r="AJ7" s="228"/>
      <c r="AK7" s="228"/>
      <c r="AL7" s="228"/>
      <c r="AM7" s="228"/>
      <c r="AN7" s="228"/>
      <c r="AO7" s="140"/>
      <c r="AP7" s="140"/>
    </row>
    <row r="8" spans="1:42" s="48" customFormat="1" x14ac:dyDescent="0.2">
      <c r="A8" s="209"/>
      <c r="B8" s="8"/>
      <c r="C8" s="8"/>
      <c r="D8" s="8"/>
      <c r="E8" s="8"/>
      <c r="F8" s="8"/>
      <c r="G8" s="8"/>
      <c r="H8" s="8"/>
      <c r="I8" s="8"/>
      <c r="J8" s="37"/>
      <c r="K8" s="19">
        <v>0</v>
      </c>
      <c r="L8" s="198" t="s">
        <v>128</v>
      </c>
      <c r="M8" s="198" t="s">
        <v>128</v>
      </c>
      <c r="N8" s="197" t="s">
        <v>128</v>
      </c>
      <c r="O8" s="195">
        <v>1</v>
      </c>
      <c r="P8" s="45" t="s">
        <v>128</v>
      </c>
      <c r="Q8" s="45" t="s">
        <v>128</v>
      </c>
      <c r="R8" s="45" t="s">
        <v>128</v>
      </c>
      <c r="S8" s="45" t="s">
        <v>128</v>
      </c>
      <c r="T8" s="45" t="s">
        <v>128</v>
      </c>
      <c r="U8" s="45" t="s">
        <v>128</v>
      </c>
      <c r="V8" s="45" t="s">
        <v>128</v>
      </c>
      <c r="W8" s="45" t="s">
        <v>128</v>
      </c>
      <c r="X8" s="45" t="s">
        <v>128</v>
      </c>
      <c r="Y8" s="45" t="s">
        <v>128</v>
      </c>
      <c r="Z8" s="45" t="s">
        <v>128</v>
      </c>
      <c r="AA8" s="45" t="s">
        <v>128</v>
      </c>
      <c r="AB8" s="45" t="s">
        <v>128</v>
      </c>
      <c r="AC8" s="107" t="s">
        <v>128</v>
      </c>
      <c r="AD8" s="107" t="s">
        <v>128</v>
      </c>
      <c r="AE8" s="107" t="s">
        <v>128</v>
      </c>
      <c r="AF8" s="107" t="s">
        <v>128</v>
      </c>
      <c r="AG8" s="107" t="s">
        <v>128</v>
      </c>
      <c r="AH8" s="107" t="s">
        <v>128</v>
      </c>
      <c r="AI8" s="228"/>
      <c r="AJ8" s="228"/>
      <c r="AK8" s="228"/>
      <c r="AL8" s="228"/>
      <c r="AM8" s="228"/>
      <c r="AN8" s="228"/>
      <c r="AO8" s="140"/>
      <c r="AP8" s="140"/>
    </row>
    <row r="9" spans="1:42" s="48" customFormat="1" x14ac:dyDescent="0.2">
      <c r="A9" s="22"/>
      <c r="B9" s="22"/>
      <c r="C9" s="22"/>
      <c r="D9" s="22"/>
      <c r="E9" s="22"/>
      <c r="F9" s="22"/>
      <c r="G9" s="22"/>
      <c r="H9" s="22"/>
      <c r="I9" s="22"/>
      <c r="J9" s="36"/>
      <c r="K9" s="19">
        <v>0</v>
      </c>
      <c r="L9" s="198" t="s">
        <v>128</v>
      </c>
      <c r="M9" s="198" t="s">
        <v>128</v>
      </c>
      <c r="N9" s="197" t="s">
        <v>128</v>
      </c>
      <c r="O9" s="195">
        <v>1</v>
      </c>
      <c r="P9" s="45" t="s">
        <v>128</v>
      </c>
      <c r="Q9" s="45" t="s">
        <v>128</v>
      </c>
      <c r="R9" s="45" t="s">
        <v>128</v>
      </c>
      <c r="S9" s="45" t="s">
        <v>128</v>
      </c>
      <c r="T9" s="45" t="s">
        <v>128</v>
      </c>
      <c r="U9" s="45" t="s">
        <v>128</v>
      </c>
      <c r="V9" s="45" t="s">
        <v>128</v>
      </c>
      <c r="W9" s="45" t="s">
        <v>128</v>
      </c>
      <c r="X9" s="45" t="s">
        <v>128</v>
      </c>
      <c r="Y9" s="45" t="s">
        <v>128</v>
      </c>
      <c r="Z9" s="45" t="s">
        <v>128</v>
      </c>
      <c r="AA9" s="45" t="s">
        <v>128</v>
      </c>
      <c r="AB9" s="45" t="s">
        <v>128</v>
      </c>
      <c r="AC9" s="107" t="s">
        <v>128</v>
      </c>
      <c r="AD9" s="107" t="s">
        <v>128</v>
      </c>
      <c r="AE9" s="107" t="s">
        <v>128</v>
      </c>
      <c r="AF9" s="107" t="s">
        <v>128</v>
      </c>
      <c r="AG9" s="107" t="s">
        <v>128</v>
      </c>
      <c r="AH9" s="107" t="s">
        <v>128</v>
      </c>
      <c r="AI9" s="228"/>
      <c r="AJ9" s="228"/>
      <c r="AK9" s="228"/>
      <c r="AL9" s="228"/>
      <c r="AM9" s="228"/>
      <c r="AN9" s="228"/>
      <c r="AO9" s="140"/>
      <c r="AP9" s="140"/>
    </row>
    <row r="10" spans="1:42" s="48" customFormat="1" x14ac:dyDescent="0.2">
      <c r="A10" s="209"/>
      <c r="B10" s="8"/>
      <c r="C10" s="8"/>
      <c r="D10" s="8"/>
      <c r="E10" s="8"/>
      <c r="F10" s="8"/>
      <c r="G10" s="8"/>
      <c r="H10" s="8"/>
      <c r="I10" s="8"/>
      <c r="J10" s="37"/>
      <c r="K10" s="19">
        <v>0</v>
      </c>
      <c r="L10" s="198" t="s">
        <v>128</v>
      </c>
      <c r="M10" s="198" t="s">
        <v>128</v>
      </c>
      <c r="N10" s="197" t="s">
        <v>128</v>
      </c>
      <c r="O10" s="195">
        <v>1</v>
      </c>
      <c r="P10" s="45" t="s">
        <v>128</v>
      </c>
      <c r="Q10" s="45" t="s">
        <v>128</v>
      </c>
      <c r="R10" s="45" t="s">
        <v>128</v>
      </c>
      <c r="S10" s="45" t="s">
        <v>128</v>
      </c>
      <c r="T10" s="45" t="s">
        <v>128</v>
      </c>
      <c r="U10" s="45" t="s">
        <v>128</v>
      </c>
      <c r="V10" s="45" t="s">
        <v>128</v>
      </c>
      <c r="W10" s="45" t="s">
        <v>128</v>
      </c>
      <c r="X10" s="45" t="s">
        <v>128</v>
      </c>
      <c r="Y10" s="45" t="s">
        <v>128</v>
      </c>
      <c r="Z10" s="45" t="s">
        <v>128</v>
      </c>
      <c r="AA10" s="45" t="s">
        <v>128</v>
      </c>
      <c r="AB10" s="45" t="s">
        <v>128</v>
      </c>
      <c r="AC10" s="107" t="s">
        <v>128</v>
      </c>
      <c r="AD10" s="107" t="s">
        <v>128</v>
      </c>
      <c r="AE10" s="107" t="s">
        <v>128</v>
      </c>
      <c r="AF10" s="107" t="s">
        <v>128</v>
      </c>
      <c r="AG10" s="107" t="s">
        <v>128</v>
      </c>
      <c r="AH10" s="107" t="s">
        <v>128</v>
      </c>
      <c r="AI10" s="228"/>
      <c r="AJ10" s="228"/>
      <c r="AK10" s="228"/>
      <c r="AL10" s="228"/>
      <c r="AM10" s="228"/>
      <c r="AN10" s="228"/>
      <c r="AO10" s="140"/>
      <c r="AP10" s="140"/>
    </row>
    <row r="11" spans="1:42" s="48" customFormat="1" x14ac:dyDescent="0.2">
      <c r="A11" s="22"/>
      <c r="B11" s="22"/>
      <c r="C11" s="22"/>
      <c r="D11" s="22"/>
      <c r="E11" s="22"/>
      <c r="F11" s="22"/>
      <c r="G11" s="22"/>
      <c r="H11" s="22"/>
      <c r="I11" s="22"/>
      <c r="J11" s="36"/>
      <c r="K11" s="19">
        <v>0</v>
      </c>
      <c r="L11" s="198" t="s">
        <v>128</v>
      </c>
      <c r="M11" s="198" t="s">
        <v>128</v>
      </c>
      <c r="N11" s="197" t="s">
        <v>128</v>
      </c>
      <c r="O11" s="195">
        <v>1</v>
      </c>
      <c r="P11" s="45" t="s">
        <v>128</v>
      </c>
      <c r="Q11" s="45" t="s">
        <v>128</v>
      </c>
      <c r="R11" s="45" t="s">
        <v>128</v>
      </c>
      <c r="S11" s="45" t="s">
        <v>128</v>
      </c>
      <c r="T11" s="45" t="s">
        <v>128</v>
      </c>
      <c r="U11" s="45" t="s">
        <v>128</v>
      </c>
      <c r="V11" s="45" t="s">
        <v>128</v>
      </c>
      <c r="W11" s="45" t="s">
        <v>128</v>
      </c>
      <c r="X11" s="45" t="s">
        <v>128</v>
      </c>
      <c r="Y11" s="45" t="s">
        <v>128</v>
      </c>
      <c r="Z11" s="45" t="s">
        <v>128</v>
      </c>
      <c r="AA11" s="45" t="s">
        <v>128</v>
      </c>
      <c r="AB11" s="45" t="s">
        <v>128</v>
      </c>
      <c r="AC11" s="107" t="s">
        <v>128</v>
      </c>
      <c r="AD11" s="107" t="s">
        <v>128</v>
      </c>
      <c r="AE11" s="107" t="s">
        <v>128</v>
      </c>
      <c r="AF11" s="107" t="s">
        <v>128</v>
      </c>
      <c r="AG11" s="107" t="s">
        <v>128</v>
      </c>
      <c r="AH11" s="107" t="s">
        <v>128</v>
      </c>
      <c r="AI11" s="228"/>
      <c r="AJ11" s="228"/>
      <c r="AK11" s="228"/>
      <c r="AL11" s="228"/>
      <c r="AM11" s="228"/>
      <c r="AN11" s="228"/>
      <c r="AO11" s="140"/>
      <c r="AP11" s="140"/>
    </row>
    <row r="12" spans="1:42" s="48" customFormat="1" x14ac:dyDescent="0.2">
      <c r="A12" s="209"/>
      <c r="B12" s="8"/>
      <c r="C12" s="8"/>
      <c r="D12" s="8"/>
      <c r="E12" s="8"/>
      <c r="F12" s="8"/>
      <c r="G12" s="8"/>
      <c r="H12" s="8"/>
      <c r="I12" s="8"/>
      <c r="J12" s="37"/>
      <c r="K12" s="19">
        <v>0</v>
      </c>
      <c r="L12" s="198" t="s">
        <v>128</v>
      </c>
      <c r="M12" s="198" t="s">
        <v>128</v>
      </c>
      <c r="N12" s="197" t="s">
        <v>128</v>
      </c>
      <c r="O12" s="195">
        <v>1</v>
      </c>
      <c r="P12" s="45" t="s">
        <v>128</v>
      </c>
      <c r="Q12" s="45" t="s">
        <v>128</v>
      </c>
      <c r="R12" s="45" t="s">
        <v>128</v>
      </c>
      <c r="S12" s="45" t="s">
        <v>128</v>
      </c>
      <c r="T12" s="45" t="s">
        <v>128</v>
      </c>
      <c r="U12" s="45" t="s">
        <v>128</v>
      </c>
      <c r="V12" s="45" t="s">
        <v>128</v>
      </c>
      <c r="W12" s="45" t="s">
        <v>128</v>
      </c>
      <c r="X12" s="45" t="s">
        <v>128</v>
      </c>
      <c r="Y12" s="45" t="s">
        <v>128</v>
      </c>
      <c r="Z12" s="45" t="s">
        <v>128</v>
      </c>
      <c r="AA12" s="45" t="s">
        <v>128</v>
      </c>
      <c r="AB12" s="45" t="s">
        <v>128</v>
      </c>
      <c r="AC12" s="107" t="s">
        <v>128</v>
      </c>
      <c r="AD12" s="107" t="s">
        <v>128</v>
      </c>
      <c r="AE12" s="107" t="s">
        <v>128</v>
      </c>
      <c r="AF12" s="107" t="s">
        <v>128</v>
      </c>
      <c r="AG12" s="107" t="s">
        <v>128</v>
      </c>
      <c r="AH12" s="107" t="s">
        <v>128</v>
      </c>
      <c r="AI12" s="228"/>
      <c r="AJ12" s="228"/>
      <c r="AK12" s="228"/>
      <c r="AL12" s="228"/>
      <c r="AM12" s="228"/>
      <c r="AN12" s="228"/>
      <c r="AO12" s="140"/>
      <c r="AP12" s="140"/>
    </row>
    <row r="13" spans="1:42" s="48" customFormat="1" x14ac:dyDescent="0.2">
      <c r="A13" s="22"/>
      <c r="B13" s="22"/>
      <c r="C13" s="22"/>
      <c r="D13" s="22"/>
      <c r="E13" s="22"/>
      <c r="F13" s="22"/>
      <c r="G13" s="22"/>
      <c r="H13" s="22"/>
      <c r="I13" s="22"/>
      <c r="J13" s="36"/>
      <c r="K13" s="19">
        <v>0</v>
      </c>
      <c r="L13" s="198" t="s">
        <v>128</v>
      </c>
      <c r="M13" s="198" t="s">
        <v>128</v>
      </c>
      <c r="N13" s="197" t="s">
        <v>128</v>
      </c>
      <c r="O13" s="195">
        <v>1</v>
      </c>
      <c r="P13" s="45" t="s">
        <v>128</v>
      </c>
      <c r="Q13" s="45" t="s">
        <v>128</v>
      </c>
      <c r="R13" s="45" t="s">
        <v>128</v>
      </c>
      <c r="S13" s="45" t="s">
        <v>128</v>
      </c>
      <c r="T13" s="45" t="s">
        <v>128</v>
      </c>
      <c r="U13" s="45" t="s">
        <v>128</v>
      </c>
      <c r="V13" s="45" t="s">
        <v>128</v>
      </c>
      <c r="W13" s="45" t="s">
        <v>128</v>
      </c>
      <c r="X13" s="45" t="s">
        <v>128</v>
      </c>
      <c r="Y13" s="45" t="s">
        <v>128</v>
      </c>
      <c r="Z13" s="45" t="s">
        <v>128</v>
      </c>
      <c r="AA13" s="45" t="s">
        <v>128</v>
      </c>
      <c r="AB13" s="45" t="s">
        <v>128</v>
      </c>
      <c r="AC13" s="107" t="s">
        <v>128</v>
      </c>
      <c r="AD13" s="107" t="s">
        <v>128</v>
      </c>
      <c r="AE13" s="107" t="s">
        <v>128</v>
      </c>
      <c r="AF13" s="107" t="s">
        <v>128</v>
      </c>
      <c r="AG13" s="107" t="s">
        <v>128</v>
      </c>
      <c r="AH13" s="107" t="s">
        <v>128</v>
      </c>
      <c r="AI13" s="228"/>
      <c r="AJ13" s="228"/>
      <c r="AK13" s="228"/>
      <c r="AL13" s="228"/>
      <c r="AM13" s="228"/>
      <c r="AN13" s="228"/>
      <c r="AO13" s="140"/>
      <c r="AP13" s="140"/>
    </row>
    <row r="14" spans="1:42" s="48" customFormat="1" x14ac:dyDescent="0.2">
      <c r="A14" s="209"/>
      <c r="B14" s="8"/>
      <c r="C14" s="8"/>
      <c r="D14" s="8"/>
      <c r="E14" s="8"/>
      <c r="F14" s="8"/>
      <c r="G14" s="8"/>
      <c r="H14" s="8"/>
      <c r="I14" s="8"/>
      <c r="J14" s="37"/>
      <c r="K14" s="19">
        <v>0</v>
      </c>
      <c r="L14" s="198" t="s">
        <v>128</v>
      </c>
      <c r="M14" s="198" t="s">
        <v>128</v>
      </c>
      <c r="N14" s="197" t="s">
        <v>128</v>
      </c>
      <c r="O14" s="195">
        <v>1</v>
      </c>
      <c r="P14" s="45" t="s">
        <v>128</v>
      </c>
      <c r="Q14" s="45" t="s">
        <v>128</v>
      </c>
      <c r="R14" s="45" t="s">
        <v>128</v>
      </c>
      <c r="S14" s="45" t="s">
        <v>128</v>
      </c>
      <c r="T14" s="45" t="s">
        <v>128</v>
      </c>
      <c r="U14" s="45" t="s">
        <v>128</v>
      </c>
      <c r="V14" s="45" t="s">
        <v>128</v>
      </c>
      <c r="W14" s="45" t="s">
        <v>128</v>
      </c>
      <c r="X14" s="45" t="s">
        <v>128</v>
      </c>
      <c r="Y14" s="45" t="s">
        <v>128</v>
      </c>
      <c r="Z14" s="45" t="s">
        <v>128</v>
      </c>
      <c r="AA14" s="45" t="s">
        <v>128</v>
      </c>
      <c r="AB14" s="45" t="s">
        <v>128</v>
      </c>
      <c r="AC14" s="107" t="s">
        <v>128</v>
      </c>
      <c r="AD14" s="107" t="s">
        <v>128</v>
      </c>
      <c r="AE14" s="107" t="s">
        <v>128</v>
      </c>
      <c r="AF14" s="107" t="s">
        <v>128</v>
      </c>
      <c r="AG14" s="107" t="s">
        <v>128</v>
      </c>
      <c r="AH14" s="107" t="s">
        <v>128</v>
      </c>
      <c r="AI14" s="228"/>
      <c r="AJ14" s="228"/>
      <c r="AK14" s="228"/>
      <c r="AL14" s="228"/>
      <c r="AM14" s="228"/>
      <c r="AN14" s="228"/>
      <c r="AO14" s="140"/>
      <c r="AP14" s="140"/>
    </row>
    <row r="15" spans="1:42" s="48" customFormat="1" x14ac:dyDescent="0.2">
      <c r="A15" s="22"/>
      <c r="B15" s="22"/>
      <c r="C15" s="22"/>
      <c r="D15" s="22"/>
      <c r="E15" s="22"/>
      <c r="F15" s="22"/>
      <c r="G15" s="22"/>
      <c r="H15" s="22"/>
      <c r="I15" s="22"/>
      <c r="J15" s="36"/>
      <c r="K15" s="19">
        <v>0</v>
      </c>
      <c r="L15" s="198" t="s">
        <v>128</v>
      </c>
      <c r="M15" s="198" t="s">
        <v>128</v>
      </c>
      <c r="N15" s="197" t="s">
        <v>128</v>
      </c>
      <c r="O15" s="195">
        <v>1</v>
      </c>
      <c r="P15" s="45" t="s">
        <v>128</v>
      </c>
      <c r="Q15" s="45" t="s">
        <v>128</v>
      </c>
      <c r="R15" s="45" t="s">
        <v>128</v>
      </c>
      <c r="S15" s="45" t="s">
        <v>128</v>
      </c>
      <c r="T15" s="45" t="s">
        <v>128</v>
      </c>
      <c r="U15" s="45" t="s">
        <v>128</v>
      </c>
      <c r="V15" s="45" t="s">
        <v>128</v>
      </c>
      <c r="W15" s="45" t="s">
        <v>128</v>
      </c>
      <c r="X15" s="45" t="s">
        <v>128</v>
      </c>
      <c r="Y15" s="45" t="s">
        <v>128</v>
      </c>
      <c r="Z15" s="45" t="s">
        <v>128</v>
      </c>
      <c r="AA15" s="45" t="s">
        <v>128</v>
      </c>
      <c r="AB15" s="45" t="s">
        <v>128</v>
      </c>
      <c r="AC15" s="107" t="s">
        <v>128</v>
      </c>
      <c r="AD15" s="107" t="s">
        <v>128</v>
      </c>
      <c r="AE15" s="107" t="s">
        <v>128</v>
      </c>
      <c r="AF15" s="107" t="s">
        <v>128</v>
      </c>
      <c r="AG15" s="107" t="s">
        <v>128</v>
      </c>
      <c r="AH15" s="107" t="s">
        <v>128</v>
      </c>
      <c r="AI15" s="228"/>
      <c r="AJ15" s="228"/>
      <c r="AK15" s="228"/>
      <c r="AL15" s="228"/>
      <c r="AM15" s="228"/>
      <c r="AN15" s="228"/>
      <c r="AO15" s="140"/>
      <c r="AP15" s="140"/>
    </row>
    <row r="16" spans="1:42" s="48" customFormat="1" x14ac:dyDescent="0.2">
      <c r="A16" s="209"/>
      <c r="B16" s="8"/>
      <c r="C16" s="8"/>
      <c r="D16" s="8"/>
      <c r="E16" s="8"/>
      <c r="F16" s="8"/>
      <c r="G16" s="8"/>
      <c r="H16" s="8"/>
      <c r="I16" s="8"/>
      <c r="J16" s="37"/>
      <c r="K16" s="19">
        <v>0</v>
      </c>
      <c r="L16" s="198" t="s">
        <v>128</v>
      </c>
      <c r="M16" s="198" t="s">
        <v>128</v>
      </c>
      <c r="N16" s="197" t="s">
        <v>128</v>
      </c>
      <c r="O16" s="195">
        <v>1</v>
      </c>
      <c r="P16" s="45" t="s">
        <v>128</v>
      </c>
      <c r="Q16" s="45" t="s">
        <v>128</v>
      </c>
      <c r="R16" s="45" t="s">
        <v>128</v>
      </c>
      <c r="S16" s="45" t="s">
        <v>128</v>
      </c>
      <c r="T16" s="45" t="s">
        <v>128</v>
      </c>
      <c r="U16" s="45" t="s">
        <v>128</v>
      </c>
      <c r="V16" s="45" t="s">
        <v>128</v>
      </c>
      <c r="W16" s="45" t="s">
        <v>128</v>
      </c>
      <c r="X16" s="45" t="s">
        <v>128</v>
      </c>
      <c r="Y16" s="45" t="s">
        <v>128</v>
      </c>
      <c r="Z16" s="45" t="s">
        <v>128</v>
      </c>
      <c r="AA16" s="45" t="s">
        <v>128</v>
      </c>
      <c r="AB16" s="45" t="s">
        <v>128</v>
      </c>
      <c r="AC16" s="107" t="s">
        <v>128</v>
      </c>
      <c r="AD16" s="107" t="s">
        <v>128</v>
      </c>
      <c r="AE16" s="107" t="s">
        <v>128</v>
      </c>
      <c r="AF16" s="107" t="s">
        <v>128</v>
      </c>
      <c r="AG16" s="107" t="s">
        <v>128</v>
      </c>
      <c r="AH16" s="107" t="s">
        <v>128</v>
      </c>
      <c r="AI16" s="228"/>
      <c r="AJ16" s="228"/>
      <c r="AK16" s="228"/>
      <c r="AL16" s="228"/>
      <c r="AM16" s="228"/>
      <c r="AN16" s="228"/>
      <c r="AO16" s="140"/>
      <c r="AP16" s="140"/>
    </row>
    <row r="17" spans="1:42" s="48" customFormat="1" x14ac:dyDescent="0.2">
      <c r="A17" s="22"/>
      <c r="B17" s="22"/>
      <c r="C17" s="22"/>
      <c r="D17" s="22"/>
      <c r="E17" s="22"/>
      <c r="F17" s="22"/>
      <c r="G17" s="22"/>
      <c r="H17" s="22"/>
      <c r="I17" s="22"/>
      <c r="J17" s="36"/>
      <c r="K17" s="19">
        <v>0</v>
      </c>
      <c r="L17" s="198" t="s">
        <v>128</v>
      </c>
      <c r="M17" s="198" t="s">
        <v>128</v>
      </c>
      <c r="N17" s="197" t="s">
        <v>128</v>
      </c>
      <c r="O17" s="195">
        <v>1</v>
      </c>
      <c r="P17" s="45" t="s">
        <v>128</v>
      </c>
      <c r="Q17" s="45" t="s">
        <v>128</v>
      </c>
      <c r="R17" s="45" t="s">
        <v>128</v>
      </c>
      <c r="S17" s="45" t="s">
        <v>128</v>
      </c>
      <c r="T17" s="45" t="s">
        <v>128</v>
      </c>
      <c r="U17" s="45" t="s">
        <v>128</v>
      </c>
      <c r="V17" s="45" t="s">
        <v>128</v>
      </c>
      <c r="W17" s="45" t="s">
        <v>128</v>
      </c>
      <c r="X17" s="45" t="s">
        <v>128</v>
      </c>
      <c r="Y17" s="45" t="s">
        <v>128</v>
      </c>
      <c r="Z17" s="45" t="s">
        <v>128</v>
      </c>
      <c r="AA17" s="45" t="s">
        <v>128</v>
      </c>
      <c r="AB17" s="45" t="s">
        <v>128</v>
      </c>
      <c r="AC17" s="107" t="s">
        <v>128</v>
      </c>
      <c r="AD17" s="107" t="s">
        <v>128</v>
      </c>
      <c r="AE17" s="107" t="s">
        <v>128</v>
      </c>
      <c r="AF17" s="107" t="s">
        <v>128</v>
      </c>
      <c r="AG17" s="107" t="s">
        <v>128</v>
      </c>
      <c r="AH17" s="107" t="s">
        <v>128</v>
      </c>
      <c r="AI17" s="228"/>
      <c r="AJ17" s="228"/>
      <c r="AK17" s="228"/>
      <c r="AL17" s="228"/>
      <c r="AM17" s="228"/>
      <c r="AN17" s="228"/>
      <c r="AO17" s="140"/>
      <c r="AP17" s="140"/>
    </row>
    <row r="18" spans="1:42" s="48" customFormat="1" x14ac:dyDescent="0.2">
      <c r="A18" s="209"/>
      <c r="B18" s="8"/>
      <c r="C18" s="8"/>
      <c r="D18" s="8"/>
      <c r="E18" s="8"/>
      <c r="F18" s="8"/>
      <c r="G18" s="8"/>
      <c r="H18" s="8"/>
      <c r="I18" s="8"/>
      <c r="J18" s="37"/>
      <c r="K18" s="19">
        <v>0</v>
      </c>
      <c r="L18" s="198" t="s">
        <v>128</v>
      </c>
      <c r="M18" s="198" t="s">
        <v>128</v>
      </c>
      <c r="N18" s="197" t="s">
        <v>128</v>
      </c>
      <c r="O18" s="195">
        <v>1</v>
      </c>
      <c r="P18" s="45" t="s">
        <v>128</v>
      </c>
      <c r="Q18" s="45" t="s">
        <v>128</v>
      </c>
      <c r="R18" s="45" t="s">
        <v>128</v>
      </c>
      <c r="S18" s="45" t="s">
        <v>128</v>
      </c>
      <c r="T18" s="45" t="s">
        <v>128</v>
      </c>
      <c r="U18" s="45" t="s">
        <v>128</v>
      </c>
      <c r="V18" s="45" t="s">
        <v>128</v>
      </c>
      <c r="W18" s="45" t="s">
        <v>128</v>
      </c>
      <c r="X18" s="45" t="s">
        <v>128</v>
      </c>
      <c r="Y18" s="45" t="s">
        <v>128</v>
      </c>
      <c r="Z18" s="45" t="s">
        <v>128</v>
      </c>
      <c r="AA18" s="45" t="s">
        <v>128</v>
      </c>
      <c r="AB18" s="45" t="s">
        <v>128</v>
      </c>
      <c r="AC18" s="107" t="s">
        <v>128</v>
      </c>
      <c r="AD18" s="107" t="s">
        <v>128</v>
      </c>
      <c r="AE18" s="107" t="s">
        <v>128</v>
      </c>
      <c r="AF18" s="107" t="s">
        <v>128</v>
      </c>
      <c r="AG18" s="107" t="s">
        <v>128</v>
      </c>
      <c r="AH18" s="107" t="s">
        <v>128</v>
      </c>
      <c r="AI18" s="228"/>
      <c r="AJ18" s="228"/>
      <c r="AK18" s="228"/>
      <c r="AL18" s="228"/>
      <c r="AM18" s="228"/>
      <c r="AN18" s="228"/>
      <c r="AO18" s="279"/>
      <c r="AP18" s="140"/>
    </row>
    <row r="19" spans="1:42" s="48" customFormat="1" x14ac:dyDescent="0.2">
      <c r="A19" s="22"/>
      <c r="B19" s="22"/>
      <c r="C19" s="22"/>
      <c r="D19" s="22"/>
      <c r="E19" s="22"/>
      <c r="F19" s="22"/>
      <c r="G19" s="22"/>
      <c r="H19" s="22"/>
      <c r="I19" s="22"/>
      <c r="J19" s="36"/>
      <c r="K19" s="19">
        <v>0</v>
      </c>
      <c r="L19" s="198" t="s">
        <v>128</v>
      </c>
      <c r="M19" s="198" t="s">
        <v>128</v>
      </c>
      <c r="N19" s="197" t="s">
        <v>128</v>
      </c>
      <c r="O19" s="195">
        <v>1</v>
      </c>
      <c r="P19" s="45" t="s">
        <v>128</v>
      </c>
      <c r="Q19" s="45" t="s">
        <v>128</v>
      </c>
      <c r="R19" s="45" t="s">
        <v>128</v>
      </c>
      <c r="S19" s="45" t="s">
        <v>128</v>
      </c>
      <c r="T19" s="45" t="s">
        <v>128</v>
      </c>
      <c r="U19" s="45" t="s">
        <v>128</v>
      </c>
      <c r="V19" s="45" t="s">
        <v>128</v>
      </c>
      <c r="W19" s="45" t="s">
        <v>128</v>
      </c>
      <c r="X19" s="45" t="s">
        <v>128</v>
      </c>
      <c r="Y19" s="45" t="s">
        <v>128</v>
      </c>
      <c r="Z19" s="45" t="s">
        <v>128</v>
      </c>
      <c r="AA19" s="45" t="s">
        <v>128</v>
      </c>
      <c r="AB19" s="45" t="s">
        <v>128</v>
      </c>
      <c r="AC19" s="107" t="s">
        <v>128</v>
      </c>
      <c r="AD19" s="107" t="s">
        <v>128</v>
      </c>
      <c r="AE19" s="107" t="s">
        <v>128</v>
      </c>
      <c r="AF19" s="107" t="s">
        <v>128</v>
      </c>
      <c r="AG19" s="107" t="s">
        <v>128</v>
      </c>
      <c r="AH19" s="107" t="s">
        <v>128</v>
      </c>
      <c r="AI19" s="228"/>
      <c r="AJ19" s="228"/>
      <c r="AK19" s="228"/>
      <c r="AL19" s="228"/>
      <c r="AM19" s="228"/>
      <c r="AN19" s="228"/>
      <c r="AO19" s="279"/>
      <c r="AP19" s="140"/>
    </row>
    <row r="20" spans="1:42" s="48" customFormat="1" x14ac:dyDescent="0.2">
      <c r="A20" s="209"/>
      <c r="B20" s="8"/>
      <c r="C20" s="8"/>
      <c r="D20" s="8"/>
      <c r="E20" s="8"/>
      <c r="F20" s="8"/>
      <c r="G20" s="8"/>
      <c r="H20" s="8"/>
      <c r="I20" s="8"/>
      <c r="J20" s="37"/>
      <c r="K20" s="19">
        <v>0</v>
      </c>
      <c r="L20" s="198" t="s">
        <v>128</v>
      </c>
      <c r="M20" s="198" t="s">
        <v>128</v>
      </c>
      <c r="N20" s="197" t="s">
        <v>128</v>
      </c>
      <c r="O20" s="195">
        <v>1</v>
      </c>
      <c r="P20" s="45" t="s">
        <v>128</v>
      </c>
      <c r="Q20" s="45" t="s">
        <v>128</v>
      </c>
      <c r="R20" s="45" t="s">
        <v>128</v>
      </c>
      <c r="S20" s="45" t="s">
        <v>128</v>
      </c>
      <c r="T20" s="45" t="s">
        <v>128</v>
      </c>
      <c r="U20" s="45" t="s">
        <v>128</v>
      </c>
      <c r="V20" s="45" t="s">
        <v>128</v>
      </c>
      <c r="W20" s="45" t="s">
        <v>128</v>
      </c>
      <c r="X20" s="45" t="s">
        <v>128</v>
      </c>
      <c r="Y20" s="45" t="s">
        <v>128</v>
      </c>
      <c r="Z20" s="45" t="s">
        <v>128</v>
      </c>
      <c r="AA20" s="45" t="s">
        <v>128</v>
      </c>
      <c r="AB20" s="45" t="s">
        <v>128</v>
      </c>
      <c r="AC20" s="107" t="s">
        <v>128</v>
      </c>
      <c r="AD20" s="107" t="s">
        <v>128</v>
      </c>
      <c r="AE20" s="107" t="s">
        <v>128</v>
      </c>
      <c r="AF20" s="107" t="s">
        <v>128</v>
      </c>
      <c r="AG20" s="107" t="s">
        <v>128</v>
      </c>
      <c r="AH20" s="107" t="s">
        <v>128</v>
      </c>
      <c r="AI20" s="228"/>
      <c r="AJ20" s="228"/>
      <c r="AK20" s="228"/>
      <c r="AL20" s="228"/>
      <c r="AM20" s="228"/>
      <c r="AN20" s="228"/>
      <c r="AO20" s="279"/>
      <c r="AP20" s="140"/>
    </row>
    <row r="21" spans="1:42" s="48" customFormat="1" x14ac:dyDescent="0.2">
      <c r="A21" s="22"/>
      <c r="B21" s="22"/>
      <c r="C21" s="22"/>
      <c r="D21" s="22"/>
      <c r="E21" s="22"/>
      <c r="F21" s="22"/>
      <c r="G21" s="22"/>
      <c r="H21" s="22"/>
      <c r="I21" s="22"/>
      <c r="J21" s="36"/>
      <c r="K21" s="19">
        <v>0</v>
      </c>
      <c r="L21" s="198" t="s">
        <v>128</v>
      </c>
      <c r="M21" s="198" t="s">
        <v>128</v>
      </c>
      <c r="N21" s="197" t="s">
        <v>128</v>
      </c>
      <c r="O21" s="195">
        <v>1</v>
      </c>
      <c r="P21" s="45" t="s">
        <v>128</v>
      </c>
      <c r="Q21" s="45" t="s">
        <v>128</v>
      </c>
      <c r="R21" s="45" t="s">
        <v>128</v>
      </c>
      <c r="S21" s="45" t="s">
        <v>128</v>
      </c>
      <c r="T21" s="45" t="s">
        <v>128</v>
      </c>
      <c r="U21" s="45" t="s">
        <v>128</v>
      </c>
      <c r="V21" s="45" t="s">
        <v>128</v>
      </c>
      <c r="W21" s="45" t="s">
        <v>128</v>
      </c>
      <c r="X21" s="45" t="s">
        <v>128</v>
      </c>
      <c r="Y21" s="45" t="s">
        <v>128</v>
      </c>
      <c r="Z21" s="45" t="s">
        <v>128</v>
      </c>
      <c r="AA21" s="45" t="s">
        <v>128</v>
      </c>
      <c r="AB21" s="45" t="s">
        <v>128</v>
      </c>
      <c r="AC21" s="107" t="s">
        <v>128</v>
      </c>
      <c r="AD21" s="107" t="s">
        <v>128</v>
      </c>
      <c r="AE21" s="107" t="s">
        <v>128</v>
      </c>
      <c r="AF21" s="107" t="s">
        <v>128</v>
      </c>
      <c r="AG21" s="107" t="s">
        <v>128</v>
      </c>
      <c r="AH21" s="107" t="s">
        <v>128</v>
      </c>
      <c r="AI21" s="228"/>
      <c r="AJ21" s="228"/>
      <c r="AK21" s="228"/>
      <c r="AL21" s="228"/>
      <c r="AM21" s="228"/>
      <c r="AN21" s="228"/>
      <c r="AO21" s="140"/>
      <c r="AP21" s="140"/>
    </row>
    <row r="22" spans="1:42" s="48" customFormat="1" x14ac:dyDescent="0.2">
      <c r="A22" s="209"/>
      <c r="B22" s="8"/>
      <c r="C22" s="8"/>
      <c r="D22" s="8"/>
      <c r="E22" s="8"/>
      <c r="F22" s="8"/>
      <c r="G22" s="8"/>
      <c r="H22" s="8"/>
      <c r="I22" s="8"/>
      <c r="J22" s="37"/>
      <c r="K22" s="19">
        <v>0</v>
      </c>
      <c r="L22" s="198" t="s">
        <v>128</v>
      </c>
      <c r="M22" s="198" t="s">
        <v>128</v>
      </c>
      <c r="N22" s="197" t="s">
        <v>128</v>
      </c>
      <c r="O22" s="195">
        <v>1</v>
      </c>
      <c r="P22" s="45" t="s">
        <v>128</v>
      </c>
      <c r="Q22" s="45" t="s">
        <v>128</v>
      </c>
      <c r="R22" s="45" t="s">
        <v>128</v>
      </c>
      <c r="S22" s="45" t="s">
        <v>128</v>
      </c>
      <c r="T22" s="45" t="s">
        <v>128</v>
      </c>
      <c r="U22" s="45" t="s">
        <v>128</v>
      </c>
      <c r="V22" s="45" t="s">
        <v>128</v>
      </c>
      <c r="W22" s="45" t="s">
        <v>128</v>
      </c>
      <c r="X22" s="45" t="s">
        <v>128</v>
      </c>
      <c r="Y22" s="45" t="s">
        <v>128</v>
      </c>
      <c r="Z22" s="45" t="s">
        <v>128</v>
      </c>
      <c r="AA22" s="45" t="s">
        <v>128</v>
      </c>
      <c r="AB22" s="45" t="s">
        <v>128</v>
      </c>
      <c r="AC22" s="107" t="s">
        <v>128</v>
      </c>
      <c r="AD22" s="107" t="s">
        <v>128</v>
      </c>
      <c r="AE22" s="107" t="s">
        <v>128</v>
      </c>
      <c r="AF22" s="107" t="s">
        <v>128</v>
      </c>
      <c r="AG22" s="107" t="s">
        <v>128</v>
      </c>
      <c r="AH22" s="107" t="s">
        <v>128</v>
      </c>
      <c r="AI22" s="228"/>
      <c r="AJ22" s="228"/>
      <c r="AK22" s="228"/>
      <c r="AL22" s="228"/>
      <c r="AM22" s="228"/>
      <c r="AN22" s="228"/>
      <c r="AO22" s="140"/>
      <c r="AP22" s="140"/>
    </row>
    <row r="23" spans="1:42" s="48" customFormat="1" x14ac:dyDescent="0.2">
      <c r="A23" s="22"/>
      <c r="B23" s="22"/>
      <c r="C23" s="22"/>
      <c r="D23" s="22"/>
      <c r="E23" s="22"/>
      <c r="F23" s="22"/>
      <c r="G23" s="22"/>
      <c r="H23" s="22"/>
      <c r="I23" s="22"/>
      <c r="J23" s="36"/>
      <c r="K23" s="19">
        <v>0</v>
      </c>
      <c r="L23" s="198" t="s">
        <v>128</v>
      </c>
      <c r="M23" s="198" t="s">
        <v>128</v>
      </c>
      <c r="N23" s="197" t="s">
        <v>128</v>
      </c>
      <c r="O23" s="195">
        <v>1</v>
      </c>
      <c r="P23" s="45" t="s">
        <v>128</v>
      </c>
      <c r="Q23" s="45" t="s">
        <v>128</v>
      </c>
      <c r="R23" s="45" t="s">
        <v>128</v>
      </c>
      <c r="S23" s="45" t="s">
        <v>128</v>
      </c>
      <c r="T23" s="45" t="s">
        <v>128</v>
      </c>
      <c r="U23" s="45" t="s">
        <v>128</v>
      </c>
      <c r="V23" s="45" t="s">
        <v>128</v>
      </c>
      <c r="W23" s="45" t="s">
        <v>128</v>
      </c>
      <c r="X23" s="45" t="s">
        <v>128</v>
      </c>
      <c r="Y23" s="45" t="s">
        <v>128</v>
      </c>
      <c r="Z23" s="45" t="s">
        <v>128</v>
      </c>
      <c r="AA23" s="45" t="s">
        <v>128</v>
      </c>
      <c r="AB23" s="45" t="s">
        <v>128</v>
      </c>
      <c r="AC23" s="107" t="s">
        <v>128</v>
      </c>
      <c r="AD23" s="107" t="s">
        <v>128</v>
      </c>
      <c r="AE23" s="107" t="s">
        <v>128</v>
      </c>
      <c r="AF23" s="107" t="s">
        <v>128</v>
      </c>
      <c r="AG23" s="107" t="s">
        <v>128</v>
      </c>
      <c r="AH23" s="107" t="s">
        <v>128</v>
      </c>
      <c r="AI23" s="228"/>
      <c r="AJ23" s="228"/>
      <c r="AK23" s="228"/>
      <c r="AL23" s="228"/>
      <c r="AM23" s="228"/>
      <c r="AN23" s="228"/>
      <c r="AO23" s="140"/>
      <c r="AP23" s="140"/>
    </row>
    <row r="24" spans="1:42" s="48" customFormat="1" x14ac:dyDescent="0.2">
      <c r="A24" s="209"/>
      <c r="B24" s="8"/>
      <c r="C24" s="8"/>
      <c r="D24" s="8"/>
      <c r="E24" s="8"/>
      <c r="F24" s="8"/>
      <c r="G24" s="8"/>
      <c r="H24" s="8"/>
      <c r="I24" s="8"/>
      <c r="J24" s="37"/>
      <c r="K24" s="19">
        <v>0</v>
      </c>
      <c r="L24" s="198" t="s">
        <v>128</v>
      </c>
      <c r="M24" s="198" t="s">
        <v>128</v>
      </c>
      <c r="N24" s="197" t="s">
        <v>128</v>
      </c>
      <c r="O24" s="195">
        <v>1</v>
      </c>
      <c r="P24" s="45" t="s">
        <v>128</v>
      </c>
      <c r="Q24" s="45" t="s">
        <v>128</v>
      </c>
      <c r="R24" s="45" t="s">
        <v>128</v>
      </c>
      <c r="S24" s="45" t="s">
        <v>128</v>
      </c>
      <c r="T24" s="45" t="s">
        <v>128</v>
      </c>
      <c r="U24" s="45" t="s">
        <v>128</v>
      </c>
      <c r="V24" s="45" t="s">
        <v>128</v>
      </c>
      <c r="W24" s="45" t="s">
        <v>128</v>
      </c>
      <c r="X24" s="45" t="s">
        <v>128</v>
      </c>
      <c r="Y24" s="45" t="s">
        <v>128</v>
      </c>
      <c r="Z24" s="45" t="s">
        <v>128</v>
      </c>
      <c r="AA24" s="45" t="s">
        <v>128</v>
      </c>
      <c r="AB24" s="45" t="s">
        <v>128</v>
      </c>
      <c r="AC24" s="107" t="s">
        <v>128</v>
      </c>
      <c r="AD24" s="107" t="s">
        <v>128</v>
      </c>
      <c r="AE24" s="107" t="s">
        <v>128</v>
      </c>
      <c r="AF24" s="107" t="s">
        <v>128</v>
      </c>
      <c r="AG24" s="107" t="s">
        <v>128</v>
      </c>
      <c r="AH24" s="107" t="s">
        <v>128</v>
      </c>
      <c r="AI24" s="228"/>
      <c r="AJ24" s="228"/>
      <c r="AK24" s="228"/>
      <c r="AL24" s="228"/>
      <c r="AM24" s="228"/>
      <c r="AN24" s="228"/>
      <c r="AO24" s="140"/>
      <c r="AP24" s="140"/>
    </row>
    <row r="25" spans="1:42" s="48" customFormat="1" x14ac:dyDescent="0.2">
      <c r="A25" s="22"/>
      <c r="B25" s="22"/>
      <c r="C25" s="22"/>
      <c r="D25" s="22"/>
      <c r="E25" s="22"/>
      <c r="F25" s="22"/>
      <c r="G25" s="22"/>
      <c r="H25" s="22"/>
      <c r="I25" s="22"/>
      <c r="J25" s="36"/>
      <c r="K25" s="19">
        <v>0</v>
      </c>
      <c r="L25" s="198" t="s">
        <v>128</v>
      </c>
      <c r="M25" s="198" t="s">
        <v>128</v>
      </c>
      <c r="N25" s="197" t="s">
        <v>128</v>
      </c>
      <c r="O25" s="195">
        <v>1</v>
      </c>
      <c r="P25" s="45" t="s">
        <v>128</v>
      </c>
      <c r="Q25" s="45" t="s">
        <v>128</v>
      </c>
      <c r="R25" s="45" t="s">
        <v>128</v>
      </c>
      <c r="S25" s="45" t="s">
        <v>128</v>
      </c>
      <c r="T25" s="45" t="s">
        <v>128</v>
      </c>
      <c r="U25" s="45" t="s">
        <v>128</v>
      </c>
      <c r="V25" s="45" t="s">
        <v>128</v>
      </c>
      <c r="W25" s="45" t="s">
        <v>128</v>
      </c>
      <c r="X25" s="45" t="s">
        <v>128</v>
      </c>
      <c r="Y25" s="45" t="s">
        <v>128</v>
      </c>
      <c r="Z25" s="45" t="s">
        <v>128</v>
      </c>
      <c r="AA25" s="45" t="s">
        <v>128</v>
      </c>
      <c r="AB25" s="45" t="s">
        <v>128</v>
      </c>
      <c r="AC25" s="107" t="s">
        <v>128</v>
      </c>
      <c r="AD25" s="107" t="s">
        <v>128</v>
      </c>
      <c r="AE25" s="107" t="s">
        <v>128</v>
      </c>
      <c r="AF25" s="107" t="s">
        <v>128</v>
      </c>
      <c r="AG25" s="107" t="s">
        <v>128</v>
      </c>
      <c r="AH25" s="107" t="s">
        <v>128</v>
      </c>
      <c r="AI25" s="228"/>
      <c r="AJ25" s="228"/>
      <c r="AK25" s="228"/>
      <c r="AL25" s="228"/>
      <c r="AM25" s="228"/>
      <c r="AN25" s="228"/>
      <c r="AO25" s="140"/>
      <c r="AP25" s="140"/>
    </row>
    <row r="26" spans="1:42" s="48" customFormat="1" x14ac:dyDescent="0.2">
      <c r="A26" s="209"/>
      <c r="B26" s="8"/>
      <c r="C26" s="8"/>
      <c r="D26" s="8"/>
      <c r="E26" s="8"/>
      <c r="F26" s="8"/>
      <c r="G26" s="8"/>
      <c r="H26" s="8"/>
      <c r="I26" s="8"/>
      <c r="J26" s="37"/>
      <c r="K26" s="19">
        <v>0</v>
      </c>
      <c r="L26" s="198" t="s">
        <v>128</v>
      </c>
      <c r="M26" s="198" t="s">
        <v>128</v>
      </c>
      <c r="N26" s="197" t="s">
        <v>128</v>
      </c>
      <c r="O26" s="195">
        <v>1</v>
      </c>
      <c r="P26" s="45" t="s">
        <v>128</v>
      </c>
      <c r="Q26" s="45" t="s">
        <v>128</v>
      </c>
      <c r="R26" s="45" t="s">
        <v>128</v>
      </c>
      <c r="S26" s="45" t="s">
        <v>128</v>
      </c>
      <c r="T26" s="45" t="s">
        <v>128</v>
      </c>
      <c r="U26" s="45" t="s">
        <v>128</v>
      </c>
      <c r="V26" s="45" t="s">
        <v>128</v>
      </c>
      <c r="W26" s="45" t="s">
        <v>128</v>
      </c>
      <c r="X26" s="45" t="s">
        <v>128</v>
      </c>
      <c r="Y26" s="45" t="s">
        <v>128</v>
      </c>
      <c r="Z26" s="45" t="s">
        <v>128</v>
      </c>
      <c r="AA26" s="45" t="s">
        <v>128</v>
      </c>
      <c r="AB26" s="45" t="s">
        <v>128</v>
      </c>
      <c r="AC26" s="107" t="s">
        <v>128</v>
      </c>
      <c r="AD26" s="107" t="s">
        <v>128</v>
      </c>
      <c r="AE26" s="107" t="s">
        <v>128</v>
      </c>
      <c r="AF26" s="107" t="s">
        <v>128</v>
      </c>
      <c r="AG26" s="107" t="s">
        <v>128</v>
      </c>
      <c r="AH26" s="107" t="s">
        <v>128</v>
      </c>
      <c r="AI26" s="228"/>
      <c r="AJ26" s="228"/>
      <c r="AK26" s="228"/>
      <c r="AL26" s="228"/>
      <c r="AM26" s="228"/>
      <c r="AN26" s="228"/>
      <c r="AO26" s="140"/>
      <c r="AP26" s="140"/>
    </row>
    <row r="27" spans="1:42" s="48" customFormat="1" x14ac:dyDescent="0.2">
      <c r="A27" s="22"/>
      <c r="B27" s="22"/>
      <c r="C27" s="22"/>
      <c r="D27" s="22"/>
      <c r="E27" s="22"/>
      <c r="F27" s="22"/>
      <c r="G27" s="22"/>
      <c r="H27" s="22"/>
      <c r="I27" s="22"/>
      <c r="J27" s="36"/>
      <c r="K27" s="19">
        <v>0</v>
      </c>
      <c r="L27" s="198" t="s">
        <v>128</v>
      </c>
      <c r="M27" s="198" t="s">
        <v>128</v>
      </c>
      <c r="N27" s="197" t="s">
        <v>128</v>
      </c>
      <c r="O27" s="195">
        <v>1</v>
      </c>
      <c r="P27" s="45" t="s">
        <v>128</v>
      </c>
      <c r="Q27" s="45" t="s">
        <v>128</v>
      </c>
      <c r="R27" s="45" t="s">
        <v>128</v>
      </c>
      <c r="S27" s="45" t="s">
        <v>128</v>
      </c>
      <c r="T27" s="45" t="s">
        <v>128</v>
      </c>
      <c r="U27" s="45" t="s">
        <v>128</v>
      </c>
      <c r="V27" s="45" t="s">
        <v>128</v>
      </c>
      <c r="W27" s="45" t="s">
        <v>128</v>
      </c>
      <c r="X27" s="45" t="s">
        <v>128</v>
      </c>
      <c r="Y27" s="45" t="s">
        <v>128</v>
      </c>
      <c r="Z27" s="45" t="s">
        <v>128</v>
      </c>
      <c r="AA27" s="45" t="s">
        <v>128</v>
      </c>
      <c r="AB27" s="45" t="s">
        <v>128</v>
      </c>
      <c r="AC27" s="107" t="s">
        <v>128</v>
      </c>
      <c r="AD27" s="107" t="s">
        <v>128</v>
      </c>
      <c r="AE27" s="107" t="s">
        <v>128</v>
      </c>
      <c r="AF27" s="107" t="s">
        <v>128</v>
      </c>
      <c r="AG27" s="107" t="s">
        <v>128</v>
      </c>
      <c r="AH27" s="107" t="s">
        <v>128</v>
      </c>
      <c r="AI27" s="228"/>
      <c r="AJ27" s="228"/>
      <c r="AK27" s="228"/>
      <c r="AL27" s="228"/>
      <c r="AM27" s="228"/>
      <c r="AN27" s="228"/>
      <c r="AO27" s="140"/>
      <c r="AP27" s="140"/>
    </row>
    <row r="28" spans="1:42" s="48" customFormat="1" x14ac:dyDescent="0.2">
      <c r="A28" s="209"/>
      <c r="B28" s="8"/>
      <c r="C28" s="8"/>
      <c r="D28" s="8"/>
      <c r="E28" s="8"/>
      <c r="F28" s="8"/>
      <c r="G28" s="8"/>
      <c r="H28" s="8"/>
      <c r="I28" s="8"/>
      <c r="J28" s="37"/>
      <c r="K28" s="19">
        <v>0</v>
      </c>
      <c r="L28" s="198" t="s">
        <v>128</v>
      </c>
      <c r="M28" s="198" t="s">
        <v>128</v>
      </c>
      <c r="N28" s="197" t="s">
        <v>128</v>
      </c>
      <c r="O28" s="195">
        <v>1</v>
      </c>
      <c r="P28" s="45" t="s">
        <v>128</v>
      </c>
      <c r="Q28" s="45" t="s">
        <v>128</v>
      </c>
      <c r="R28" s="45" t="s">
        <v>128</v>
      </c>
      <c r="S28" s="45" t="s">
        <v>128</v>
      </c>
      <c r="T28" s="45" t="s">
        <v>128</v>
      </c>
      <c r="U28" s="45" t="s">
        <v>128</v>
      </c>
      <c r="V28" s="45" t="s">
        <v>128</v>
      </c>
      <c r="W28" s="45" t="s">
        <v>128</v>
      </c>
      <c r="X28" s="45" t="s">
        <v>128</v>
      </c>
      <c r="Y28" s="45" t="s">
        <v>128</v>
      </c>
      <c r="Z28" s="45" t="s">
        <v>128</v>
      </c>
      <c r="AA28" s="45" t="s">
        <v>128</v>
      </c>
      <c r="AB28" s="45" t="s">
        <v>128</v>
      </c>
      <c r="AC28" s="107" t="s">
        <v>128</v>
      </c>
      <c r="AD28" s="107" t="s">
        <v>128</v>
      </c>
      <c r="AE28" s="107" t="s">
        <v>128</v>
      </c>
      <c r="AF28" s="107" t="s">
        <v>128</v>
      </c>
      <c r="AG28" s="107" t="s">
        <v>128</v>
      </c>
      <c r="AH28" s="107" t="s">
        <v>128</v>
      </c>
      <c r="AI28" s="228"/>
      <c r="AJ28" s="228"/>
      <c r="AK28" s="228"/>
      <c r="AL28" s="228"/>
      <c r="AM28" s="228"/>
      <c r="AN28" s="228"/>
      <c r="AO28" s="140"/>
      <c r="AP28" s="140"/>
    </row>
    <row r="29" spans="1:42" s="48" customFormat="1" x14ac:dyDescent="0.2">
      <c r="A29" s="22"/>
      <c r="B29" s="22"/>
      <c r="C29" s="22"/>
      <c r="D29" s="22"/>
      <c r="E29" s="22"/>
      <c r="F29" s="22"/>
      <c r="G29" s="22"/>
      <c r="H29" s="22"/>
      <c r="I29" s="22"/>
      <c r="J29" s="36"/>
      <c r="K29" s="19">
        <v>0</v>
      </c>
      <c r="L29" s="198" t="s">
        <v>128</v>
      </c>
      <c r="M29" s="198" t="s">
        <v>128</v>
      </c>
      <c r="N29" s="197" t="s">
        <v>128</v>
      </c>
      <c r="O29" s="195">
        <v>1</v>
      </c>
      <c r="P29" s="45" t="s">
        <v>128</v>
      </c>
      <c r="Q29" s="45" t="s">
        <v>128</v>
      </c>
      <c r="R29" s="45" t="s">
        <v>128</v>
      </c>
      <c r="S29" s="45" t="s">
        <v>128</v>
      </c>
      <c r="T29" s="45" t="s">
        <v>128</v>
      </c>
      <c r="U29" s="45" t="s">
        <v>128</v>
      </c>
      <c r="V29" s="45" t="s">
        <v>128</v>
      </c>
      <c r="W29" s="45" t="s">
        <v>128</v>
      </c>
      <c r="X29" s="45" t="s">
        <v>128</v>
      </c>
      <c r="Y29" s="45" t="s">
        <v>128</v>
      </c>
      <c r="Z29" s="45" t="s">
        <v>128</v>
      </c>
      <c r="AA29" s="45" t="s">
        <v>128</v>
      </c>
      <c r="AB29" s="45" t="s">
        <v>128</v>
      </c>
      <c r="AC29" s="107" t="s">
        <v>128</v>
      </c>
      <c r="AD29" s="107" t="s">
        <v>128</v>
      </c>
      <c r="AE29" s="107" t="s">
        <v>128</v>
      </c>
      <c r="AF29" s="107" t="s">
        <v>128</v>
      </c>
      <c r="AG29" s="107" t="s">
        <v>128</v>
      </c>
      <c r="AH29" s="107" t="s">
        <v>128</v>
      </c>
      <c r="AI29" s="228"/>
      <c r="AJ29" s="228"/>
      <c r="AK29" s="228"/>
      <c r="AL29" s="228"/>
      <c r="AM29" s="228"/>
      <c r="AN29" s="228"/>
      <c r="AO29" s="140"/>
      <c r="AP29" s="140"/>
    </row>
    <row r="30" spans="1:42" s="48" customFormat="1" x14ac:dyDescent="0.2">
      <c r="A30" s="209"/>
      <c r="B30" s="8"/>
      <c r="C30" s="8"/>
      <c r="D30" s="8"/>
      <c r="E30" s="8"/>
      <c r="F30" s="8"/>
      <c r="G30" s="8"/>
      <c r="H30" s="8"/>
      <c r="I30" s="8"/>
      <c r="J30" s="37"/>
      <c r="K30" s="19">
        <v>0</v>
      </c>
      <c r="L30" s="198" t="s">
        <v>128</v>
      </c>
      <c r="M30" s="198" t="s">
        <v>128</v>
      </c>
      <c r="N30" s="197" t="s">
        <v>128</v>
      </c>
      <c r="O30" s="195">
        <v>1</v>
      </c>
      <c r="P30" s="45" t="s">
        <v>128</v>
      </c>
      <c r="Q30" s="45" t="s">
        <v>128</v>
      </c>
      <c r="R30" s="45" t="s">
        <v>128</v>
      </c>
      <c r="S30" s="45" t="s">
        <v>128</v>
      </c>
      <c r="T30" s="45" t="s">
        <v>128</v>
      </c>
      <c r="U30" s="45" t="s">
        <v>128</v>
      </c>
      <c r="V30" s="45" t="s">
        <v>128</v>
      </c>
      <c r="W30" s="45" t="s">
        <v>128</v>
      </c>
      <c r="X30" s="45" t="s">
        <v>128</v>
      </c>
      <c r="Y30" s="45" t="s">
        <v>128</v>
      </c>
      <c r="Z30" s="45" t="s">
        <v>128</v>
      </c>
      <c r="AA30" s="45" t="s">
        <v>128</v>
      </c>
      <c r="AB30" s="45" t="s">
        <v>128</v>
      </c>
      <c r="AC30" s="107" t="s">
        <v>128</v>
      </c>
      <c r="AD30" s="107" t="s">
        <v>128</v>
      </c>
      <c r="AE30" s="107" t="s">
        <v>128</v>
      </c>
      <c r="AF30" s="107" t="s">
        <v>128</v>
      </c>
      <c r="AG30" s="107" t="s">
        <v>128</v>
      </c>
      <c r="AH30" s="107" t="s">
        <v>128</v>
      </c>
      <c r="AI30" s="228"/>
      <c r="AJ30" s="228"/>
      <c r="AK30" s="228"/>
      <c r="AL30" s="228"/>
      <c r="AM30" s="228"/>
      <c r="AN30" s="228"/>
      <c r="AO30" s="140"/>
      <c r="AP30" s="140"/>
    </row>
    <row r="31" spans="1:42" s="48" customFormat="1" x14ac:dyDescent="0.2">
      <c r="A31" s="22"/>
      <c r="B31" s="22"/>
      <c r="C31" s="22"/>
      <c r="D31" s="22"/>
      <c r="E31" s="22"/>
      <c r="F31" s="22"/>
      <c r="G31" s="22"/>
      <c r="H31" s="22"/>
      <c r="I31" s="22"/>
      <c r="J31" s="36"/>
      <c r="K31" s="19">
        <v>0</v>
      </c>
      <c r="L31" s="198" t="s">
        <v>128</v>
      </c>
      <c r="M31" s="198" t="s">
        <v>128</v>
      </c>
      <c r="N31" s="197" t="s">
        <v>128</v>
      </c>
      <c r="O31" s="195">
        <v>1</v>
      </c>
      <c r="P31" s="45" t="s">
        <v>128</v>
      </c>
      <c r="Q31" s="45" t="s">
        <v>128</v>
      </c>
      <c r="R31" s="45" t="s">
        <v>128</v>
      </c>
      <c r="S31" s="45" t="s">
        <v>128</v>
      </c>
      <c r="T31" s="45" t="s">
        <v>128</v>
      </c>
      <c r="U31" s="45" t="s">
        <v>128</v>
      </c>
      <c r="V31" s="45" t="s">
        <v>128</v>
      </c>
      <c r="W31" s="45" t="s">
        <v>128</v>
      </c>
      <c r="X31" s="45" t="s">
        <v>128</v>
      </c>
      <c r="Y31" s="45" t="s">
        <v>128</v>
      </c>
      <c r="Z31" s="45" t="s">
        <v>128</v>
      </c>
      <c r="AA31" s="45" t="s">
        <v>128</v>
      </c>
      <c r="AB31" s="45" t="s">
        <v>128</v>
      </c>
      <c r="AC31" s="107" t="s">
        <v>128</v>
      </c>
      <c r="AD31" s="107" t="s">
        <v>128</v>
      </c>
      <c r="AE31" s="107" t="s">
        <v>128</v>
      </c>
      <c r="AF31" s="107" t="s">
        <v>128</v>
      </c>
      <c r="AG31" s="107" t="s">
        <v>128</v>
      </c>
      <c r="AH31" s="107" t="s">
        <v>128</v>
      </c>
      <c r="AI31" s="228"/>
      <c r="AJ31" s="228"/>
      <c r="AK31" s="228"/>
      <c r="AL31" s="228"/>
      <c r="AM31" s="228"/>
      <c r="AN31" s="228"/>
      <c r="AO31" s="140"/>
      <c r="AP31" s="140"/>
    </row>
    <row r="32" spans="1:42" s="48" customFormat="1" x14ac:dyDescent="0.2">
      <c r="A32" s="209"/>
      <c r="B32" s="8"/>
      <c r="C32" s="8"/>
      <c r="D32" s="8"/>
      <c r="E32" s="8"/>
      <c r="F32" s="8"/>
      <c r="G32" s="8"/>
      <c r="H32" s="8"/>
      <c r="I32" s="8"/>
      <c r="J32" s="37"/>
      <c r="K32" s="19">
        <v>0</v>
      </c>
      <c r="L32" s="198" t="s">
        <v>128</v>
      </c>
      <c r="M32" s="198" t="s">
        <v>128</v>
      </c>
      <c r="N32" s="197" t="s">
        <v>128</v>
      </c>
      <c r="O32" s="195">
        <v>1</v>
      </c>
      <c r="P32" s="45" t="s">
        <v>128</v>
      </c>
      <c r="Q32" s="45" t="s">
        <v>128</v>
      </c>
      <c r="R32" s="45" t="s">
        <v>128</v>
      </c>
      <c r="S32" s="45" t="s">
        <v>128</v>
      </c>
      <c r="T32" s="45" t="s">
        <v>128</v>
      </c>
      <c r="U32" s="45" t="s">
        <v>128</v>
      </c>
      <c r="V32" s="45" t="s">
        <v>128</v>
      </c>
      <c r="W32" s="45" t="s">
        <v>128</v>
      </c>
      <c r="X32" s="45" t="s">
        <v>128</v>
      </c>
      <c r="Y32" s="45" t="s">
        <v>128</v>
      </c>
      <c r="Z32" s="45" t="s">
        <v>128</v>
      </c>
      <c r="AA32" s="45" t="s">
        <v>128</v>
      </c>
      <c r="AB32" s="45" t="s">
        <v>128</v>
      </c>
      <c r="AC32" s="107" t="s">
        <v>128</v>
      </c>
      <c r="AD32" s="107" t="s">
        <v>128</v>
      </c>
      <c r="AE32" s="107" t="s">
        <v>128</v>
      </c>
      <c r="AF32" s="107" t="s">
        <v>128</v>
      </c>
      <c r="AG32" s="107" t="s">
        <v>128</v>
      </c>
      <c r="AH32" s="107" t="s">
        <v>128</v>
      </c>
      <c r="AI32" s="228"/>
      <c r="AJ32" s="228"/>
      <c r="AK32" s="228"/>
      <c r="AL32" s="228"/>
      <c r="AM32" s="228"/>
      <c r="AN32" s="228"/>
      <c r="AO32" s="140"/>
      <c r="AP32" s="140"/>
    </row>
    <row r="33" spans="1:42" s="48" customFormat="1" x14ac:dyDescent="0.2">
      <c r="A33" s="22"/>
      <c r="B33" s="22"/>
      <c r="C33" s="22"/>
      <c r="D33" s="22"/>
      <c r="E33" s="22"/>
      <c r="F33" s="22"/>
      <c r="G33" s="22"/>
      <c r="H33" s="22"/>
      <c r="I33" s="22"/>
      <c r="J33" s="36"/>
      <c r="K33" s="19">
        <v>0</v>
      </c>
      <c r="L33" s="198" t="s">
        <v>128</v>
      </c>
      <c r="M33" s="198" t="s">
        <v>128</v>
      </c>
      <c r="N33" s="197" t="s">
        <v>128</v>
      </c>
      <c r="O33" s="195">
        <v>1</v>
      </c>
      <c r="P33" s="45" t="s">
        <v>128</v>
      </c>
      <c r="Q33" s="45" t="s">
        <v>128</v>
      </c>
      <c r="R33" s="45" t="s">
        <v>128</v>
      </c>
      <c r="S33" s="45" t="s">
        <v>128</v>
      </c>
      <c r="T33" s="45" t="s">
        <v>128</v>
      </c>
      <c r="U33" s="45" t="s">
        <v>128</v>
      </c>
      <c r="V33" s="45" t="s">
        <v>128</v>
      </c>
      <c r="W33" s="45" t="s">
        <v>128</v>
      </c>
      <c r="X33" s="45" t="s">
        <v>128</v>
      </c>
      <c r="Y33" s="45" t="s">
        <v>128</v>
      </c>
      <c r="Z33" s="45" t="s">
        <v>128</v>
      </c>
      <c r="AA33" s="45" t="s">
        <v>128</v>
      </c>
      <c r="AB33" s="45" t="s">
        <v>128</v>
      </c>
      <c r="AC33" s="107" t="s">
        <v>128</v>
      </c>
      <c r="AD33" s="107" t="s">
        <v>128</v>
      </c>
      <c r="AE33" s="107" t="s">
        <v>128</v>
      </c>
      <c r="AF33" s="107" t="s">
        <v>128</v>
      </c>
      <c r="AG33" s="107" t="s">
        <v>128</v>
      </c>
      <c r="AH33" s="107" t="s">
        <v>128</v>
      </c>
      <c r="AI33" s="228"/>
      <c r="AJ33" s="228"/>
      <c r="AK33" s="228"/>
      <c r="AL33" s="228"/>
      <c r="AM33" s="228"/>
      <c r="AN33" s="228"/>
      <c r="AO33" s="140"/>
      <c r="AP33" s="140"/>
    </row>
    <row r="34" spans="1:42" s="48" customFormat="1" x14ac:dyDescent="0.2">
      <c r="A34" s="209"/>
      <c r="B34" s="8"/>
      <c r="C34" s="8"/>
      <c r="D34" s="8"/>
      <c r="E34" s="8"/>
      <c r="F34" s="8"/>
      <c r="G34" s="8"/>
      <c r="H34" s="8"/>
      <c r="I34" s="8"/>
      <c r="J34" s="37"/>
      <c r="K34" s="19">
        <v>0</v>
      </c>
      <c r="L34" s="198" t="s">
        <v>128</v>
      </c>
      <c r="M34" s="198" t="s">
        <v>128</v>
      </c>
      <c r="N34" s="197" t="s">
        <v>128</v>
      </c>
      <c r="O34" s="195">
        <v>1</v>
      </c>
      <c r="P34" s="45" t="s">
        <v>128</v>
      </c>
      <c r="Q34" s="45" t="s">
        <v>128</v>
      </c>
      <c r="R34" s="45" t="s">
        <v>128</v>
      </c>
      <c r="S34" s="45" t="s">
        <v>128</v>
      </c>
      <c r="T34" s="45" t="s">
        <v>128</v>
      </c>
      <c r="U34" s="45" t="s">
        <v>128</v>
      </c>
      <c r="V34" s="45" t="s">
        <v>128</v>
      </c>
      <c r="W34" s="45" t="s">
        <v>128</v>
      </c>
      <c r="X34" s="45" t="s">
        <v>128</v>
      </c>
      <c r="Y34" s="45" t="s">
        <v>128</v>
      </c>
      <c r="Z34" s="45" t="s">
        <v>128</v>
      </c>
      <c r="AA34" s="45" t="s">
        <v>128</v>
      </c>
      <c r="AB34" s="45" t="s">
        <v>128</v>
      </c>
      <c r="AC34" s="107" t="s">
        <v>128</v>
      </c>
      <c r="AD34" s="107" t="s">
        <v>128</v>
      </c>
      <c r="AE34" s="107" t="s">
        <v>128</v>
      </c>
      <c r="AF34" s="107" t="s">
        <v>128</v>
      </c>
      <c r="AG34" s="107" t="s">
        <v>128</v>
      </c>
      <c r="AH34" s="107" t="s">
        <v>128</v>
      </c>
      <c r="AI34" s="228"/>
      <c r="AJ34" s="228"/>
      <c r="AK34" s="228"/>
      <c r="AL34" s="228"/>
      <c r="AM34" s="228"/>
      <c r="AN34" s="228"/>
      <c r="AO34" s="228"/>
      <c r="AP34" s="228"/>
    </row>
    <row r="35" spans="1:42" s="48" customFormat="1" x14ac:dyDescent="0.2">
      <c r="A35" s="22"/>
      <c r="B35" s="22"/>
      <c r="C35" s="22"/>
      <c r="D35" s="22"/>
      <c r="E35" s="22"/>
      <c r="F35" s="22"/>
      <c r="G35" s="22"/>
      <c r="H35" s="22"/>
      <c r="I35" s="22"/>
      <c r="J35" s="36"/>
      <c r="K35" s="19">
        <v>0</v>
      </c>
      <c r="L35" s="198" t="s">
        <v>128</v>
      </c>
      <c r="M35" s="198" t="s">
        <v>128</v>
      </c>
      <c r="N35" s="197" t="s">
        <v>128</v>
      </c>
      <c r="O35" s="195">
        <v>1</v>
      </c>
      <c r="P35" s="45" t="s">
        <v>128</v>
      </c>
      <c r="Q35" s="45" t="s">
        <v>128</v>
      </c>
      <c r="R35" s="45" t="s">
        <v>128</v>
      </c>
      <c r="S35" s="45" t="s">
        <v>128</v>
      </c>
      <c r="T35" s="45" t="s">
        <v>128</v>
      </c>
      <c r="U35" s="45" t="s">
        <v>128</v>
      </c>
      <c r="V35" s="45" t="s">
        <v>128</v>
      </c>
      <c r="W35" s="45" t="s">
        <v>128</v>
      </c>
      <c r="X35" s="45" t="s">
        <v>128</v>
      </c>
      <c r="Y35" s="45" t="s">
        <v>128</v>
      </c>
      <c r="Z35" s="45" t="s">
        <v>128</v>
      </c>
      <c r="AA35" s="45" t="s">
        <v>128</v>
      </c>
      <c r="AB35" s="45" t="s">
        <v>128</v>
      </c>
      <c r="AC35" s="107" t="s">
        <v>128</v>
      </c>
      <c r="AD35" s="107" t="s">
        <v>128</v>
      </c>
      <c r="AE35" s="107" t="s">
        <v>128</v>
      </c>
      <c r="AF35" s="107" t="s">
        <v>128</v>
      </c>
      <c r="AG35" s="107" t="s">
        <v>128</v>
      </c>
      <c r="AH35" s="107" t="s">
        <v>128</v>
      </c>
      <c r="AI35" s="228"/>
      <c r="AJ35" s="228"/>
      <c r="AK35" s="228"/>
      <c r="AL35" s="228"/>
      <c r="AM35" s="228"/>
      <c r="AN35" s="228"/>
      <c r="AO35" s="228"/>
      <c r="AP35" s="228"/>
    </row>
    <row r="36" spans="1:42" s="48" customFormat="1" x14ac:dyDescent="0.2">
      <c r="A36" s="209"/>
      <c r="B36" s="8"/>
      <c r="C36" s="8"/>
      <c r="D36" s="8"/>
      <c r="E36" s="8"/>
      <c r="F36" s="8"/>
      <c r="G36" s="8"/>
      <c r="H36" s="8"/>
      <c r="I36" s="8"/>
      <c r="J36" s="37"/>
      <c r="K36" s="19">
        <v>0</v>
      </c>
      <c r="L36" s="198" t="s">
        <v>128</v>
      </c>
      <c r="M36" s="198" t="s">
        <v>128</v>
      </c>
      <c r="N36" s="197" t="s">
        <v>128</v>
      </c>
      <c r="O36" s="195">
        <v>1</v>
      </c>
      <c r="P36" s="45" t="s">
        <v>128</v>
      </c>
      <c r="Q36" s="45" t="s">
        <v>128</v>
      </c>
      <c r="R36" s="45" t="s">
        <v>128</v>
      </c>
      <c r="S36" s="45" t="s">
        <v>128</v>
      </c>
      <c r="T36" s="45" t="s">
        <v>128</v>
      </c>
      <c r="U36" s="45" t="s">
        <v>128</v>
      </c>
      <c r="V36" s="45" t="s">
        <v>128</v>
      </c>
      <c r="W36" s="45" t="s">
        <v>128</v>
      </c>
      <c r="X36" s="45" t="s">
        <v>128</v>
      </c>
      <c r="Y36" s="45" t="s">
        <v>128</v>
      </c>
      <c r="Z36" s="45" t="s">
        <v>128</v>
      </c>
      <c r="AA36" s="45" t="s">
        <v>128</v>
      </c>
      <c r="AB36" s="45" t="s">
        <v>128</v>
      </c>
      <c r="AC36" s="107" t="s">
        <v>128</v>
      </c>
      <c r="AD36" s="107" t="s">
        <v>128</v>
      </c>
      <c r="AE36" s="107" t="s">
        <v>128</v>
      </c>
      <c r="AF36" s="107" t="s">
        <v>128</v>
      </c>
      <c r="AG36" s="107" t="s">
        <v>128</v>
      </c>
      <c r="AH36" s="107" t="s">
        <v>128</v>
      </c>
      <c r="AI36" s="228"/>
      <c r="AJ36" s="228"/>
      <c r="AK36" s="228"/>
      <c r="AL36" s="228"/>
      <c r="AM36" s="228"/>
      <c r="AN36" s="228"/>
      <c r="AO36" s="228"/>
      <c r="AP36" s="228"/>
    </row>
    <row r="37" spans="1:42" s="48" customFormat="1" x14ac:dyDescent="0.2">
      <c r="A37" s="22"/>
      <c r="B37" s="22"/>
      <c r="C37" s="22"/>
      <c r="D37" s="22"/>
      <c r="E37" s="22"/>
      <c r="F37" s="22"/>
      <c r="G37" s="22"/>
      <c r="H37" s="22"/>
      <c r="I37" s="22"/>
      <c r="J37" s="36"/>
      <c r="K37" s="19">
        <v>0</v>
      </c>
      <c r="L37" s="198" t="s">
        <v>128</v>
      </c>
      <c r="M37" s="198" t="s">
        <v>128</v>
      </c>
      <c r="N37" s="197" t="s">
        <v>128</v>
      </c>
      <c r="O37" s="195">
        <v>1</v>
      </c>
      <c r="P37" s="45" t="s">
        <v>128</v>
      </c>
      <c r="Q37" s="45" t="s">
        <v>128</v>
      </c>
      <c r="R37" s="45" t="s">
        <v>128</v>
      </c>
      <c r="S37" s="45" t="s">
        <v>128</v>
      </c>
      <c r="T37" s="45" t="s">
        <v>128</v>
      </c>
      <c r="U37" s="45" t="s">
        <v>128</v>
      </c>
      <c r="V37" s="45" t="s">
        <v>128</v>
      </c>
      <c r="W37" s="45" t="s">
        <v>128</v>
      </c>
      <c r="X37" s="45" t="s">
        <v>128</v>
      </c>
      <c r="Y37" s="45" t="s">
        <v>128</v>
      </c>
      <c r="Z37" s="45" t="s">
        <v>128</v>
      </c>
      <c r="AA37" s="45" t="s">
        <v>128</v>
      </c>
      <c r="AB37" s="45" t="s">
        <v>128</v>
      </c>
      <c r="AC37" s="107" t="s">
        <v>128</v>
      </c>
      <c r="AD37" s="107" t="s">
        <v>128</v>
      </c>
      <c r="AE37" s="107" t="s">
        <v>128</v>
      </c>
      <c r="AF37" s="107" t="s">
        <v>128</v>
      </c>
      <c r="AG37" s="107" t="s">
        <v>128</v>
      </c>
      <c r="AH37" s="107" t="s">
        <v>128</v>
      </c>
      <c r="AI37" s="228"/>
      <c r="AJ37" s="228"/>
      <c r="AK37" s="228"/>
      <c r="AL37" s="228"/>
      <c r="AM37" s="228"/>
      <c r="AN37" s="228"/>
      <c r="AO37" s="228"/>
      <c r="AP37" s="228"/>
    </row>
    <row r="38" spans="1:42" s="48" customFormat="1" x14ac:dyDescent="0.15">
      <c r="A38" s="209"/>
      <c r="B38" s="8"/>
      <c r="C38" s="8"/>
      <c r="D38" s="8"/>
      <c r="E38" s="8"/>
      <c r="F38" s="8"/>
      <c r="G38" s="8"/>
      <c r="H38" s="8"/>
      <c r="I38" s="8"/>
      <c r="J38" s="37"/>
      <c r="K38" s="19">
        <v>0</v>
      </c>
      <c r="L38" s="198" t="s">
        <v>128</v>
      </c>
      <c r="M38" s="198" t="s">
        <v>128</v>
      </c>
      <c r="N38" s="197" t="s">
        <v>128</v>
      </c>
      <c r="O38" s="195">
        <v>1</v>
      </c>
      <c r="P38" s="45" t="s">
        <v>128</v>
      </c>
      <c r="Q38" s="45" t="s">
        <v>128</v>
      </c>
      <c r="R38" s="45" t="s">
        <v>128</v>
      </c>
      <c r="S38" s="45" t="s">
        <v>128</v>
      </c>
      <c r="T38" s="45" t="s">
        <v>128</v>
      </c>
      <c r="U38" s="45" t="s">
        <v>128</v>
      </c>
      <c r="V38" s="45" t="s">
        <v>128</v>
      </c>
      <c r="W38" s="45" t="s">
        <v>128</v>
      </c>
      <c r="X38" s="45" t="s">
        <v>128</v>
      </c>
      <c r="Y38" s="45" t="s">
        <v>128</v>
      </c>
      <c r="Z38" s="45" t="s">
        <v>128</v>
      </c>
      <c r="AA38" s="45" t="s">
        <v>128</v>
      </c>
      <c r="AB38" s="45" t="s">
        <v>128</v>
      </c>
      <c r="AC38" s="107" t="s">
        <v>128</v>
      </c>
      <c r="AD38" s="107" t="s">
        <v>128</v>
      </c>
      <c r="AE38" s="107" t="s">
        <v>128</v>
      </c>
      <c r="AF38" s="107" t="s">
        <v>128</v>
      </c>
      <c r="AG38" s="107" t="s">
        <v>128</v>
      </c>
      <c r="AH38" s="107" t="s">
        <v>128</v>
      </c>
      <c r="AI38" s="205"/>
      <c r="AJ38" s="140"/>
      <c r="AK38" s="305"/>
      <c r="AL38" s="306"/>
      <c r="AM38" s="228"/>
      <c r="AN38" s="140"/>
      <c r="AO38" s="140"/>
      <c r="AP38" s="140"/>
    </row>
    <row r="39" spans="1:42" s="48" customFormat="1" x14ac:dyDescent="0.2">
      <c r="A39" s="22"/>
      <c r="B39" s="22"/>
      <c r="C39" s="22"/>
      <c r="D39" s="22"/>
      <c r="E39" s="22"/>
      <c r="F39" s="22"/>
      <c r="G39" s="22"/>
      <c r="H39" s="22"/>
      <c r="I39" s="22"/>
      <c r="J39" s="36"/>
      <c r="K39" s="19">
        <v>0</v>
      </c>
      <c r="L39" s="198" t="s">
        <v>128</v>
      </c>
      <c r="M39" s="198" t="s">
        <v>128</v>
      </c>
      <c r="N39" s="197" t="s">
        <v>128</v>
      </c>
      <c r="O39" s="195">
        <v>1</v>
      </c>
      <c r="P39" s="45" t="s">
        <v>128</v>
      </c>
      <c r="Q39" s="45" t="s">
        <v>128</v>
      </c>
      <c r="R39" s="45" t="s">
        <v>128</v>
      </c>
      <c r="S39" s="45" t="s">
        <v>128</v>
      </c>
      <c r="T39" s="45" t="s">
        <v>128</v>
      </c>
      <c r="U39" s="45" t="s">
        <v>128</v>
      </c>
      <c r="V39" s="45" t="s">
        <v>128</v>
      </c>
      <c r="W39" s="45" t="s">
        <v>128</v>
      </c>
      <c r="X39" s="45" t="s">
        <v>128</v>
      </c>
      <c r="Y39" s="45" t="s">
        <v>128</v>
      </c>
      <c r="Z39" s="45" t="s">
        <v>128</v>
      </c>
      <c r="AA39" s="45" t="s">
        <v>128</v>
      </c>
      <c r="AB39" s="45" t="s">
        <v>128</v>
      </c>
      <c r="AC39" s="107" t="s">
        <v>128</v>
      </c>
      <c r="AD39" s="107" t="s">
        <v>128</v>
      </c>
      <c r="AE39" s="107" t="s">
        <v>128</v>
      </c>
      <c r="AF39" s="107" t="s">
        <v>128</v>
      </c>
      <c r="AG39" s="107" t="s">
        <v>128</v>
      </c>
      <c r="AH39" s="107" t="s">
        <v>128</v>
      </c>
      <c r="AI39" s="228"/>
      <c r="AJ39" s="228"/>
      <c r="AK39" s="228"/>
      <c r="AL39" s="228"/>
      <c r="AM39" s="228"/>
      <c r="AN39" s="140"/>
      <c r="AO39" s="228"/>
      <c r="AP39" s="228"/>
    </row>
    <row r="40" spans="1:42" s="48" customFormat="1" x14ac:dyDescent="0.2">
      <c r="A40" s="209"/>
      <c r="B40" s="8"/>
      <c r="C40" s="8"/>
      <c r="D40" s="8"/>
      <c r="E40" s="8"/>
      <c r="F40" s="8"/>
      <c r="G40" s="8"/>
      <c r="H40" s="8"/>
      <c r="I40" s="8"/>
      <c r="J40" s="37"/>
      <c r="K40" s="19">
        <v>0</v>
      </c>
      <c r="L40" s="198" t="s">
        <v>128</v>
      </c>
      <c r="M40" s="198" t="s">
        <v>128</v>
      </c>
      <c r="N40" s="197" t="s">
        <v>128</v>
      </c>
      <c r="O40" s="195">
        <v>1</v>
      </c>
      <c r="P40" s="45" t="s">
        <v>128</v>
      </c>
      <c r="Q40" s="45" t="s">
        <v>128</v>
      </c>
      <c r="R40" s="45" t="s">
        <v>128</v>
      </c>
      <c r="S40" s="45" t="s">
        <v>128</v>
      </c>
      <c r="T40" s="45" t="s">
        <v>128</v>
      </c>
      <c r="U40" s="45" t="s">
        <v>128</v>
      </c>
      <c r="V40" s="45" t="s">
        <v>128</v>
      </c>
      <c r="W40" s="45" t="s">
        <v>128</v>
      </c>
      <c r="X40" s="45" t="s">
        <v>128</v>
      </c>
      <c r="Y40" s="45" t="s">
        <v>128</v>
      </c>
      <c r="Z40" s="45" t="s">
        <v>128</v>
      </c>
      <c r="AA40" s="45" t="s">
        <v>128</v>
      </c>
      <c r="AB40" s="45" t="s">
        <v>128</v>
      </c>
      <c r="AC40" s="107" t="s">
        <v>128</v>
      </c>
      <c r="AD40" s="107" t="s">
        <v>128</v>
      </c>
      <c r="AE40" s="107" t="s">
        <v>128</v>
      </c>
      <c r="AF40" s="107" t="s">
        <v>128</v>
      </c>
      <c r="AG40" s="107" t="s">
        <v>128</v>
      </c>
      <c r="AH40" s="107" t="s">
        <v>128</v>
      </c>
      <c r="AI40" s="228"/>
      <c r="AJ40" s="228"/>
      <c r="AK40" s="228"/>
      <c r="AL40" s="228"/>
      <c r="AM40" s="228"/>
      <c r="AN40" s="140"/>
      <c r="AO40" s="228"/>
      <c r="AP40" s="228"/>
    </row>
    <row r="41" spans="1:42" s="48" customFormat="1" x14ac:dyDescent="0.15">
      <c r="A41" s="22"/>
      <c r="B41" s="22"/>
      <c r="C41" s="22"/>
      <c r="D41" s="22"/>
      <c r="E41" s="22"/>
      <c r="F41" s="22"/>
      <c r="G41" s="22"/>
      <c r="H41" s="22"/>
      <c r="I41" s="22"/>
      <c r="J41" s="36"/>
      <c r="K41" s="19">
        <v>0</v>
      </c>
      <c r="L41" s="198" t="s">
        <v>128</v>
      </c>
      <c r="M41" s="198" t="s">
        <v>128</v>
      </c>
      <c r="N41" s="197" t="s">
        <v>128</v>
      </c>
      <c r="O41" s="195">
        <v>1</v>
      </c>
      <c r="P41" s="45" t="s">
        <v>128</v>
      </c>
      <c r="Q41" s="45" t="s">
        <v>128</v>
      </c>
      <c r="R41" s="45" t="s">
        <v>128</v>
      </c>
      <c r="S41" s="45" t="s">
        <v>128</v>
      </c>
      <c r="T41" s="45" t="s">
        <v>128</v>
      </c>
      <c r="U41" s="45" t="s">
        <v>128</v>
      </c>
      <c r="V41" s="45" t="s">
        <v>128</v>
      </c>
      <c r="W41" s="45" t="s">
        <v>128</v>
      </c>
      <c r="X41" s="45" t="s">
        <v>128</v>
      </c>
      <c r="Y41" s="45" t="s">
        <v>128</v>
      </c>
      <c r="Z41" s="45" t="s">
        <v>128</v>
      </c>
      <c r="AA41" s="45" t="s">
        <v>128</v>
      </c>
      <c r="AB41" s="45" t="s">
        <v>128</v>
      </c>
      <c r="AC41" s="107" t="s">
        <v>128</v>
      </c>
      <c r="AD41" s="107" t="s">
        <v>128</v>
      </c>
      <c r="AE41" s="107" t="s">
        <v>128</v>
      </c>
      <c r="AF41" s="107" t="s">
        <v>128</v>
      </c>
      <c r="AG41" s="107" t="s">
        <v>128</v>
      </c>
      <c r="AH41" s="107" t="s">
        <v>128</v>
      </c>
      <c r="AI41" s="205"/>
      <c r="AJ41" s="140"/>
      <c r="AK41" s="305"/>
      <c r="AL41" s="306"/>
      <c r="AM41" s="228"/>
      <c r="AN41" s="140"/>
      <c r="AO41" s="140"/>
      <c r="AP41" s="140"/>
    </row>
    <row r="42" spans="1:42" s="48" customFormat="1" x14ac:dyDescent="0.2">
      <c r="A42" s="209"/>
      <c r="B42" s="8"/>
      <c r="C42" s="8"/>
      <c r="D42" s="8"/>
      <c r="E42" s="8"/>
      <c r="F42" s="8"/>
      <c r="G42" s="8"/>
      <c r="H42" s="8"/>
      <c r="I42" s="8"/>
      <c r="J42" s="37"/>
      <c r="K42" s="19">
        <v>0</v>
      </c>
      <c r="L42" s="198" t="s">
        <v>128</v>
      </c>
      <c r="M42" s="198" t="s">
        <v>128</v>
      </c>
      <c r="N42" s="197" t="s">
        <v>128</v>
      </c>
      <c r="O42" s="195">
        <v>1</v>
      </c>
      <c r="P42" s="45" t="s">
        <v>128</v>
      </c>
      <c r="Q42" s="45" t="s">
        <v>128</v>
      </c>
      <c r="R42" s="45" t="s">
        <v>128</v>
      </c>
      <c r="S42" s="45" t="s">
        <v>128</v>
      </c>
      <c r="T42" s="45" t="s">
        <v>128</v>
      </c>
      <c r="U42" s="45" t="s">
        <v>128</v>
      </c>
      <c r="V42" s="45" t="s">
        <v>128</v>
      </c>
      <c r="W42" s="45" t="s">
        <v>128</v>
      </c>
      <c r="X42" s="45" t="s">
        <v>128</v>
      </c>
      <c r="Y42" s="45" t="s">
        <v>128</v>
      </c>
      <c r="Z42" s="45" t="s">
        <v>128</v>
      </c>
      <c r="AA42" s="45" t="s">
        <v>128</v>
      </c>
      <c r="AB42" s="45" t="s">
        <v>128</v>
      </c>
      <c r="AC42" s="107" t="s">
        <v>128</v>
      </c>
      <c r="AD42" s="107" t="s">
        <v>128</v>
      </c>
      <c r="AE42" s="107" t="s">
        <v>128</v>
      </c>
      <c r="AF42" s="107" t="s">
        <v>128</v>
      </c>
      <c r="AG42" s="107" t="s">
        <v>128</v>
      </c>
      <c r="AH42" s="107" t="s">
        <v>128</v>
      </c>
      <c r="AI42" s="228"/>
      <c r="AJ42" s="140"/>
      <c r="AK42" s="228"/>
      <c r="AL42" s="228"/>
      <c r="AM42" s="228"/>
      <c r="AN42" s="140"/>
      <c r="AO42" s="228"/>
      <c r="AP42" s="228"/>
    </row>
    <row r="43" spans="1:42" s="48" customFormat="1" x14ac:dyDescent="0.15">
      <c r="A43" s="22"/>
      <c r="B43" s="22"/>
      <c r="C43" s="22"/>
      <c r="D43" s="22"/>
      <c r="E43" s="22"/>
      <c r="F43" s="22"/>
      <c r="G43" s="22"/>
      <c r="H43" s="22"/>
      <c r="I43" s="22"/>
      <c r="J43" s="36"/>
      <c r="K43" s="19">
        <v>0</v>
      </c>
      <c r="L43" s="198" t="s">
        <v>128</v>
      </c>
      <c r="M43" s="198" t="s">
        <v>128</v>
      </c>
      <c r="N43" s="197" t="s">
        <v>128</v>
      </c>
      <c r="O43" s="195">
        <v>1</v>
      </c>
      <c r="P43" s="45" t="s">
        <v>128</v>
      </c>
      <c r="Q43" s="45" t="s">
        <v>128</v>
      </c>
      <c r="R43" s="45" t="s">
        <v>128</v>
      </c>
      <c r="S43" s="45" t="s">
        <v>128</v>
      </c>
      <c r="T43" s="45" t="s">
        <v>128</v>
      </c>
      <c r="U43" s="45" t="s">
        <v>128</v>
      </c>
      <c r="V43" s="45" t="s">
        <v>128</v>
      </c>
      <c r="W43" s="45" t="s">
        <v>128</v>
      </c>
      <c r="X43" s="45" t="s">
        <v>128</v>
      </c>
      <c r="Y43" s="45" t="s">
        <v>128</v>
      </c>
      <c r="Z43" s="45" t="s">
        <v>128</v>
      </c>
      <c r="AA43" s="45" t="s">
        <v>128</v>
      </c>
      <c r="AB43" s="45" t="s">
        <v>128</v>
      </c>
      <c r="AC43" s="107" t="s">
        <v>128</v>
      </c>
      <c r="AD43" s="107" t="s">
        <v>128</v>
      </c>
      <c r="AE43" s="107" t="s">
        <v>128</v>
      </c>
      <c r="AF43" s="107" t="s">
        <v>128</v>
      </c>
      <c r="AG43" s="107" t="s">
        <v>128</v>
      </c>
      <c r="AH43" s="107" t="s">
        <v>128</v>
      </c>
      <c r="AI43" s="280"/>
      <c r="AJ43" s="274"/>
      <c r="AK43" s="307"/>
      <c r="AL43" s="308"/>
      <c r="AM43" s="273"/>
      <c r="AN43" s="274"/>
      <c r="AO43" s="274"/>
      <c r="AP43" s="274"/>
    </row>
    <row r="44" spans="1:42" s="48" customFormat="1" x14ac:dyDescent="0.2">
      <c r="A44" s="209"/>
      <c r="B44" s="8"/>
      <c r="C44" s="8"/>
      <c r="D44" s="8"/>
      <c r="E44" s="8"/>
      <c r="F44" s="8"/>
      <c r="G44" s="8"/>
      <c r="H44" s="8"/>
      <c r="I44" s="8"/>
      <c r="J44" s="37"/>
      <c r="K44" s="19">
        <v>0</v>
      </c>
      <c r="L44" s="198" t="s">
        <v>128</v>
      </c>
      <c r="M44" s="198" t="s">
        <v>128</v>
      </c>
      <c r="N44" s="197" t="s">
        <v>128</v>
      </c>
      <c r="O44" s="195">
        <v>1</v>
      </c>
      <c r="P44" s="45" t="s">
        <v>128</v>
      </c>
      <c r="Q44" s="45" t="s">
        <v>128</v>
      </c>
      <c r="R44" s="45" t="s">
        <v>128</v>
      </c>
      <c r="S44" s="45" t="s">
        <v>128</v>
      </c>
      <c r="T44" s="45" t="s">
        <v>128</v>
      </c>
      <c r="U44" s="45" t="s">
        <v>128</v>
      </c>
      <c r="V44" s="45" t="s">
        <v>128</v>
      </c>
      <c r="W44" s="45" t="s">
        <v>128</v>
      </c>
      <c r="X44" s="45" t="s">
        <v>128</v>
      </c>
      <c r="Y44" s="45" t="s">
        <v>128</v>
      </c>
      <c r="Z44" s="45" t="s">
        <v>128</v>
      </c>
      <c r="AA44" s="45" t="s">
        <v>128</v>
      </c>
      <c r="AB44" s="45" t="s">
        <v>128</v>
      </c>
      <c r="AC44" s="107" t="s">
        <v>128</v>
      </c>
      <c r="AD44" s="107" t="s">
        <v>128</v>
      </c>
      <c r="AE44" s="107" t="s">
        <v>128</v>
      </c>
      <c r="AF44" s="107" t="s">
        <v>128</v>
      </c>
      <c r="AG44" s="107" t="s">
        <v>128</v>
      </c>
      <c r="AH44" s="107" t="s">
        <v>128</v>
      </c>
      <c r="AI44" s="228"/>
      <c r="AJ44" s="228"/>
      <c r="AK44" s="228"/>
      <c r="AL44" s="228"/>
      <c r="AM44" s="228"/>
      <c r="AN44" s="228"/>
      <c r="AO44" s="228"/>
      <c r="AP44" s="228"/>
    </row>
    <row r="45" spans="1:42" s="48" customFormat="1" x14ac:dyDescent="0.2">
      <c r="A45" s="22"/>
      <c r="B45" s="22"/>
      <c r="C45" s="22"/>
      <c r="D45" s="22"/>
      <c r="E45" s="22"/>
      <c r="F45" s="22"/>
      <c r="G45" s="22"/>
      <c r="H45" s="22"/>
      <c r="I45" s="22"/>
      <c r="J45" s="36"/>
      <c r="K45" s="19">
        <v>0</v>
      </c>
      <c r="L45" s="198" t="s">
        <v>128</v>
      </c>
      <c r="M45" s="198" t="s">
        <v>128</v>
      </c>
      <c r="N45" s="197" t="s">
        <v>128</v>
      </c>
      <c r="O45" s="195">
        <v>1</v>
      </c>
      <c r="P45" s="45" t="s">
        <v>128</v>
      </c>
      <c r="Q45" s="45" t="s">
        <v>128</v>
      </c>
      <c r="R45" s="45" t="s">
        <v>128</v>
      </c>
      <c r="S45" s="45" t="s">
        <v>128</v>
      </c>
      <c r="T45" s="45" t="s">
        <v>128</v>
      </c>
      <c r="U45" s="45" t="s">
        <v>128</v>
      </c>
      <c r="V45" s="45" t="s">
        <v>128</v>
      </c>
      <c r="W45" s="45" t="s">
        <v>128</v>
      </c>
      <c r="X45" s="45" t="s">
        <v>128</v>
      </c>
      <c r="Y45" s="45" t="s">
        <v>128</v>
      </c>
      <c r="Z45" s="45" t="s">
        <v>128</v>
      </c>
      <c r="AA45" s="45" t="s">
        <v>128</v>
      </c>
      <c r="AB45" s="45" t="s">
        <v>128</v>
      </c>
      <c r="AC45" s="107" t="s">
        <v>128</v>
      </c>
      <c r="AD45" s="107" t="s">
        <v>128</v>
      </c>
      <c r="AE45" s="107" t="s">
        <v>128</v>
      </c>
      <c r="AF45" s="107" t="s">
        <v>128</v>
      </c>
      <c r="AG45" s="107" t="s">
        <v>128</v>
      </c>
      <c r="AH45" s="107" t="s">
        <v>128</v>
      </c>
      <c r="AI45" s="228"/>
      <c r="AJ45" s="228"/>
      <c r="AK45" s="228"/>
      <c r="AL45" s="228"/>
      <c r="AM45" s="228"/>
      <c r="AN45" s="228"/>
      <c r="AO45" s="228"/>
      <c r="AP45" s="228"/>
    </row>
    <row r="46" spans="1:42" s="48" customFormat="1" x14ac:dyDescent="0.2">
      <c r="A46" s="209"/>
      <c r="B46" s="8"/>
      <c r="C46" s="8"/>
      <c r="D46" s="8"/>
      <c r="E46" s="8"/>
      <c r="F46" s="8"/>
      <c r="G46" s="8"/>
      <c r="H46" s="8"/>
      <c r="I46" s="8"/>
      <c r="J46" s="37"/>
      <c r="K46" s="19">
        <v>0</v>
      </c>
      <c r="L46" s="198" t="s">
        <v>128</v>
      </c>
      <c r="M46" s="198" t="s">
        <v>128</v>
      </c>
      <c r="N46" s="197" t="s">
        <v>128</v>
      </c>
      <c r="O46" s="195">
        <v>1</v>
      </c>
      <c r="P46" s="45" t="s">
        <v>128</v>
      </c>
      <c r="Q46" s="45" t="s">
        <v>128</v>
      </c>
      <c r="R46" s="45" t="s">
        <v>128</v>
      </c>
      <c r="S46" s="45" t="s">
        <v>128</v>
      </c>
      <c r="T46" s="45" t="s">
        <v>128</v>
      </c>
      <c r="U46" s="45" t="s">
        <v>128</v>
      </c>
      <c r="V46" s="45" t="s">
        <v>128</v>
      </c>
      <c r="W46" s="45" t="s">
        <v>128</v>
      </c>
      <c r="X46" s="45" t="s">
        <v>128</v>
      </c>
      <c r="Y46" s="45" t="s">
        <v>128</v>
      </c>
      <c r="Z46" s="45" t="s">
        <v>128</v>
      </c>
      <c r="AA46" s="45" t="s">
        <v>128</v>
      </c>
      <c r="AB46" s="45" t="s">
        <v>128</v>
      </c>
      <c r="AC46" s="107" t="s">
        <v>128</v>
      </c>
      <c r="AD46" s="107" t="s">
        <v>128</v>
      </c>
      <c r="AE46" s="107" t="s">
        <v>128</v>
      </c>
      <c r="AF46" s="107" t="s">
        <v>128</v>
      </c>
      <c r="AG46" s="107" t="s">
        <v>128</v>
      </c>
      <c r="AH46" s="107" t="s">
        <v>128</v>
      </c>
      <c r="AI46" s="228"/>
      <c r="AJ46" s="228"/>
      <c r="AK46" s="228"/>
      <c r="AL46" s="228"/>
      <c r="AM46" s="228"/>
      <c r="AN46" s="228"/>
      <c r="AO46" s="228"/>
      <c r="AP46" s="228"/>
    </row>
    <row r="47" spans="1:42" s="48" customFormat="1" x14ac:dyDescent="0.2">
      <c r="A47" s="22"/>
      <c r="B47" s="22"/>
      <c r="C47" s="22"/>
      <c r="D47" s="22"/>
      <c r="E47" s="22"/>
      <c r="F47" s="22"/>
      <c r="G47" s="22"/>
      <c r="H47" s="22"/>
      <c r="I47" s="22"/>
      <c r="J47" s="36"/>
      <c r="K47" s="19">
        <v>0</v>
      </c>
      <c r="L47" s="198" t="s">
        <v>128</v>
      </c>
      <c r="M47" s="198" t="s">
        <v>128</v>
      </c>
      <c r="N47" s="197" t="s">
        <v>128</v>
      </c>
      <c r="O47" s="195">
        <v>1</v>
      </c>
      <c r="P47" s="45" t="s">
        <v>128</v>
      </c>
      <c r="Q47" s="45" t="s">
        <v>128</v>
      </c>
      <c r="R47" s="45" t="s">
        <v>128</v>
      </c>
      <c r="S47" s="45" t="s">
        <v>128</v>
      </c>
      <c r="T47" s="45" t="s">
        <v>128</v>
      </c>
      <c r="U47" s="45" t="s">
        <v>128</v>
      </c>
      <c r="V47" s="45" t="s">
        <v>128</v>
      </c>
      <c r="W47" s="45" t="s">
        <v>128</v>
      </c>
      <c r="X47" s="45" t="s">
        <v>128</v>
      </c>
      <c r="Y47" s="45" t="s">
        <v>128</v>
      </c>
      <c r="Z47" s="45" t="s">
        <v>128</v>
      </c>
      <c r="AA47" s="45" t="s">
        <v>128</v>
      </c>
      <c r="AB47" s="45" t="s">
        <v>128</v>
      </c>
      <c r="AC47" s="107" t="s">
        <v>128</v>
      </c>
      <c r="AD47" s="107" t="s">
        <v>128</v>
      </c>
      <c r="AE47" s="107" t="s">
        <v>128</v>
      </c>
      <c r="AF47" s="107" t="s">
        <v>128</v>
      </c>
      <c r="AG47" s="107" t="s">
        <v>128</v>
      </c>
      <c r="AH47" s="107" t="s">
        <v>128</v>
      </c>
      <c r="AI47" s="228"/>
      <c r="AJ47" s="228"/>
      <c r="AK47" s="228"/>
      <c r="AL47" s="228"/>
      <c r="AM47" s="228"/>
      <c r="AN47" s="228"/>
      <c r="AO47" s="228"/>
      <c r="AP47" s="228"/>
    </row>
    <row r="48" spans="1:42" s="48" customFormat="1" x14ac:dyDescent="0.2">
      <c r="A48" s="209"/>
      <c r="B48" s="8"/>
      <c r="C48" s="8"/>
      <c r="D48" s="8"/>
      <c r="E48" s="8"/>
      <c r="F48" s="8"/>
      <c r="G48" s="8"/>
      <c r="H48" s="8"/>
      <c r="I48" s="8"/>
      <c r="J48" s="37"/>
      <c r="K48" s="19">
        <v>0</v>
      </c>
      <c r="L48" s="198" t="s">
        <v>128</v>
      </c>
      <c r="M48" s="198" t="s">
        <v>128</v>
      </c>
      <c r="N48" s="197" t="s">
        <v>128</v>
      </c>
      <c r="O48" s="195">
        <v>1</v>
      </c>
      <c r="P48" s="45" t="s">
        <v>128</v>
      </c>
      <c r="Q48" s="45" t="s">
        <v>128</v>
      </c>
      <c r="R48" s="45" t="s">
        <v>128</v>
      </c>
      <c r="S48" s="45" t="s">
        <v>128</v>
      </c>
      <c r="T48" s="45" t="s">
        <v>128</v>
      </c>
      <c r="U48" s="45" t="s">
        <v>128</v>
      </c>
      <c r="V48" s="45" t="s">
        <v>128</v>
      </c>
      <c r="W48" s="45" t="s">
        <v>128</v>
      </c>
      <c r="X48" s="45" t="s">
        <v>128</v>
      </c>
      <c r="Y48" s="45" t="s">
        <v>128</v>
      </c>
      <c r="Z48" s="45" t="s">
        <v>128</v>
      </c>
      <c r="AA48" s="45" t="s">
        <v>128</v>
      </c>
      <c r="AB48" s="45" t="s">
        <v>128</v>
      </c>
      <c r="AC48" s="107" t="s">
        <v>128</v>
      </c>
      <c r="AD48" s="107" t="s">
        <v>128</v>
      </c>
      <c r="AE48" s="107" t="s">
        <v>128</v>
      </c>
      <c r="AF48" s="107" t="s">
        <v>128</v>
      </c>
      <c r="AG48" s="107" t="s">
        <v>128</v>
      </c>
      <c r="AH48" s="107" t="s">
        <v>128</v>
      </c>
      <c r="AI48" s="228"/>
      <c r="AJ48" s="228"/>
      <c r="AK48" s="228"/>
      <c r="AL48" s="228"/>
      <c r="AM48" s="228"/>
      <c r="AN48" s="228"/>
      <c r="AO48" s="228"/>
      <c r="AP48" s="228"/>
    </row>
    <row r="49" spans="1:42" s="48" customFormat="1" x14ac:dyDescent="0.2">
      <c r="A49" s="22"/>
      <c r="B49" s="22"/>
      <c r="C49" s="22"/>
      <c r="D49" s="22"/>
      <c r="E49" s="22"/>
      <c r="F49" s="22"/>
      <c r="G49" s="22"/>
      <c r="H49" s="22"/>
      <c r="I49" s="22"/>
      <c r="J49" s="36"/>
      <c r="K49" s="19">
        <v>0</v>
      </c>
      <c r="L49" s="198" t="s">
        <v>128</v>
      </c>
      <c r="M49" s="198" t="s">
        <v>128</v>
      </c>
      <c r="N49" s="197" t="s">
        <v>128</v>
      </c>
      <c r="O49" s="195">
        <v>1</v>
      </c>
      <c r="P49" s="45" t="s">
        <v>128</v>
      </c>
      <c r="Q49" s="45" t="s">
        <v>128</v>
      </c>
      <c r="R49" s="45" t="s">
        <v>128</v>
      </c>
      <c r="S49" s="45" t="s">
        <v>128</v>
      </c>
      <c r="T49" s="45" t="s">
        <v>128</v>
      </c>
      <c r="U49" s="45" t="s">
        <v>128</v>
      </c>
      <c r="V49" s="45" t="s">
        <v>128</v>
      </c>
      <c r="W49" s="45" t="s">
        <v>128</v>
      </c>
      <c r="X49" s="45" t="s">
        <v>128</v>
      </c>
      <c r="Y49" s="45" t="s">
        <v>128</v>
      </c>
      <c r="Z49" s="45" t="s">
        <v>128</v>
      </c>
      <c r="AA49" s="45" t="s">
        <v>128</v>
      </c>
      <c r="AB49" s="45" t="s">
        <v>128</v>
      </c>
      <c r="AC49" s="107" t="s">
        <v>128</v>
      </c>
      <c r="AD49" s="107" t="s">
        <v>128</v>
      </c>
      <c r="AE49" s="107" t="s">
        <v>128</v>
      </c>
      <c r="AF49" s="107" t="s">
        <v>128</v>
      </c>
      <c r="AG49" s="107" t="s">
        <v>128</v>
      </c>
      <c r="AH49" s="107" t="s">
        <v>128</v>
      </c>
      <c r="AI49" s="228"/>
      <c r="AJ49" s="228"/>
      <c r="AK49" s="228"/>
      <c r="AL49" s="228"/>
      <c r="AM49" s="228"/>
      <c r="AN49" s="228"/>
      <c r="AO49" s="228"/>
      <c r="AP49" s="228"/>
    </row>
    <row r="50" spans="1:42" s="48" customFormat="1" x14ac:dyDescent="0.2">
      <c r="A50" s="209"/>
      <c r="B50" s="8"/>
      <c r="C50" s="8"/>
      <c r="D50" s="8"/>
      <c r="E50" s="8"/>
      <c r="F50" s="8"/>
      <c r="G50" s="8"/>
      <c r="H50" s="8"/>
      <c r="I50" s="8"/>
      <c r="J50" s="37"/>
      <c r="K50" s="19">
        <v>0</v>
      </c>
      <c r="L50" s="198" t="s">
        <v>128</v>
      </c>
      <c r="M50" s="198" t="s">
        <v>128</v>
      </c>
      <c r="N50" s="197" t="s">
        <v>128</v>
      </c>
      <c r="O50" s="195">
        <v>1</v>
      </c>
      <c r="P50" s="45" t="s">
        <v>128</v>
      </c>
      <c r="Q50" s="45" t="s">
        <v>128</v>
      </c>
      <c r="R50" s="45" t="s">
        <v>128</v>
      </c>
      <c r="S50" s="45" t="s">
        <v>128</v>
      </c>
      <c r="T50" s="45" t="s">
        <v>128</v>
      </c>
      <c r="U50" s="45" t="s">
        <v>128</v>
      </c>
      <c r="V50" s="45" t="s">
        <v>128</v>
      </c>
      <c r="W50" s="45" t="s">
        <v>128</v>
      </c>
      <c r="X50" s="45" t="s">
        <v>128</v>
      </c>
      <c r="Y50" s="45" t="s">
        <v>128</v>
      </c>
      <c r="Z50" s="45" t="s">
        <v>128</v>
      </c>
      <c r="AA50" s="45" t="s">
        <v>128</v>
      </c>
      <c r="AB50" s="45" t="s">
        <v>128</v>
      </c>
      <c r="AC50" s="107" t="s">
        <v>128</v>
      </c>
      <c r="AD50" s="107" t="s">
        <v>128</v>
      </c>
      <c r="AE50" s="107" t="s">
        <v>128</v>
      </c>
      <c r="AF50" s="107" t="s">
        <v>128</v>
      </c>
      <c r="AG50" s="107" t="s">
        <v>128</v>
      </c>
      <c r="AH50" s="107" t="s">
        <v>128</v>
      </c>
      <c r="AI50" s="228"/>
      <c r="AJ50" s="228"/>
      <c r="AK50" s="228"/>
      <c r="AL50" s="228"/>
      <c r="AM50" s="228"/>
      <c r="AN50" s="228"/>
      <c r="AO50" s="228"/>
      <c r="AP50" s="228"/>
    </row>
    <row r="51" spans="1:42" s="48" customFormat="1" x14ac:dyDescent="0.2">
      <c r="A51" s="22"/>
      <c r="B51" s="22"/>
      <c r="C51" s="22"/>
      <c r="D51" s="22"/>
      <c r="E51" s="22"/>
      <c r="F51" s="22"/>
      <c r="G51" s="22"/>
      <c r="H51" s="22"/>
      <c r="I51" s="22"/>
      <c r="J51" s="36"/>
      <c r="K51" s="19">
        <v>0</v>
      </c>
      <c r="L51" s="198" t="s">
        <v>128</v>
      </c>
      <c r="M51" s="198" t="s">
        <v>128</v>
      </c>
      <c r="N51" s="197" t="s">
        <v>128</v>
      </c>
      <c r="O51" s="195">
        <v>1</v>
      </c>
      <c r="P51" s="45" t="s">
        <v>128</v>
      </c>
      <c r="Q51" s="45" t="s">
        <v>128</v>
      </c>
      <c r="R51" s="45" t="s">
        <v>128</v>
      </c>
      <c r="S51" s="45" t="s">
        <v>128</v>
      </c>
      <c r="T51" s="45" t="s">
        <v>128</v>
      </c>
      <c r="U51" s="45" t="s">
        <v>128</v>
      </c>
      <c r="V51" s="45" t="s">
        <v>128</v>
      </c>
      <c r="W51" s="45" t="s">
        <v>128</v>
      </c>
      <c r="X51" s="45" t="s">
        <v>128</v>
      </c>
      <c r="Y51" s="45" t="s">
        <v>128</v>
      </c>
      <c r="Z51" s="45" t="s">
        <v>128</v>
      </c>
      <c r="AA51" s="45" t="s">
        <v>128</v>
      </c>
      <c r="AB51" s="45" t="s">
        <v>128</v>
      </c>
      <c r="AC51" s="107" t="s">
        <v>128</v>
      </c>
      <c r="AD51" s="107" t="s">
        <v>128</v>
      </c>
      <c r="AE51" s="107" t="s">
        <v>128</v>
      </c>
      <c r="AF51" s="107" t="s">
        <v>128</v>
      </c>
      <c r="AG51" s="107" t="s">
        <v>128</v>
      </c>
      <c r="AH51" s="107" t="s">
        <v>128</v>
      </c>
      <c r="AI51" s="228"/>
      <c r="AJ51" s="228"/>
      <c r="AK51" s="228"/>
      <c r="AL51" s="228"/>
      <c r="AM51" s="228"/>
      <c r="AN51" s="228"/>
      <c r="AO51" s="228"/>
      <c r="AP51" s="228"/>
    </row>
    <row r="52" spans="1:42" s="48" customFormat="1" x14ac:dyDescent="0.2">
      <c r="A52" s="209"/>
      <c r="B52" s="8"/>
      <c r="C52" s="8"/>
      <c r="D52" s="8"/>
      <c r="E52" s="8"/>
      <c r="F52" s="8"/>
      <c r="G52" s="8"/>
      <c r="H52" s="8"/>
      <c r="I52" s="8"/>
      <c r="J52" s="37"/>
      <c r="K52" s="19">
        <v>0</v>
      </c>
      <c r="L52" s="198" t="s">
        <v>128</v>
      </c>
      <c r="M52" s="198" t="s">
        <v>128</v>
      </c>
      <c r="N52" s="197" t="s">
        <v>128</v>
      </c>
      <c r="O52" s="195">
        <v>1</v>
      </c>
      <c r="P52" s="45" t="s">
        <v>128</v>
      </c>
      <c r="Q52" s="45" t="s">
        <v>128</v>
      </c>
      <c r="R52" s="45" t="s">
        <v>128</v>
      </c>
      <c r="S52" s="45" t="s">
        <v>128</v>
      </c>
      <c r="T52" s="45" t="s">
        <v>128</v>
      </c>
      <c r="U52" s="45" t="s">
        <v>128</v>
      </c>
      <c r="V52" s="45" t="s">
        <v>128</v>
      </c>
      <c r="W52" s="45" t="s">
        <v>128</v>
      </c>
      <c r="X52" s="45" t="s">
        <v>128</v>
      </c>
      <c r="Y52" s="45" t="s">
        <v>128</v>
      </c>
      <c r="Z52" s="45" t="s">
        <v>128</v>
      </c>
      <c r="AA52" s="45" t="s">
        <v>128</v>
      </c>
      <c r="AB52" s="45" t="s">
        <v>128</v>
      </c>
      <c r="AC52" s="107" t="s">
        <v>128</v>
      </c>
      <c r="AD52" s="107" t="s">
        <v>128</v>
      </c>
      <c r="AE52" s="107" t="s">
        <v>128</v>
      </c>
      <c r="AF52" s="107" t="s">
        <v>128</v>
      </c>
      <c r="AG52" s="107" t="s">
        <v>128</v>
      </c>
      <c r="AH52" s="107" t="s">
        <v>128</v>
      </c>
      <c r="AI52" s="228"/>
      <c r="AJ52" s="228"/>
      <c r="AK52" s="228"/>
      <c r="AL52" s="228"/>
      <c r="AM52" s="228"/>
      <c r="AN52" s="228"/>
      <c r="AO52" s="228"/>
      <c r="AP52" s="228"/>
    </row>
    <row r="53" spans="1:42" s="48" customFormat="1" x14ac:dyDescent="0.2">
      <c r="A53" s="22"/>
      <c r="B53" s="22"/>
      <c r="C53" s="22"/>
      <c r="D53" s="22"/>
      <c r="E53" s="22"/>
      <c r="F53" s="22"/>
      <c r="G53" s="22"/>
      <c r="H53" s="22"/>
      <c r="I53" s="22"/>
      <c r="J53" s="36"/>
      <c r="K53" s="19">
        <v>0</v>
      </c>
      <c r="L53" s="198" t="s">
        <v>128</v>
      </c>
      <c r="M53" s="198" t="s">
        <v>128</v>
      </c>
      <c r="N53" s="197" t="s">
        <v>128</v>
      </c>
      <c r="O53" s="195">
        <v>1</v>
      </c>
      <c r="P53" s="45" t="s">
        <v>128</v>
      </c>
      <c r="Q53" s="45" t="s">
        <v>128</v>
      </c>
      <c r="R53" s="45" t="s">
        <v>128</v>
      </c>
      <c r="S53" s="45" t="s">
        <v>128</v>
      </c>
      <c r="T53" s="45" t="s">
        <v>128</v>
      </c>
      <c r="U53" s="45" t="s">
        <v>128</v>
      </c>
      <c r="V53" s="45" t="s">
        <v>128</v>
      </c>
      <c r="W53" s="45" t="s">
        <v>128</v>
      </c>
      <c r="X53" s="45" t="s">
        <v>128</v>
      </c>
      <c r="Y53" s="45" t="s">
        <v>128</v>
      </c>
      <c r="Z53" s="45" t="s">
        <v>128</v>
      </c>
      <c r="AA53" s="45" t="s">
        <v>128</v>
      </c>
      <c r="AB53" s="45" t="s">
        <v>128</v>
      </c>
      <c r="AC53" s="107" t="s">
        <v>128</v>
      </c>
      <c r="AD53" s="107" t="s">
        <v>128</v>
      </c>
      <c r="AE53" s="107" t="s">
        <v>128</v>
      </c>
      <c r="AF53" s="107" t="s">
        <v>128</v>
      </c>
      <c r="AG53" s="107" t="s">
        <v>128</v>
      </c>
      <c r="AH53" s="107" t="s">
        <v>128</v>
      </c>
      <c r="AI53" s="228"/>
      <c r="AJ53" s="228"/>
      <c r="AK53" s="228"/>
      <c r="AL53" s="228"/>
      <c r="AM53" s="228"/>
      <c r="AN53" s="228"/>
      <c r="AO53" s="228"/>
      <c r="AP53" s="228"/>
    </row>
    <row r="54" spans="1:42" s="48" customFormat="1" x14ac:dyDescent="0.2">
      <c r="A54" s="209"/>
      <c r="B54" s="8"/>
      <c r="C54" s="8"/>
      <c r="D54" s="8"/>
      <c r="E54" s="8"/>
      <c r="F54" s="8"/>
      <c r="G54" s="8"/>
      <c r="H54" s="8"/>
      <c r="I54" s="8"/>
      <c r="J54" s="37"/>
      <c r="K54" s="19">
        <v>0</v>
      </c>
      <c r="L54" s="198" t="s">
        <v>128</v>
      </c>
      <c r="M54" s="198" t="s">
        <v>128</v>
      </c>
      <c r="N54" s="197" t="s">
        <v>128</v>
      </c>
      <c r="O54" s="195">
        <v>1</v>
      </c>
      <c r="P54" s="45" t="s">
        <v>128</v>
      </c>
      <c r="Q54" s="45" t="s">
        <v>128</v>
      </c>
      <c r="R54" s="45" t="s">
        <v>128</v>
      </c>
      <c r="S54" s="45" t="s">
        <v>128</v>
      </c>
      <c r="T54" s="45" t="s">
        <v>128</v>
      </c>
      <c r="U54" s="45" t="s">
        <v>128</v>
      </c>
      <c r="V54" s="45" t="s">
        <v>128</v>
      </c>
      <c r="W54" s="45" t="s">
        <v>128</v>
      </c>
      <c r="X54" s="45" t="s">
        <v>128</v>
      </c>
      <c r="Y54" s="45" t="s">
        <v>128</v>
      </c>
      <c r="Z54" s="45" t="s">
        <v>128</v>
      </c>
      <c r="AA54" s="45" t="s">
        <v>128</v>
      </c>
      <c r="AB54" s="45" t="s">
        <v>128</v>
      </c>
      <c r="AC54" s="107" t="s">
        <v>128</v>
      </c>
      <c r="AD54" s="107" t="s">
        <v>128</v>
      </c>
      <c r="AE54" s="107" t="s">
        <v>128</v>
      </c>
      <c r="AF54" s="107" t="s">
        <v>128</v>
      </c>
      <c r="AG54" s="107" t="s">
        <v>128</v>
      </c>
      <c r="AH54" s="107" t="s">
        <v>128</v>
      </c>
      <c r="AI54" s="228"/>
      <c r="AJ54" s="228"/>
      <c r="AK54" s="228"/>
      <c r="AL54" s="228"/>
      <c r="AM54" s="228"/>
      <c r="AN54" s="228"/>
      <c r="AO54" s="228"/>
      <c r="AP54" s="228"/>
    </row>
    <row r="55" spans="1:42" s="48" customFormat="1" x14ac:dyDescent="0.2">
      <c r="A55" s="22"/>
      <c r="B55" s="22"/>
      <c r="C55" s="22"/>
      <c r="D55" s="22"/>
      <c r="E55" s="22"/>
      <c r="F55" s="22"/>
      <c r="G55" s="22"/>
      <c r="H55" s="22"/>
      <c r="I55" s="22"/>
      <c r="J55" s="36"/>
      <c r="K55" s="19">
        <v>0</v>
      </c>
      <c r="L55" s="198" t="s">
        <v>128</v>
      </c>
      <c r="M55" s="198" t="s">
        <v>128</v>
      </c>
      <c r="N55" s="197" t="s">
        <v>128</v>
      </c>
      <c r="O55" s="195">
        <v>1</v>
      </c>
      <c r="P55" s="45" t="s">
        <v>128</v>
      </c>
      <c r="Q55" s="45" t="s">
        <v>128</v>
      </c>
      <c r="R55" s="45" t="s">
        <v>128</v>
      </c>
      <c r="S55" s="45" t="s">
        <v>128</v>
      </c>
      <c r="T55" s="45" t="s">
        <v>128</v>
      </c>
      <c r="U55" s="45" t="s">
        <v>128</v>
      </c>
      <c r="V55" s="45" t="s">
        <v>128</v>
      </c>
      <c r="W55" s="45" t="s">
        <v>128</v>
      </c>
      <c r="X55" s="45" t="s">
        <v>128</v>
      </c>
      <c r="Y55" s="45" t="s">
        <v>128</v>
      </c>
      <c r="Z55" s="45" t="s">
        <v>128</v>
      </c>
      <c r="AA55" s="45" t="s">
        <v>128</v>
      </c>
      <c r="AB55" s="45" t="s">
        <v>128</v>
      </c>
      <c r="AC55" s="107" t="s">
        <v>128</v>
      </c>
      <c r="AD55" s="107" t="s">
        <v>128</v>
      </c>
      <c r="AE55" s="107" t="s">
        <v>128</v>
      </c>
      <c r="AF55" s="107" t="s">
        <v>128</v>
      </c>
      <c r="AG55" s="107" t="s">
        <v>128</v>
      </c>
      <c r="AH55" s="107" t="s">
        <v>128</v>
      </c>
      <c r="AI55" s="228"/>
      <c r="AJ55" s="228"/>
      <c r="AK55" s="228"/>
      <c r="AL55" s="228"/>
      <c r="AM55" s="228"/>
      <c r="AN55" s="228"/>
      <c r="AO55" s="228"/>
      <c r="AP55" s="228"/>
    </row>
    <row r="56" spans="1:42" s="48" customFormat="1" x14ac:dyDescent="0.2">
      <c r="A56" s="209"/>
      <c r="B56" s="8"/>
      <c r="C56" s="8"/>
      <c r="D56" s="8"/>
      <c r="E56" s="8"/>
      <c r="F56" s="8"/>
      <c r="G56" s="8"/>
      <c r="H56" s="8"/>
      <c r="I56" s="8"/>
      <c r="J56" s="37"/>
      <c r="K56" s="19">
        <v>0</v>
      </c>
      <c r="L56" s="198" t="s">
        <v>128</v>
      </c>
      <c r="M56" s="198" t="s">
        <v>128</v>
      </c>
      <c r="N56" s="197" t="s">
        <v>128</v>
      </c>
      <c r="O56" s="195">
        <v>1</v>
      </c>
      <c r="P56" s="45" t="s">
        <v>128</v>
      </c>
      <c r="Q56" s="45" t="s">
        <v>128</v>
      </c>
      <c r="R56" s="45" t="s">
        <v>128</v>
      </c>
      <c r="S56" s="45" t="s">
        <v>128</v>
      </c>
      <c r="T56" s="45" t="s">
        <v>128</v>
      </c>
      <c r="U56" s="45" t="s">
        <v>128</v>
      </c>
      <c r="V56" s="45" t="s">
        <v>128</v>
      </c>
      <c r="W56" s="45" t="s">
        <v>128</v>
      </c>
      <c r="X56" s="45" t="s">
        <v>128</v>
      </c>
      <c r="Y56" s="45" t="s">
        <v>128</v>
      </c>
      <c r="Z56" s="45" t="s">
        <v>128</v>
      </c>
      <c r="AA56" s="45" t="s">
        <v>128</v>
      </c>
      <c r="AB56" s="45" t="s">
        <v>128</v>
      </c>
      <c r="AC56" s="107" t="s">
        <v>128</v>
      </c>
      <c r="AD56" s="107" t="s">
        <v>128</v>
      </c>
      <c r="AE56" s="107" t="s">
        <v>128</v>
      </c>
      <c r="AF56" s="107" t="s">
        <v>128</v>
      </c>
      <c r="AG56" s="107" t="s">
        <v>128</v>
      </c>
      <c r="AH56" s="107" t="s">
        <v>128</v>
      </c>
      <c r="AI56" s="228"/>
      <c r="AJ56" s="228"/>
      <c r="AK56" s="228"/>
      <c r="AL56" s="228"/>
      <c r="AM56" s="228"/>
      <c r="AN56" s="228"/>
      <c r="AO56" s="228"/>
      <c r="AP56" s="228"/>
    </row>
    <row r="57" spans="1:42" s="48" customFormat="1" x14ac:dyDescent="0.2">
      <c r="A57" s="22"/>
      <c r="B57" s="22"/>
      <c r="C57" s="22"/>
      <c r="D57" s="22"/>
      <c r="E57" s="22"/>
      <c r="F57" s="22"/>
      <c r="G57" s="22"/>
      <c r="H57" s="22"/>
      <c r="I57" s="22"/>
      <c r="J57" s="36"/>
      <c r="K57" s="19">
        <v>0</v>
      </c>
      <c r="L57" s="198" t="s">
        <v>128</v>
      </c>
      <c r="M57" s="198" t="s">
        <v>128</v>
      </c>
      <c r="N57" s="197" t="s">
        <v>128</v>
      </c>
      <c r="O57" s="195">
        <v>1</v>
      </c>
      <c r="P57" s="45" t="s">
        <v>128</v>
      </c>
      <c r="Q57" s="45" t="s">
        <v>128</v>
      </c>
      <c r="R57" s="45" t="s">
        <v>128</v>
      </c>
      <c r="S57" s="45" t="s">
        <v>128</v>
      </c>
      <c r="T57" s="45" t="s">
        <v>128</v>
      </c>
      <c r="U57" s="45" t="s">
        <v>128</v>
      </c>
      <c r="V57" s="45" t="s">
        <v>128</v>
      </c>
      <c r="W57" s="45" t="s">
        <v>128</v>
      </c>
      <c r="X57" s="45" t="s">
        <v>128</v>
      </c>
      <c r="Y57" s="45" t="s">
        <v>128</v>
      </c>
      <c r="Z57" s="45" t="s">
        <v>128</v>
      </c>
      <c r="AA57" s="45" t="s">
        <v>128</v>
      </c>
      <c r="AB57" s="45" t="s">
        <v>128</v>
      </c>
      <c r="AC57" s="107" t="s">
        <v>128</v>
      </c>
      <c r="AD57" s="107" t="s">
        <v>128</v>
      </c>
      <c r="AE57" s="107" t="s">
        <v>128</v>
      </c>
      <c r="AF57" s="107" t="s">
        <v>128</v>
      </c>
      <c r="AG57" s="107" t="s">
        <v>128</v>
      </c>
      <c r="AH57" s="107" t="s">
        <v>128</v>
      </c>
      <c r="AI57" s="228"/>
      <c r="AJ57" s="228"/>
      <c r="AK57" s="228"/>
      <c r="AL57" s="228"/>
      <c r="AM57" s="228"/>
      <c r="AN57" s="228"/>
      <c r="AO57" s="228"/>
      <c r="AP57" s="228"/>
    </row>
    <row r="58" spans="1:42" s="48" customFormat="1" x14ac:dyDescent="0.2">
      <c r="A58" s="209"/>
      <c r="B58" s="8"/>
      <c r="C58" s="8"/>
      <c r="D58" s="8"/>
      <c r="E58" s="8"/>
      <c r="F58" s="8"/>
      <c r="G58" s="8"/>
      <c r="H58" s="8"/>
      <c r="I58" s="8"/>
      <c r="J58" s="37"/>
      <c r="K58" s="19">
        <v>0</v>
      </c>
      <c r="L58" s="198" t="s">
        <v>128</v>
      </c>
      <c r="M58" s="198" t="s">
        <v>128</v>
      </c>
      <c r="N58" s="197" t="s">
        <v>128</v>
      </c>
      <c r="O58" s="195">
        <v>1</v>
      </c>
      <c r="P58" s="45" t="s">
        <v>128</v>
      </c>
      <c r="Q58" s="45" t="s">
        <v>128</v>
      </c>
      <c r="R58" s="45" t="s">
        <v>128</v>
      </c>
      <c r="S58" s="45" t="s">
        <v>128</v>
      </c>
      <c r="T58" s="45" t="s">
        <v>128</v>
      </c>
      <c r="U58" s="45" t="s">
        <v>128</v>
      </c>
      <c r="V58" s="45" t="s">
        <v>128</v>
      </c>
      <c r="W58" s="45" t="s">
        <v>128</v>
      </c>
      <c r="X58" s="45" t="s">
        <v>128</v>
      </c>
      <c r="Y58" s="45" t="s">
        <v>128</v>
      </c>
      <c r="Z58" s="45" t="s">
        <v>128</v>
      </c>
      <c r="AA58" s="45" t="s">
        <v>128</v>
      </c>
      <c r="AB58" s="45" t="s">
        <v>128</v>
      </c>
      <c r="AC58" s="107" t="s">
        <v>128</v>
      </c>
      <c r="AD58" s="107" t="s">
        <v>128</v>
      </c>
      <c r="AE58" s="107" t="s">
        <v>128</v>
      </c>
      <c r="AF58" s="107" t="s">
        <v>128</v>
      </c>
      <c r="AG58" s="107" t="s">
        <v>128</v>
      </c>
      <c r="AH58" s="107" t="s">
        <v>128</v>
      </c>
      <c r="AI58" s="228"/>
      <c r="AJ58" s="228"/>
      <c r="AK58" s="228"/>
      <c r="AL58" s="228"/>
      <c r="AM58" s="228"/>
      <c r="AN58" s="228"/>
      <c r="AO58" s="228"/>
      <c r="AP58" s="228"/>
    </row>
    <row r="59" spans="1:42" s="48" customFormat="1" x14ac:dyDescent="0.2">
      <c r="A59" s="22"/>
      <c r="B59" s="22"/>
      <c r="C59" s="22"/>
      <c r="D59" s="22"/>
      <c r="E59" s="22"/>
      <c r="F59" s="22"/>
      <c r="G59" s="22"/>
      <c r="H59" s="22"/>
      <c r="I59" s="22"/>
      <c r="J59" s="36"/>
      <c r="K59" s="19">
        <v>0</v>
      </c>
      <c r="L59" s="198" t="s">
        <v>128</v>
      </c>
      <c r="M59" s="198" t="s">
        <v>128</v>
      </c>
      <c r="N59" s="197" t="s">
        <v>128</v>
      </c>
      <c r="O59" s="195">
        <v>1</v>
      </c>
      <c r="P59" s="45" t="s">
        <v>128</v>
      </c>
      <c r="Q59" s="45" t="s">
        <v>128</v>
      </c>
      <c r="R59" s="45" t="s">
        <v>128</v>
      </c>
      <c r="S59" s="45" t="s">
        <v>128</v>
      </c>
      <c r="T59" s="45" t="s">
        <v>128</v>
      </c>
      <c r="U59" s="45" t="s">
        <v>128</v>
      </c>
      <c r="V59" s="45" t="s">
        <v>128</v>
      </c>
      <c r="W59" s="45" t="s">
        <v>128</v>
      </c>
      <c r="X59" s="45" t="s">
        <v>128</v>
      </c>
      <c r="Y59" s="45" t="s">
        <v>128</v>
      </c>
      <c r="Z59" s="45" t="s">
        <v>128</v>
      </c>
      <c r="AA59" s="45" t="s">
        <v>128</v>
      </c>
      <c r="AB59" s="45" t="s">
        <v>128</v>
      </c>
      <c r="AC59" s="107" t="s">
        <v>128</v>
      </c>
      <c r="AD59" s="107" t="s">
        <v>128</v>
      </c>
      <c r="AE59" s="107" t="s">
        <v>128</v>
      </c>
      <c r="AF59" s="107" t="s">
        <v>128</v>
      </c>
      <c r="AG59" s="107" t="s">
        <v>128</v>
      </c>
      <c r="AH59" s="107" t="s">
        <v>128</v>
      </c>
      <c r="AI59" s="228"/>
      <c r="AJ59" s="228"/>
      <c r="AK59" s="228"/>
      <c r="AL59" s="228"/>
      <c r="AM59" s="228"/>
      <c r="AN59" s="228"/>
      <c r="AO59" s="228"/>
      <c r="AP59" s="228"/>
    </row>
    <row r="60" spans="1:42" s="48" customFormat="1" x14ac:dyDescent="0.2">
      <c r="A60" s="209"/>
      <c r="B60" s="8"/>
      <c r="C60" s="8"/>
      <c r="D60" s="8"/>
      <c r="E60" s="8"/>
      <c r="F60" s="8"/>
      <c r="G60" s="8"/>
      <c r="H60" s="8"/>
      <c r="I60" s="8"/>
      <c r="J60" s="37"/>
      <c r="K60" s="19">
        <v>0</v>
      </c>
      <c r="L60" s="198" t="s">
        <v>128</v>
      </c>
      <c r="M60" s="198" t="s">
        <v>128</v>
      </c>
      <c r="N60" s="197" t="s">
        <v>128</v>
      </c>
      <c r="O60" s="195">
        <v>1</v>
      </c>
      <c r="P60" s="45" t="s">
        <v>128</v>
      </c>
      <c r="Q60" s="45" t="s">
        <v>128</v>
      </c>
      <c r="R60" s="45" t="s">
        <v>128</v>
      </c>
      <c r="S60" s="45" t="s">
        <v>128</v>
      </c>
      <c r="T60" s="45" t="s">
        <v>128</v>
      </c>
      <c r="U60" s="45" t="s">
        <v>128</v>
      </c>
      <c r="V60" s="45" t="s">
        <v>128</v>
      </c>
      <c r="W60" s="45" t="s">
        <v>128</v>
      </c>
      <c r="X60" s="45" t="s">
        <v>128</v>
      </c>
      <c r="Y60" s="45" t="s">
        <v>128</v>
      </c>
      <c r="Z60" s="45" t="s">
        <v>128</v>
      </c>
      <c r="AA60" s="45" t="s">
        <v>128</v>
      </c>
      <c r="AB60" s="45" t="s">
        <v>128</v>
      </c>
      <c r="AC60" s="107" t="s">
        <v>128</v>
      </c>
      <c r="AD60" s="107" t="s">
        <v>128</v>
      </c>
      <c r="AE60" s="107" t="s">
        <v>128</v>
      </c>
      <c r="AF60" s="107" t="s">
        <v>128</v>
      </c>
      <c r="AG60" s="107" t="s">
        <v>128</v>
      </c>
      <c r="AH60" s="107" t="s">
        <v>128</v>
      </c>
      <c r="AI60" s="228"/>
      <c r="AJ60" s="228"/>
      <c r="AK60" s="228"/>
      <c r="AL60" s="228"/>
      <c r="AM60" s="228"/>
      <c r="AN60" s="228"/>
      <c r="AO60" s="228"/>
      <c r="AP60" s="228"/>
    </row>
    <row r="61" spans="1:42" s="48" customFormat="1" x14ac:dyDescent="0.2">
      <c r="A61" s="22"/>
      <c r="B61" s="22"/>
      <c r="C61" s="22"/>
      <c r="D61" s="22"/>
      <c r="E61" s="22"/>
      <c r="F61" s="22"/>
      <c r="G61" s="22"/>
      <c r="H61" s="22"/>
      <c r="I61" s="22"/>
      <c r="J61" s="36"/>
      <c r="K61" s="19">
        <v>0</v>
      </c>
      <c r="L61" s="198" t="s">
        <v>128</v>
      </c>
      <c r="M61" s="198" t="s">
        <v>128</v>
      </c>
      <c r="N61" s="197" t="s">
        <v>128</v>
      </c>
      <c r="O61" s="195">
        <v>1</v>
      </c>
      <c r="P61" s="45" t="s">
        <v>128</v>
      </c>
      <c r="Q61" s="45" t="s">
        <v>128</v>
      </c>
      <c r="R61" s="45" t="s">
        <v>128</v>
      </c>
      <c r="S61" s="45" t="s">
        <v>128</v>
      </c>
      <c r="T61" s="45" t="s">
        <v>128</v>
      </c>
      <c r="U61" s="45" t="s">
        <v>128</v>
      </c>
      <c r="V61" s="45" t="s">
        <v>128</v>
      </c>
      <c r="W61" s="45" t="s">
        <v>128</v>
      </c>
      <c r="X61" s="45" t="s">
        <v>128</v>
      </c>
      <c r="Y61" s="45" t="s">
        <v>128</v>
      </c>
      <c r="Z61" s="45" t="s">
        <v>128</v>
      </c>
      <c r="AA61" s="45" t="s">
        <v>128</v>
      </c>
      <c r="AB61" s="45" t="s">
        <v>128</v>
      </c>
      <c r="AC61" s="107" t="s">
        <v>128</v>
      </c>
      <c r="AD61" s="107" t="s">
        <v>128</v>
      </c>
      <c r="AE61" s="107" t="s">
        <v>128</v>
      </c>
      <c r="AF61" s="107" t="s">
        <v>128</v>
      </c>
      <c r="AG61" s="107" t="s">
        <v>128</v>
      </c>
      <c r="AH61" s="107" t="s">
        <v>128</v>
      </c>
      <c r="AI61" s="228"/>
      <c r="AJ61" s="228"/>
      <c r="AK61" s="228"/>
      <c r="AL61" s="228"/>
      <c r="AM61" s="228"/>
      <c r="AN61" s="228"/>
      <c r="AO61" s="228"/>
      <c r="AP61" s="228"/>
    </row>
    <row r="62" spans="1:42" x14ac:dyDescent="0.2">
      <c r="A62" s="209"/>
      <c r="C62" s="8"/>
      <c r="D62" s="8"/>
      <c r="E62" s="8"/>
      <c r="F62" s="8"/>
      <c r="G62" s="8"/>
      <c r="H62" s="8"/>
      <c r="I62" s="8"/>
      <c r="J62" s="37"/>
      <c r="K62" s="19"/>
      <c r="L62" s="33"/>
      <c r="M62" s="19"/>
      <c r="N62"/>
      <c r="O62"/>
      <c r="P62"/>
      <c r="Q62"/>
      <c r="R62"/>
      <c r="S62"/>
      <c r="T62"/>
      <c r="U62"/>
      <c r="V62"/>
      <c r="W62"/>
      <c r="X62"/>
      <c r="Y62"/>
      <c r="Z62"/>
      <c r="AA62"/>
      <c r="AB62"/>
      <c r="AC62"/>
    </row>
    <row r="63" spans="1:42" s="8" customFormat="1" x14ac:dyDescent="0.2">
      <c r="C63" s="366" t="s">
        <v>83</v>
      </c>
      <c r="D63" s="366"/>
      <c r="E63" s="43" t="s">
        <v>4</v>
      </c>
      <c r="F63" s="1"/>
      <c r="G63" s="1"/>
      <c r="H63" s="285" t="s">
        <v>741</v>
      </c>
      <c r="I63" s="30">
        <f>SUM(O2:O61)</f>
        <v>60</v>
      </c>
      <c r="J63" s="20">
        <f>SUM(J2:J61)</f>
        <v>0</v>
      </c>
      <c r="K63" s="24">
        <f>SUM(P63:AH63)</f>
        <v>1</v>
      </c>
      <c r="L63" s="1"/>
      <c r="M63" s="1"/>
      <c r="N63" s="21"/>
      <c r="P63" s="271">
        <v>0.03</v>
      </c>
      <c r="Q63" s="209"/>
      <c r="R63" s="271">
        <v>0.1</v>
      </c>
      <c r="S63" s="209"/>
      <c r="T63" s="436">
        <v>0.3</v>
      </c>
      <c r="U63" s="438"/>
      <c r="V63" s="438"/>
      <c r="W63" s="436">
        <v>0.3</v>
      </c>
      <c r="X63" s="438"/>
      <c r="Y63" s="438"/>
      <c r="Z63" s="436">
        <v>0.1</v>
      </c>
      <c r="AA63" s="438"/>
      <c r="AB63" s="438"/>
      <c r="AC63" s="436">
        <v>0.12</v>
      </c>
      <c r="AD63" s="438"/>
      <c r="AE63" s="438"/>
      <c r="AF63" s="436">
        <v>0.05</v>
      </c>
      <c r="AG63" s="438"/>
      <c r="AH63" s="438"/>
    </row>
    <row r="64" spans="1:42" x14ac:dyDescent="0.2">
      <c r="C64" s="23" t="s">
        <v>24</v>
      </c>
      <c r="D64" s="8">
        <f t="shared" ref="D64:D70" si="0">SUMIF($E$2:$E$61,C64,$O$2:$O$61)</f>
        <v>0</v>
      </c>
      <c r="E64" s="23" t="s">
        <v>29</v>
      </c>
      <c r="F64" s="8">
        <f>SUMIF($C$2:$C$61,E64,$O$2:$O$61)</f>
        <v>0</v>
      </c>
      <c r="M64" s="360" t="s">
        <v>406</v>
      </c>
      <c r="N64" s="360"/>
      <c r="O64" s="360"/>
    </row>
    <row r="65" spans="1:32" s="8" customFormat="1" x14ac:dyDescent="0.2">
      <c r="C65" s="23" t="s">
        <v>66</v>
      </c>
      <c r="D65" s="8">
        <f t="shared" si="0"/>
        <v>0</v>
      </c>
      <c r="E65" s="23" t="s">
        <v>22</v>
      </c>
      <c r="F65" s="8">
        <f t="shared" ref="F65:F66" si="1">SUMIF($C$2:$C$61,E65,$O$2:$O$61)</f>
        <v>0</v>
      </c>
      <c r="G65" s="1"/>
      <c r="H65" s="348" t="s">
        <v>75</v>
      </c>
      <c r="I65" s="348"/>
      <c r="J65" s="20">
        <f>SUMIF(K2:K61,K65,J2:J61)</f>
        <v>0</v>
      </c>
      <c r="K65" s="24">
        <v>1</v>
      </c>
      <c r="L65" s="1"/>
      <c r="M65" s="48"/>
      <c r="N65" s="43">
        <f>SUMIF($K$2:$K$61,K65,$O$2:$O$61)</f>
        <v>0</v>
      </c>
      <c r="O65" s="43"/>
      <c r="P65" s="1"/>
      <c r="Q65" s="1"/>
      <c r="R65" s="1"/>
      <c r="S65" s="1"/>
      <c r="T65" s="1"/>
      <c r="U65" s="1"/>
      <c r="V65" s="1"/>
      <c r="W65" s="1"/>
      <c r="X65" s="1"/>
      <c r="Y65" s="1"/>
      <c r="Z65" s="1"/>
      <c r="AA65" s="1"/>
      <c r="AB65" s="1"/>
      <c r="AC65" s="1"/>
      <c r="AD65" s="43"/>
      <c r="AE65" s="43"/>
      <c r="AF65" s="43"/>
    </row>
    <row r="66" spans="1:32" s="8" customFormat="1" x14ac:dyDescent="0.2">
      <c r="C66" s="1" t="s">
        <v>34</v>
      </c>
      <c r="D66" s="8">
        <f t="shared" si="0"/>
        <v>0</v>
      </c>
      <c r="E66" s="1" t="s">
        <v>735</v>
      </c>
      <c r="F66" s="8">
        <f t="shared" si="1"/>
        <v>0</v>
      </c>
      <c r="G66" s="1"/>
      <c r="H66" s="1" t="s">
        <v>76</v>
      </c>
      <c r="I66" s="39" t="s">
        <v>734</v>
      </c>
      <c r="J66" s="20">
        <f>SUMIF($L$2:$L$61,K66,$J$2:$J$61)</f>
        <v>0</v>
      </c>
      <c r="K66" s="25">
        <v>1</v>
      </c>
      <c r="L66" s="1"/>
      <c r="M66" s="1"/>
      <c r="N66" s="21"/>
      <c r="P66" s="1"/>
      <c r="Q66" s="1"/>
      <c r="R66" s="1"/>
      <c r="S66" s="1"/>
      <c r="T66" s="1"/>
      <c r="U66" s="1"/>
      <c r="V66" s="1"/>
      <c r="W66" s="1"/>
      <c r="X66" s="1"/>
      <c r="Y66" s="1"/>
      <c r="Z66" s="1"/>
      <c r="AA66" s="1"/>
      <c r="AB66" s="1"/>
      <c r="AC66" s="1"/>
      <c r="AD66" s="43"/>
      <c r="AE66" s="43"/>
      <c r="AF66" s="43"/>
    </row>
    <row r="67" spans="1:32" s="8" customFormat="1" x14ac:dyDescent="0.2">
      <c r="C67" s="23" t="s">
        <v>31</v>
      </c>
      <c r="D67" s="8">
        <f t="shared" si="0"/>
        <v>0</v>
      </c>
      <c r="E67" s="1"/>
      <c r="F67" s="1"/>
      <c r="G67" s="1"/>
      <c r="H67" s="1" t="s">
        <v>76</v>
      </c>
      <c r="I67" s="39" t="s">
        <v>742</v>
      </c>
      <c r="J67" s="20">
        <f>SUMIF($L$2:$L$61,K67,$J$2:$J$61)</f>
        <v>0</v>
      </c>
      <c r="K67" s="25">
        <v>2</v>
      </c>
      <c r="L67" s="1"/>
      <c r="M67" s="1"/>
      <c r="N67" s="21"/>
      <c r="P67" s="1"/>
      <c r="Q67" s="1"/>
      <c r="R67" s="1"/>
      <c r="S67" s="1"/>
      <c r="T67" s="1"/>
      <c r="U67" s="1"/>
      <c r="V67" s="1"/>
      <c r="W67" s="1"/>
      <c r="X67" s="1"/>
      <c r="Y67" s="1"/>
      <c r="Z67" s="1"/>
      <c r="AA67" s="1"/>
      <c r="AB67" s="1"/>
      <c r="AC67" s="1"/>
      <c r="AD67" s="43"/>
      <c r="AE67" s="43"/>
      <c r="AF67" s="43"/>
    </row>
    <row r="68" spans="1:32" s="8" customFormat="1" x14ac:dyDescent="0.2">
      <c r="C68" s="23" t="s">
        <v>85</v>
      </c>
      <c r="D68" s="8">
        <f t="shared" si="0"/>
        <v>0</v>
      </c>
      <c r="E68" s="1"/>
      <c r="F68" s="1"/>
      <c r="G68" s="1"/>
      <c r="H68" s="1" t="s">
        <v>76</v>
      </c>
      <c r="I68" s="39" t="s">
        <v>743</v>
      </c>
      <c r="J68" s="20">
        <f>SUMIF($L$2:$L$61,K68,$J$2:$J$61)</f>
        <v>0</v>
      </c>
      <c r="K68" s="25">
        <v>3</v>
      </c>
      <c r="L68" s="1"/>
      <c r="M68" s="1"/>
      <c r="N68" s="21"/>
      <c r="P68" s="1"/>
      <c r="Q68" s="1"/>
      <c r="R68" s="1"/>
      <c r="S68" s="1"/>
      <c r="T68" s="1"/>
      <c r="U68" s="1"/>
      <c r="V68" s="1"/>
      <c r="W68" s="1"/>
      <c r="X68" s="1"/>
      <c r="Y68" s="1"/>
      <c r="Z68" s="1"/>
      <c r="AA68" s="1"/>
      <c r="AB68" s="1"/>
      <c r="AC68" s="1"/>
      <c r="AD68" s="43"/>
      <c r="AE68" s="43"/>
      <c r="AF68" s="43"/>
    </row>
    <row r="69" spans="1:32" s="8" customFormat="1" x14ac:dyDescent="0.2">
      <c r="C69" s="23" t="s">
        <v>46</v>
      </c>
      <c r="D69" s="8">
        <f t="shared" si="0"/>
        <v>0</v>
      </c>
      <c r="E69" s="1"/>
      <c r="F69" s="1"/>
      <c r="G69" s="1"/>
      <c r="H69" s="1" t="s">
        <v>76</v>
      </c>
      <c r="I69" s="39" t="s">
        <v>744</v>
      </c>
      <c r="J69" s="20">
        <f>SUMIF($L$2:$L$61,K69,$J$2:$J$61)</f>
        <v>0</v>
      </c>
      <c r="K69" s="25">
        <v>4</v>
      </c>
      <c r="L69" s="1"/>
      <c r="M69" s="1"/>
      <c r="N69" s="21"/>
      <c r="P69" s="1"/>
      <c r="Q69" s="1"/>
      <c r="R69" s="1"/>
      <c r="S69" s="1"/>
      <c r="T69" s="1"/>
      <c r="U69" s="1"/>
      <c r="V69" s="1"/>
      <c r="W69" s="1"/>
      <c r="X69" s="1"/>
      <c r="Y69" s="1"/>
      <c r="Z69" s="1"/>
      <c r="AA69" s="1"/>
      <c r="AB69" s="1"/>
      <c r="AC69" s="1"/>
      <c r="AD69" s="43"/>
      <c r="AE69" s="43"/>
      <c r="AF69" s="43"/>
    </row>
    <row r="70" spans="1:32" x14ac:dyDescent="0.2">
      <c r="C70" s="23" t="s">
        <v>38</v>
      </c>
      <c r="D70" s="8">
        <f t="shared" si="0"/>
        <v>0</v>
      </c>
      <c r="H70" s="1" t="s">
        <v>76</v>
      </c>
      <c r="I70" s="39" t="s">
        <v>745</v>
      </c>
      <c r="J70" s="20">
        <f>SUMIF($L$2:$L$61,K70,$J$2:$J$61)</f>
        <v>0</v>
      </c>
      <c r="K70" s="25">
        <v>5</v>
      </c>
    </row>
    <row r="72" spans="1:32" x14ac:dyDescent="0.2">
      <c r="C72" s="23"/>
      <c r="D72" s="8"/>
    </row>
    <row r="73" spans="1:32" x14ac:dyDescent="0.2">
      <c r="L73" s="33"/>
    </row>
    <row r="74" spans="1:32" x14ac:dyDescent="0.2">
      <c r="C74" s="3" t="s">
        <v>157</v>
      </c>
      <c r="D74" s="8">
        <f>SUM(D64:D73)</f>
        <v>0</v>
      </c>
      <c r="E74" s="3" t="s">
        <v>157</v>
      </c>
      <c r="F74" s="8">
        <f>SUM(F64:F73)</f>
        <v>0</v>
      </c>
    </row>
    <row r="75" spans="1:32" s="57" customFormat="1" ht="29.25" customHeight="1" x14ac:dyDescent="0.2">
      <c r="A75" s="383" t="s">
        <v>158</v>
      </c>
      <c r="B75" s="383"/>
      <c r="C75" s="383"/>
      <c r="I75" s="58" t="s">
        <v>159</v>
      </c>
      <c r="J75" s="58" t="s">
        <v>160</v>
      </c>
      <c r="N75" s="59"/>
      <c r="O75" s="7"/>
      <c r="AD75" s="60"/>
      <c r="AE75" s="60"/>
      <c r="AF75" s="60"/>
    </row>
    <row r="76" spans="1:32" x14ac:dyDescent="0.2">
      <c r="A76" s="286">
        <v>44896</v>
      </c>
      <c r="B76" s="287" t="s">
        <v>163</v>
      </c>
      <c r="C76" s="353"/>
      <c r="D76" s="353"/>
      <c r="E76" s="353"/>
      <c r="F76" s="353"/>
      <c r="G76" s="353"/>
      <c r="H76" s="353"/>
      <c r="I76" s="51"/>
      <c r="J76" s="51"/>
    </row>
    <row r="77" spans="1:32" x14ac:dyDescent="0.2">
      <c r="A77" s="49">
        <f>+A76+1</f>
        <v>44897</v>
      </c>
      <c r="B77" s="50" t="s">
        <v>164</v>
      </c>
      <c r="C77" s="353"/>
      <c r="D77" s="353"/>
      <c r="E77" s="353"/>
      <c r="F77" s="353"/>
      <c r="G77" s="353"/>
      <c r="H77" s="353"/>
      <c r="I77" s="51"/>
      <c r="J77" s="51"/>
    </row>
    <row r="78" spans="1:32" x14ac:dyDescent="0.2">
      <c r="A78" s="49">
        <f t="shared" ref="A78:A106" si="2">+A77+1</f>
        <v>44898</v>
      </c>
      <c r="B78" s="50" t="s">
        <v>165</v>
      </c>
      <c r="C78" s="353"/>
      <c r="D78" s="353"/>
      <c r="E78" s="353"/>
      <c r="F78" s="353"/>
      <c r="G78" s="353"/>
      <c r="H78" s="353"/>
      <c r="I78" s="51"/>
      <c r="J78" s="51"/>
    </row>
    <row r="79" spans="1:32" x14ac:dyDescent="0.2">
      <c r="A79" s="49">
        <f t="shared" si="2"/>
        <v>44899</v>
      </c>
      <c r="B79" s="50" t="s">
        <v>166</v>
      </c>
      <c r="C79" s="353"/>
      <c r="D79" s="353"/>
      <c r="E79" s="353"/>
      <c r="F79" s="353"/>
      <c r="G79" s="353"/>
      <c r="H79" s="353"/>
      <c r="I79" s="51"/>
      <c r="J79" s="51"/>
    </row>
    <row r="80" spans="1:32" x14ac:dyDescent="0.2">
      <c r="A80" s="49">
        <f t="shared" si="2"/>
        <v>44900</v>
      </c>
      <c r="B80" s="50" t="s">
        <v>167</v>
      </c>
      <c r="C80" s="353"/>
      <c r="D80" s="353"/>
      <c r="E80" s="353"/>
      <c r="F80" s="353"/>
      <c r="G80" s="353"/>
      <c r="H80" s="353"/>
      <c r="I80" s="51"/>
      <c r="J80" s="51"/>
    </row>
    <row r="81" spans="1:10" x14ac:dyDescent="0.2">
      <c r="A81" s="49">
        <f t="shared" si="2"/>
        <v>44901</v>
      </c>
      <c r="B81" s="50" t="s">
        <v>161</v>
      </c>
      <c r="C81" s="353"/>
      <c r="D81" s="353"/>
      <c r="E81" s="353"/>
      <c r="F81" s="353"/>
      <c r="G81" s="353"/>
      <c r="H81" s="353"/>
      <c r="I81" s="51"/>
      <c r="J81" s="51"/>
    </row>
    <row r="82" spans="1:10" x14ac:dyDescent="0.2">
      <c r="A82" s="49">
        <f t="shared" si="2"/>
        <v>44902</v>
      </c>
      <c r="B82" s="50" t="s">
        <v>162</v>
      </c>
      <c r="C82" s="353"/>
      <c r="D82" s="353"/>
      <c r="E82" s="353"/>
      <c r="F82" s="353"/>
      <c r="G82" s="353"/>
      <c r="H82" s="353"/>
      <c r="I82" s="51"/>
      <c r="J82" s="51"/>
    </row>
    <row r="83" spans="1:10" x14ac:dyDescent="0.2">
      <c r="A83" s="61">
        <f t="shared" si="2"/>
        <v>44903</v>
      </c>
      <c r="B83" s="62" t="s">
        <v>163</v>
      </c>
      <c r="C83" s="429"/>
      <c r="D83" s="429"/>
      <c r="E83" s="429"/>
      <c r="F83" s="429"/>
      <c r="G83" s="429"/>
      <c r="H83" s="429"/>
      <c r="I83" s="63"/>
      <c r="J83" s="63"/>
    </row>
    <row r="84" spans="1:10" x14ac:dyDescent="0.2">
      <c r="A84" s="49">
        <f t="shared" si="2"/>
        <v>44904</v>
      </c>
      <c r="B84" s="50" t="s">
        <v>164</v>
      </c>
      <c r="C84" s="353"/>
      <c r="D84" s="353"/>
      <c r="E84" s="353"/>
      <c r="F84" s="353"/>
      <c r="G84" s="353"/>
      <c r="H84" s="353"/>
      <c r="I84" s="51"/>
      <c r="J84" s="51"/>
    </row>
    <row r="85" spans="1:10" x14ac:dyDescent="0.2">
      <c r="A85" s="49">
        <f t="shared" si="2"/>
        <v>44905</v>
      </c>
      <c r="B85" s="50" t="s">
        <v>165</v>
      </c>
      <c r="C85" s="353"/>
      <c r="D85" s="353"/>
      <c r="E85" s="353"/>
      <c r="F85" s="353"/>
      <c r="G85" s="353"/>
      <c r="H85" s="353"/>
      <c r="I85" s="51"/>
      <c r="J85" s="51"/>
    </row>
    <row r="86" spans="1:10" x14ac:dyDescent="0.2">
      <c r="A86" s="49">
        <f t="shared" si="2"/>
        <v>44906</v>
      </c>
      <c r="B86" s="50" t="s">
        <v>166</v>
      </c>
      <c r="C86" s="353"/>
      <c r="D86" s="353"/>
      <c r="E86" s="353"/>
      <c r="F86" s="353"/>
      <c r="G86" s="353"/>
      <c r="H86" s="353"/>
      <c r="I86" s="51"/>
      <c r="J86" s="51"/>
    </row>
    <row r="87" spans="1:10" x14ac:dyDescent="0.2">
      <c r="A87" s="49">
        <f t="shared" si="2"/>
        <v>44907</v>
      </c>
      <c r="B87" s="50" t="s">
        <v>167</v>
      </c>
      <c r="C87" s="353"/>
      <c r="D87" s="353"/>
      <c r="E87" s="353"/>
      <c r="F87" s="353"/>
      <c r="G87" s="353"/>
      <c r="H87" s="353"/>
      <c r="I87" s="51"/>
      <c r="J87" s="51"/>
    </row>
    <row r="88" spans="1:10" x14ac:dyDescent="0.2">
      <c r="A88" s="49">
        <f t="shared" si="2"/>
        <v>44908</v>
      </c>
      <c r="B88" s="50" t="s">
        <v>161</v>
      </c>
      <c r="C88" s="353"/>
      <c r="D88" s="353"/>
      <c r="E88" s="353"/>
      <c r="F88" s="353"/>
      <c r="G88" s="353"/>
      <c r="H88" s="353"/>
      <c r="I88" s="51"/>
      <c r="J88" s="51"/>
    </row>
    <row r="89" spans="1:10" x14ac:dyDescent="0.2">
      <c r="A89" s="49">
        <f t="shared" si="2"/>
        <v>44909</v>
      </c>
      <c r="B89" s="50" t="s">
        <v>162</v>
      </c>
      <c r="C89" s="353"/>
      <c r="D89" s="353"/>
      <c r="E89" s="353"/>
      <c r="F89" s="353"/>
      <c r="G89" s="353"/>
      <c r="H89" s="353"/>
      <c r="I89" s="51"/>
      <c r="J89" s="51"/>
    </row>
    <row r="90" spans="1:10" x14ac:dyDescent="0.2">
      <c r="A90" s="49">
        <f t="shared" si="2"/>
        <v>44910</v>
      </c>
      <c r="B90" s="50" t="s">
        <v>163</v>
      </c>
      <c r="C90" s="353"/>
      <c r="D90" s="353"/>
      <c r="E90" s="353"/>
      <c r="F90" s="353"/>
      <c r="G90" s="353"/>
      <c r="H90" s="353"/>
      <c r="I90" s="51"/>
      <c r="J90" s="51"/>
    </row>
    <row r="91" spans="1:10" x14ac:dyDescent="0.2">
      <c r="A91" s="49">
        <f t="shared" si="2"/>
        <v>44911</v>
      </c>
      <c r="B91" s="50" t="s">
        <v>164</v>
      </c>
      <c r="C91" s="353"/>
      <c r="D91" s="353"/>
      <c r="E91" s="353"/>
      <c r="F91" s="353"/>
      <c r="G91" s="353"/>
      <c r="H91" s="353"/>
      <c r="I91" s="51"/>
      <c r="J91" s="51"/>
    </row>
    <row r="92" spans="1:10" x14ac:dyDescent="0.2">
      <c r="A92" s="49">
        <f t="shared" si="2"/>
        <v>44912</v>
      </c>
      <c r="B92" s="50" t="s">
        <v>165</v>
      </c>
      <c r="C92" s="353"/>
      <c r="D92" s="353"/>
      <c r="E92" s="353"/>
      <c r="F92" s="353"/>
      <c r="G92" s="353"/>
      <c r="H92" s="353"/>
      <c r="I92" s="51"/>
      <c r="J92" s="51"/>
    </row>
    <row r="93" spans="1:10" x14ac:dyDescent="0.2">
      <c r="A93" s="49">
        <f t="shared" si="2"/>
        <v>44913</v>
      </c>
      <c r="B93" s="50" t="s">
        <v>166</v>
      </c>
      <c r="C93" s="353"/>
      <c r="D93" s="353"/>
      <c r="E93" s="353"/>
      <c r="F93" s="353"/>
      <c r="G93" s="353"/>
      <c r="H93" s="353"/>
      <c r="I93" s="51"/>
      <c r="J93" s="51"/>
    </row>
    <row r="94" spans="1:10" x14ac:dyDescent="0.2">
      <c r="A94" s="49">
        <f t="shared" si="2"/>
        <v>44914</v>
      </c>
      <c r="B94" s="50" t="s">
        <v>167</v>
      </c>
      <c r="C94" s="353"/>
      <c r="D94" s="353"/>
      <c r="E94" s="353"/>
      <c r="F94" s="353"/>
      <c r="G94" s="353"/>
      <c r="H94" s="353"/>
      <c r="I94" s="51"/>
      <c r="J94" s="51"/>
    </row>
    <row r="95" spans="1:10" x14ac:dyDescent="0.2">
      <c r="A95" s="49">
        <f t="shared" si="2"/>
        <v>44915</v>
      </c>
      <c r="B95" s="50" t="s">
        <v>161</v>
      </c>
      <c r="C95" s="353"/>
      <c r="D95" s="353"/>
      <c r="E95" s="353"/>
      <c r="F95" s="353"/>
      <c r="G95" s="353"/>
      <c r="H95" s="353"/>
      <c r="I95" s="51"/>
      <c r="J95" s="51"/>
    </row>
    <row r="96" spans="1:10" x14ac:dyDescent="0.2">
      <c r="A96" s="49">
        <f t="shared" si="2"/>
        <v>44916</v>
      </c>
      <c r="B96" s="50" t="s">
        <v>162</v>
      </c>
      <c r="C96" s="353"/>
      <c r="D96" s="353"/>
      <c r="E96" s="353"/>
      <c r="F96" s="353"/>
      <c r="G96" s="353"/>
      <c r="H96" s="353"/>
      <c r="I96" s="51"/>
      <c r="J96" s="51"/>
    </row>
    <row r="97" spans="1:21" x14ac:dyDescent="0.2">
      <c r="A97" s="49">
        <f t="shared" si="2"/>
        <v>44917</v>
      </c>
      <c r="B97" s="50" t="s">
        <v>163</v>
      </c>
      <c r="C97" s="353"/>
      <c r="D97" s="353"/>
      <c r="E97" s="353"/>
      <c r="F97" s="353"/>
      <c r="G97" s="353"/>
      <c r="H97" s="353"/>
      <c r="I97" s="51"/>
      <c r="J97" s="51"/>
    </row>
    <row r="98" spans="1:21" x14ac:dyDescent="0.2">
      <c r="A98" s="49">
        <f t="shared" si="2"/>
        <v>44918</v>
      </c>
      <c r="B98" s="50" t="s">
        <v>164</v>
      </c>
      <c r="C98" s="353"/>
      <c r="D98" s="353"/>
      <c r="E98" s="353"/>
      <c r="F98" s="353"/>
      <c r="G98" s="353"/>
      <c r="H98" s="353"/>
      <c r="I98" s="51"/>
      <c r="J98" s="51"/>
    </row>
    <row r="99" spans="1:21" x14ac:dyDescent="0.2">
      <c r="A99" s="49">
        <f t="shared" si="2"/>
        <v>44919</v>
      </c>
      <c r="B99" s="50" t="s">
        <v>165</v>
      </c>
      <c r="C99" s="353"/>
      <c r="D99" s="353"/>
      <c r="E99" s="353"/>
      <c r="F99" s="353"/>
      <c r="G99" s="353"/>
      <c r="H99" s="353"/>
      <c r="I99" s="51"/>
      <c r="J99" s="51"/>
    </row>
    <row r="100" spans="1:21" x14ac:dyDescent="0.2">
      <c r="A100" s="61">
        <f t="shared" si="2"/>
        <v>44920</v>
      </c>
      <c r="B100" s="62" t="s">
        <v>166</v>
      </c>
      <c r="C100" s="429"/>
      <c r="D100" s="429"/>
      <c r="E100" s="429"/>
      <c r="F100" s="429"/>
      <c r="G100" s="429"/>
      <c r="H100" s="429"/>
      <c r="I100" s="63"/>
      <c r="J100" s="63"/>
    </row>
    <row r="101" spans="1:21" x14ac:dyDescent="0.2">
      <c r="A101" s="49">
        <f t="shared" si="2"/>
        <v>44921</v>
      </c>
      <c r="B101" s="50" t="s">
        <v>167</v>
      </c>
      <c r="C101" s="353"/>
      <c r="D101" s="353"/>
      <c r="E101" s="353"/>
      <c r="F101" s="353"/>
      <c r="G101" s="353"/>
      <c r="H101" s="353"/>
      <c r="I101" s="51"/>
      <c r="J101" s="51"/>
    </row>
    <row r="102" spans="1:21" x14ac:dyDescent="0.2">
      <c r="A102" s="49">
        <f t="shared" si="2"/>
        <v>44922</v>
      </c>
      <c r="B102" s="50" t="s">
        <v>161</v>
      </c>
      <c r="C102" s="353"/>
      <c r="D102" s="353"/>
      <c r="E102" s="353"/>
      <c r="F102" s="353"/>
      <c r="G102" s="353"/>
      <c r="H102" s="353"/>
      <c r="I102" s="51"/>
      <c r="J102" s="51"/>
    </row>
    <row r="103" spans="1:21" x14ac:dyDescent="0.2">
      <c r="A103" s="49">
        <f t="shared" si="2"/>
        <v>44923</v>
      </c>
      <c r="B103" s="50" t="s">
        <v>162</v>
      </c>
      <c r="C103" s="353"/>
      <c r="D103" s="353"/>
      <c r="E103" s="353"/>
      <c r="F103" s="353"/>
      <c r="G103" s="353"/>
      <c r="H103" s="353"/>
      <c r="I103" s="51"/>
      <c r="J103" s="51"/>
    </row>
    <row r="104" spans="1:21" x14ac:dyDescent="0.2">
      <c r="A104" s="49">
        <f t="shared" si="2"/>
        <v>44924</v>
      </c>
      <c r="B104" s="50" t="s">
        <v>163</v>
      </c>
      <c r="C104" s="353"/>
      <c r="D104" s="353"/>
      <c r="E104" s="353"/>
      <c r="F104" s="353"/>
      <c r="G104" s="353"/>
      <c r="H104" s="353"/>
      <c r="I104" s="51"/>
      <c r="J104" s="51"/>
    </row>
    <row r="105" spans="1:21" x14ac:dyDescent="0.2">
      <c r="A105" s="49">
        <f t="shared" si="2"/>
        <v>44925</v>
      </c>
      <c r="B105" s="50" t="s">
        <v>164</v>
      </c>
      <c r="C105" s="353"/>
      <c r="D105" s="353"/>
      <c r="E105" s="353"/>
      <c r="F105" s="353"/>
      <c r="G105" s="353"/>
      <c r="H105" s="353"/>
      <c r="I105" s="51"/>
      <c r="J105" s="51"/>
    </row>
    <row r="106" spans="1:21" x14ac:dyDescent="0.2">
      <c r="A106" s="49">
        <f t="shared" si="2"/>
        <v>44926</v>
      </c>
      <c r="B106" s="50" t="s">
        <v>165</v>
      </c>
      <c r="C106" s="353"/>
      <c r="D106" s="353"/>
      <c r="E106" s="353"/>
      <c r="F106" s="353"/>
      <c r="G106" s="353"/>
      <c r="H106" s="353"/>
      <c r="I106" s="51"/>
      <c r="J106" s="51"/>
    </row>
    <row r="107" spans="1:21" x14ac:dyDescent="0.2">
      <c r="A107" s="32"/>
      <c r="I107" s="8"/>
      <c r="J107" s="8"/>
      <c r="R107" s="21"/>
      <c r="S107" s="21"/>
      <c r="T107" s="8"/>
      <c r="U107" s="8"/>
    </row>
    <row r="108" spans="1:21" x14ac:dyDescent="0.2">
      <c r="A108" s="367" t="s">
        <v>207</v>
      </c>
      <c r="B108" s="368"/>
      <c r="C108" s="368"/>
      <c r="D108" s="368"/>
      <c r="I108" s="8"/>
      <c r="J108" s="8"/>
      <c r="R108" s="21"/>
      <c r="S108" s="21"/>
      <c r="T108" s="8"/>
      <c r="U108" s="8"/>
    </row>
    <row r="109" spans="1:21" x14ac:dyDescent="0.2">
      <c r="A109" s="52">
        <f>COUNTIF($I$76:$I$109,B109)</f>
        <v>0</v>
      </c>
      <c r="B109" s="53" t="s">
        <v>208</v>
      </c>
      <c r="C109" s="370" t="s">
        <v>209</v>
      </c>
      <c r="D109" s="370"/>
      <c r="I109" s="8"/>
      <c r="J109" s="8"/>
      <c r="R109" s="21"/>
      <c r="S109" s="21"/>
      <c r="T109" s="8"/>
      <c r="U109" s="8"/>
    </row>
    <row r="110" spans="1:21" x14ac:dyDescent="0.2">
      <c r="A110" s="52">
        <f t="shared" ref="A110:A119" si="3">COUNTIF($I$76:$I$109,B110)</f>
        <v>0</v>
      </c>
      <c r="B110" s="53" t="s">
        <v>172</v>
      </c>
      <c r="C110" s="370" t="s">
        <v>210</v>
      </c>
      <c r="D110" s="370"/>
      <c r="I110" s="8"/>
      <c r="J110" s="8"/>
      <c r="R110" s="21"/>
      <c r="S110" s="21"/>
      <c r="T110" s="8"/>
      <c r="U110" s="8"/>
    </row>
    <row r="111" spans="1:21" x14ac:dyDescent="0.2">
      <c r="A111" s="52">
        <f t="shared" si="3"/>
        <v>0</v>
      </c>
      <c r="B111" s="53" t="s">
        <v>169</v>
      </c>
      <c r="C111" s="370" t="s">
        <v>211</v>
      </c>
      <c r="D111" s="370"/>
      <c r="I111" s="8"/>
      <c r="J111" s="8"/>
      <c r="R111" s="21"/>
      <c r="S111" s="21"/>
      <c r="T111" s="8"/>
      <c r="U111" s="8"/>
    </row>
    <row r="112" spans="1:21" x14ac:dyDescent="0.2">
      <c r="A112" s="52">
        <f t="shared" si="3"/>
        <v>0</v>
      </c>
      <c r="B112" s="53" t="s">
        <v>181</v>
      </c>
      <c r="C112" s="370" t="s">
        <v>212</v>
      </c>
      <c r="D112" s="370"/>
      <c r="I112" s="8"/>
      <c r="J112" s="8"/>
      <c r="R112" s="21"/>
      <c r="S112" s="21"/>
      <c r="T112" s="8"/>
      <c r="U112" s="8"/>
    </row>
    <row r="113" spans="1:21" x14ac:dyDescent="0.2">
      <c r="A113" s="52">
        <f t="shared" si="3"/>
        <v>0</v>
      </c>
      <c r="B113" s="53" t="s">
        <v>183</v>
      </c>
      <c r="C113" s="370" t="s">
        <v>213</v>
      </c>
      <c r="D113" s="370"/>
      <c r="I113" s="8"/>
      <c r="J113" s="8"/>
      <c r="R113" s="21"/>
      <c r="S113" s="21"/>
      <c r="T113" s="8"/>
      <c r="U113" s="8"/>
    </row>
    <row r="114" spans="1:21" x14ac:dyDescent="0.2">
      <c r="A114" s="52">
        <f t="shared" si="3"/>
        <v>0</v>
      </c>
      <c r="B114" s="53" t="s">
        <v>214</v>
      </c>
      <c r="C114" s="370" t="s">
        <v>215</v>
      </c>
      <c r="D114" s="370"/>
      <c r="I114" s="8"/>
      <c r="J114" s="8"/>
      <c r="R114" s="21"/>
      <c r="S114" s="21"/>
      <c r="T114" s="8"/>
      <c r="U114" s="8"/>
    </row>
    <row r="115" spans="1:21" x14ac:dyDescent="0.2">
      <c r="A115" s="52">
        <f t="shared" si="3"/>
        <v>0</v>
      </c>
      <c r="B115" s="53" t="s">
        <v>216</v>
      </c>
      <c r="C115" s="370" t="s">
        <v>217</v>
      </c>
      <c r="D115" s="370"/>
      <c r="I115" s="8"/>
      <c r="J115" s="8"/>
      <c r="R115" s="21"/>
      <c r="S115" s="21"/>
      <c r="T115" s="8"/>
      <c r="U115" s="8"/>
    </row>
    <row r="116" spans="1:21" x14ac:dyDescent="0.2">
      <c r="A116" s="52">
        <f t="shared" si="3"/>
        <v>0</v>
      </c>
      <c r="B116" s="53" t="s">
        <v>218</v>
      </c>
      <c r="C116" s="371" t="s">
        <v>219</v>
      </c>
      <c r="D116" s="372"/>
      <c r="I116" s="8"/>
      <c r="J116" s="8"/>
      <c r="R116" s="21"/>
      <c r="S116" s="21"/>
      <c r="T116" s="8"/>
      <c r="U116" s="8"/>
    </row>
    <row r="117" spans="1:21" x14ac:dyDescent="0.2">
      <c r="A117" s="52">
        <f t="shared" si="3"/>
        <v>0</v>
      </c>
      <c r="B117" s="53" t="s">
        <v>220</v>
      </c>
      <c r="C117" s="370" t="s">
        <v>221</v>
      </c>
      <c r="D117" s="370"/>
      <c r="I117" s="8"/>
      <c r="J117" s="8"/>
    </row>
    <row r="118" spans="1:21" x14ac:dyDescent="0.2">
      <c r="A118" s="52">
        <f>COUNTIF($I$76:$I$109,B118)</f>
        <v>0</v>
      </c>
      <c r="B118" s="53" t="s">
        <v>178</v>
      </c>
      <c r="C118" s="370" t="s">
        <v>222</v>
      </c>
      <c r="D118" s="370"/>
      <c r="I118" s="8"/>
      <c r="J118" s="8"/>
    </row>
    <row r="119" spans="1:21" x14ac:dyDescent="0.2">
      <c r="A119" s="52">
        <f t="shared" si="3"/>
        <v>0</v>
      </c>
      <c r="B119" s="53" t="s">
        <v>223</v>
      </c>
      <c r="C119" s="370" t="s">
        <v>224</v>
      </c>
      <c r="D119" s="370"/>
      <c r="I119" s="8"/>
      <c r="J119" s="8"/>
    </row>
    <row r="120" spans="1:21" x14ac:dyDescent="0.2">
      <c r="A120" s="54"/>
      <c r="B120" s="55"/>
      <c r="C120" s="56"/>
      <c r="D120" s="56"/>
      <c r="I120" s="8"/>
      <c r="J120" s="8"/>
    </row>
    <row r="121" spans="1:21" x14ac:dyDescent="0.2">
      <c r="A121" s="54"/>
      <c r="B121" s="55"/>
      <c r="C121" s="56"/>
      <c r="D121" s="56"/>
      <c r="I121" s="8"/>
      <c r="J121" s="8"/>
    </row>
    <row r="122" spans="1:21" x14ac:dyDescent="0.2">
      <c r="A122" s="54"/>
      <c r="B122" s="55"/>
      <c r="C122" s="56"/>
      <c r="D122" s="56"/>
      <c r="I122" s="8"/>
      <c r="J122" s="8"/>
    </row>
    <row r="123" spans="1:21" x14ac:dyDescent="0.2">
      <c r="A123" s="54"/>
      <c r="B123" s="55"/>
      <c r="C123" s="56"/>
      <c r="D123" s="56"/>
      <c r="I123" s="8"/>
      <c r="J123" s="8"/>
    </row>
    <row r="124" spans="1:21" x14ac:dyDescent="0.2">
      <c r="A124" s="32"/>
      <c r="I124" s="8"/>
      <c r="J124" s="8"/>
    </row>
    <row r="125" spans="1:21" x14ac:dyDescent="0.2">
      <c r="A125" s="367" t="s">
        <v>225</v>
      </c>
      <c r="B125" s="368"/>
      <c r="C125" s="368"/>
      <c r="D125" s="368"/>
      <c r="I125" s="8"/>
      <c r="J125" s="8"/>
    </row>
    <row r="126" spans="1:21" x14ac:dyDescent="0.2">
      <c r="A126" s="52">
        <f>COUNTIF($J$76:$J$109,B126)</f>
        <v>0</v>
      </c>
      <c r="B126" s="52" t="s">
        <v>170</v>
      </c>
      <c r="C126" s="356" t="s">
        <v>226</v>
      </c>
      <c r="D126" s="356"/>
      <c r="I126" s="8"/>
      <c r="J126" s="8"/>
    </row>
    <row r="127" spans="1:21" x14ac:dyDescent="0.2">
      <c r="A127" s="52">
        <f t="shared" ref="A127:A138" si="4">COUNTIF($J$76:$J$109,B127)</f>
        <v>0</v>
      </c>
      <c r="B127" s="52" t="s">
        <v>191</v>
      </c>
      <c r="C127" s="356" t="s">
        <v>227</v>
      </c>
      <c r="D127" s="356"/>
      <c r="I127" s="8"/>
      <c r="J127" s="8"/>
    </row>
    <row r="128" spans="1:21" x14ac:dyDescent="0.2">
      <c r="A128" s="52">
        <f t="shared" si="4"/>
        <v>0</v>
      </c>
      <c r="B128" s="52" t="s">
        <v>179</v>
      </c>
      <c r="C128" s="356" t="s">
        <v>228</v>
      </c>
      <c r="D128" s="356"/>
      <c r="I128" s="8"/>
      <c r="J128" s="8"/>
    </row>
    <row r="129" spans="1:10" x14ac:dyDescent="0.2">
      <c r="A129" s="52">
        <f t="shared" si="4"/>
        <v>0</v>
      </c>
      <c r="B129" s="52" t="s">
        <v>229</v>
      </c>
      <c r="C129" s="356" t="s">
        <v>230</v>
      </c>
      <c r="D129" s="356"/>
      <c r="I129" s="8"/>
      <c r="J129" s="8"/>
    </row>
    <row r="130" spans="1:10" x14ac:dyDescent="0.2">
      <c r="A130" s="52">
        <f t="shared" si="4"/>
        <v>0</v>
      </c>
      <c r="B130" s="52" t="s">
        <v>174</v>
      </c>
      <c r="C130" s="356" t="s">
        <v>231</v>
      </c>
      <c r="D130" s="356"/>
      <c r="I130" s="8"/>
      <c r="J130" s="8"/>
    </row>
    <row r="131" spans="1:10" x14ac:dyDescent="0.2">
      <c r="A131" s="52">
        <f t="shared" si="4"/>
        <v>0</v>
      </c>
      <c r="B131" s="52" t="s">
        <v>232</v>
      </c>
      <c r="C131" s="356" t="s">
        <v>233</v>
      </c>
      <c r="D131" s="356"/>
      <c r="I131" s="8"/>
      <c r="J131" s="8"/>
    </row>
    <row r="132" spans="1:10" x14ac:dyDescent="0.2">
      <c r="A132" s="52">
        <f t="shared" si="4"/>
        <v>0</v>
      </c>
      <c r="B132" s="52" t="s">
        <v>187</v>
      </c>
      <c r="C132" s="356" t="s">
        <v>234</v>
      </c>
      <c r="D132" s="356"/>
      <c r="I132" s="8"/>
      <c r="J132" s="8"/>
    </row>
    <row r="133" spans="1:10" x14ac:dyDescent="0.2">
      <c r="A133" s="52">
        <f t="shared" si="4"/>
        <v>0</v>
      </c>
      <c r="B133" s="52" t="s">
        <v>235</v>
      </c>
      <c r="C133" s="356" t="s">
        <v>236</v>
      </c>
      <c r="D133" s="356"/>
      <c r="I133" s="8"/>
      <c r="J133" s="8"/>
    </row>
    <row r="134" spans="1:10" x14ac:dyDescent="0.2">
      <c r="A134" s="52">
        <f t="shared" si="4"/>
        <v>0</v>
      </c>
      <c r="B134" s="52" t="s">
        <v>185</v>
      </c>
      <c r="C134" s="356" t="s">
        <v>237</v>
      </c>
      <c r="D134" s="356"/>
      <c r="I134" s="8"/>
      <c r="J134" s="8"/>
    </row>
    <row r="135" spans="1:10" x14ac:dyDescent="0.2">
      <c r="A135" s="52">
        <f t="shared" si="4"/>
        <v>0</v>
      </c>
      <c r="B135" s="52" t="s">
        <v>238</v>
      </c>
      <c r="C135" s="356" t="s">
        <v>239</v>
      </c>
      <c r="D135" s="356"/>
      <c r="I135" s="8"/>
      <c r="J135" s="8"/>
    </row>
    <row r="136" spans="1:10" x14ac:dyDescent="0.2">
      <c r="A136" s="52">
        <f>COUNTIF($J$76:$J$109,B136)</f>
        <v>0</v>
      </c>
      <c r="B136" s="52" t="s">
        <v>240</v>
      </c>
      <c r="C136" s="356" t="s">
        <v>241</v>
      </c>
      <c r="D136" s="356"/>
      <c r="I136" s="8"/>
      <c r="J136" s="8"/>
    </row>
    <row r="137" spans="1:10" x14ac:dyDescent="0.2">
      <c r="A137" s="52">
        <f>COUNTIF($J$76:$J$109,B137)</f>
        <v>0</v>
      </c>
      <c r="B137" s="52" t="s">
        <v>242</v>
      </c>
      <c r="C137" s="356" t="s">
        <v>243</v>
      </c>
      <c r="D137" s="356"/>
      <c r="I137" s="8"/>
      <c r="J137" s="8"/>
    </row>
    <row r="138" spans="1:10" x14ac:dyDescent="0.2">
      <c r="A138" s="52">
        <f t="shared" si="4"/>
        <v>0</v>
      </c>
      <c r="B138" s="52" t="s">
        <v>244</v>
      </c>
      <c r="C138" s="356" t="s">
        <v>245</v>
      </c>
      <c r="D138" s="356"/>
      <c r="I138" s="8"/>
      <c r="J138" s="8"/>
    </row>
    <row r="139" spans="1:10" x14ac:dyDescent="0.2">
      <c r="A139" s="32"/>
      <c r="I139" s="8"/>
      <c r="J139" s="8"/>
    </row>
    <row r="140" spans="1:10" x14ac:dyDescent="0.2">
      <c r="A140" s="32"/>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ht="19" x14ac:dyDescent="0.2">
      <c r="A145" s="32"/>
      <c r="C145" s="349" t="s">
        <v>86</v>
      </c>
      <c r="D145" s="350"/>
      <c r="E145" s="350"/>
      <c r="F145" s="350"/>
      <c r="G145" s="351"/>
      <c r="I145" s="8"/>
      <c r="J145" s="8"/>
    </row>
    <row r="146" spans="1:10" ht="32" x14ac:dyDescent="0.2">
      <c r="A146" s="32"/>
      <c r="C146" s="68" t="s">
        <v>87</v>
      </c>
      <c r="D146" s="64" t="s">
        <v>88</v>
      </c>
      <c r="E146" s="64" t="s">
        <v>89</v>
      </c>
      <c r="F146" s="64" t="s">
        <v>90</v>
      </c>
      <c r="G146" s="66" t="s">
        <v>91</v>
      </c>
      <c r="I146" s="8"/>
      <c r="J146" s="8"/>
    </row>
    <row r="147" spans="1:10" x14ac:dyDescent="0.2">
      <c r="A147" s="32"/>
      <c r="C147" s="65"/>
      <c r="D147" s="65"/>
      <c r="E147" s="65"/>
      <c r="F147" s="65"/>
      <c r="G147" s="67">
        <f>SUM(B147:F147)</f>
        <v>0</v>
      </c>
      <c r="I147" s="8"/>
      <c r="J147" s="8"/>
    </row>
    <row r="148" spans="1:10" x14ac:dyDescent="0.2">
      <c r="A148" s="32"/>
      <c r="G148"/>
      <c r="I148" s="8"/>
      <c r="J148" s="8"/>
    </row>
    <row r="149" spans="1:10" x14ac:dyDescent="0.2">
      <c r="A149" s="32"/>
      <c r="I149" s="8"/>
      <c r="J149" s="8"/>
    </row>
    <row r="150" spans="1:10" x14ac:dyDescent="0.2">
      <c r="A150" s="32"/>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row>
    <row r="224" spans="1:10" x14ac:dyDescent="0.2">
      <c r="A224" s="32"/>
    </row>
    <row r="225" spans="1:1" x14ac:dyDescent="0.2">
      <c r="A225" s="32"/>
    </row>
    <row r="226" spans="1:1" x14ac:dyDescent="0.2">
      <c r="A226" s="32"/>
    </row>
    <row r="227" spans="1:1" x14ac:dyDescent="0.2">
      <c r="A227" s="32"/>
    </row>
    <row r="228" spans="1:1" x14ac:dyDescent="0.2">
      <c r="A228" s="32"/>
    </row>
    <row r="229" spans="1:1" x14ac:dyDescent="0.2">
      <c r="A229" s="32"/>
    </row>
    <row r="230" spans="1:1" x14ac:dyDescent="0.2">
      <c r="A230" s="32"/>
    </row>
    <row r="231" spans="1:1" x14ac:dyDescent="0.2">
      <c r="A231" s="32"/>
    </row>
    <row r="232" spans="1:1" x14ac:dyDescent="0.2">
      <c r="A232" s="32"/>
    </row>
    <row r="233" spans="1:1" x14ac:dyDescent="0.2">
      <c r="A233" s="32"/>
    </row>
    <row r="234" spans="1:1" x14ac:dyDescent="0.2">
      <c r="A234" s="32"/>
    </row>
    <row r="235" spans="1:1" x14ac:dyDescent="0.2">
      <c r="A235" s="32"/>
    </row>
    <row r="236" spans="1:1" x14ac:dyDescent="0.2">
      <c r="A236" s="32"/>
    </row>
    <row r="237" spans="1:1" x14ac:dyDescent="0.2">
      <c r="A237" s="32"/>
    </row>
    <row r="238" spans="1:1" x14ac:dyDescent="0.2">
      <c r="A238" s="32"/>
    </row>
    <row r="239" spans="1:1" x14ac:dyDescent="0.2">
      <c r="A239" s="32"/>
    </row>
    <row r="240" spans="1:1" x14ac:dyDescent="0.2">
      <c r="A240" s="32"/>
    </row>
    <row r="241" spans="1:1" x14ac:dyDescent="0.2">
      <c r="A241" s="32"/>
    </row>
    <row r="242" spans="1:1" x14ac:dyDescent="0.2">
      <c r="A242" s="32"/>
    </row>
    <row r="243" spans="1:1" x14ac:dyDescent="0.2">
      <c r="A243" s="32"/>
    </row>
    <row r="244" spans="1:1" x14ac:dyDescent="0.2">
      <c r="A244" s="32"/>
    </row>
    <row r="245" spans="1:1" x14ac:dyDescent="0.2">
      <c r="A245" s="32"/>
    </row>
    <row r="246" spans="1:1" x14ac:dyDescent="0.2">
      <c r="A246" s="32"/>
    </row>
    <row r="247" spans="1:1" x14ac:dyDescent="0.2">
      <c r="A247" s="32"/>
    </row>
    <row r="248" spans="1:1" x14ac:dyDescent="0.2">
      <c r="A248" s="32"/>
    </row>
  </sheetData>
  <autoFilter ref="A1:AH1" xr:uid="{00000000-0001-0000-0800-000000000000}"/>
  <mergeCells count="67">
    <mergeCell ref="AC63:AE63"/>
    <mergeCell ref="AF63:AH63"/>
    <mergeCell ref="C78:H78"/>
    <mergeCell ref="C63:D63"/>
    <mergeCell ref="T63:V63"/>
    <mergeCell ref="W63:Y63"/>
    <mergeCell ref="Z63:AB63"/>
    <mergeCell ref="M64:O64"/>
    <mergeCell ref="H65:I65"/>
    <mergeCell ref="A75:C75"/>
    <mergeCell ref="C76:H76"/>
    <mergeCell ref="C77:H77"/>
    <mergeCell ref="C90:H90"/>
    <mergeCell ref="C79:H79"/>
    <mergeCell ref="C80:H80"/>
    <mergeCell ref="C81:H81"/>
    <mergeCell ref="C82:H82"/>
    <mergeCell ref="C83:H83"/>
    <mergeCell ref="C84:H84"/>
    <mergeCell ref="C85:H85"/>
    <mergeCell ref="C86:H86"/>
    <mergeCell ref="C87:H87"/>
    <mergeCell ref="C88:H88"/>
    <mergeCell ref="C89:H89"/>
    <mergeCell ref="C102:H102"/>
    <mergeCell ref="C91:H91"/>
    <mergeCell ref="C92:H92"/>
    <mergeCell ref="C93:H93"/>
    <mergeCell ref="C94:H94"/>
    <mergeCell ref="C95:H95"/>
    <mergeCell ref="C96:H96"/>
    <mergeCell ref="C97:H97"/>
    <mergeCell ref="C98:H98"/>
    <mergeCell ref="C99:H99"/>
    <mergeCell ref="C100:H100"/>
    <mergeCell ref="C101:H101"/>
    <mergeCell ref="C115:D115"/>
    <mergeCell ref="C103:H103"/>
    <mergeCell ref="C104:H104"/>
    <mergeCell ref="C105:H105"/>
    <mergeCell ref="C106:H106"/>
    <mergeCell ref="A108:D108"/>
    <mergeCell ref="C109:D109"/>
    <mergeCell ref="C110:D110"/>
    <mergeCell ref="C111:D111"/>
    <mergeCell ref="C112:D112"/>
    <mergeCell ref="C113:D113"/>
    <mergeCell ref="C114:D114"/>
    <mergeCell ref="C132:D132"/>
    <mergeCell ref="C116:D116"/>
    <mergeCell ref="C117:D117"/>
    <mergeCell ref="C118:D118"/>
    <mergeCell ref="C119:D119"/>
    <mergeCell ref="A125:D125"/>
    <mergeCell ref="C126:D126"/>
    <mergeCell ref="C127:D127"/>
    <mergeCell ref="C128:D128"/>
    <mergeCell ref="C129:D129"/>
    <mergeCell ref="C130:D130"/>
    <mergeCell ref="C131:D131"/>
    <mergeCell ref="C145:G145"/>
    <mergeCell ref="C133:D133"/>
    <mergeCell ref="C134:D134"/>
    <mergeCell ref="C135:D135"/>
    <mergeCell ref="C136:D136"/>
    <mergeCell ref="C137:D137"/>
    <mergeCell ref="C138:D138"/>
  </mergeCells>
  <dataValidations count="2">
    <dataValidation type="list" allowBlank="1" showInputMessage="1" showErrorMessage="1" sqref="I76:I106" xr:uid="{60176DB5-0969-4B9B-8647-35C7992584B0}">
      <formula1>$B$109:$B$119</formula1>
    </dataValidation>
    <dataValidation type="list" allowBlank="1" showInputMessage="1" showErrorMessage="1" sqref="J76:J106" xr:uid="{563DD82D-C5B7-440D-97EF-28BC2C77ABD3}">
      <formula1>$B$125:$B$138</formula1>
    </dataValidation>
  </dataValidation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3DD46-0966-4B20-8A5F-3E3927C24A6F}">
  <sheetPr codeName="Hoja20"/>
  <dimension ref="A1:AP248"/>
  <sheetViews>
    <sheetView zoomScale="85" zoomScaleNormal="85" workbookViewId="0">
      <pane xSplit="11" ySplit="1" topLeftCell="L2"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13.5" style="1" customWidth="1"/>
    <col min="23" max="23" width="4.6640625" style="1" customWidth="1"/>
    <col min="24" max="24" width="13.5" style="1" customWidth="1"/>
    <col min="25" max="25" width="4.6640625" style="1" customWidth="1"/>
    <col min="26" max="26" width="13.5" style="1" customWidth="1"/>
    <col min="27" max="27" width="4.6640625" style="1" customWidth="1"/>
    <col min="28" max="28" width="13.5" style="1" customWidth="1"/>
    <col min="29" max="29" width="13" style="1" bestFit="1" customWidth="1"/>
    <col min="30" max="30" width="4.6640625" style="48" customWidth="1"/>
    <col min="31" max="31" width="11.5" style="48" bestFit="1" customWidth="1"/>
    <col min="32" max="32" width="16.6640625" style="48" bestFit="1" customWidth="1"/>
    <col min="33" max="33" width="4.6640625" style="1" customWidth="1"/>
    <col min="34" max="34" width="11.5" style="1" bestFit="1" customWidth="1"/>
    <col min="35" max="38" width="9.1640625" style="1"/>
    <col min="39" max="39" width="15.5" style="1" bestFit="1" customWidth="1"/>
    <col min="40" max="16384" width="11.5" style="1"/>
  </cols>
  <sheetData>
    <row r="1" spans="1:42"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125</v>
      </c>
      <c r="AO1" s="304" t="s">
        <v>255</v>
      </c>
      <c r="AP1" s="304" t="s">
        <v>257</v>
      </c>
    </row>
    <row r="2" spans="1:42" s="48" customFormat="1" x14ac:dyDescent="0.2">
      <c r="A2" s="209"/>
      <c r="B2" s="8"/>
      <c r="C2" s="8"/>
      <c r="D2" s="8"/>
      <c r="E2" s="8"/>
      <c r="F2" s="8"/>
      <c r="G2" s="8"/>
      <c r="H2" s="8"/>
      <c r="I2" s="8"/>
      <c r="J2" s="37"/>
      <c r="K2" s="19">
        <v>0</v>
      </c>
      <c r="L2" s="198" t="s">
        <v>128</v>
      </c>
      <c r="M2" s="198" t="s">
        <v>128</v>
      </c>
      <c r="N2" s="197" t="s">
        <v>128</v>
      </c>
      <c r="O2" s="195">
        <v>1</v>
      </c>
      <c r="P2" s="45" t="s">
        <v>128</v>
      </c>
      <c r="Q2" s="45" t="s">
        <v>128</v>
      </c>
      <c r="R2" s="45" t="s">
        <v>128</v>
      </c>
      <c r="S2" s="45" t="s">
        <v>128</v>
      </c>
      <c r="T2" s="45" t="s">
        <v>128</v>
      </c>
      <c r="U2" s="45" t="s">
        <v>128</v>
      </c>
      <c r="V2" s="45" t="s">
        <v>128</v>
      </c>
      <c r="W2" s="45" t="s">
        <v>128</v>
      </c>
      <c r="X2" s="45" t="s">
        <v>128</v>
      </c>
      <c r="Y2" s="45" t="s">
        <v>128</v>
      </c>
      <c r="Z2" s="45" t="s">
        <v>128</v>
      </c>
      <c r="AA2" s="45" t="s">
        <v>128</v>
      </c>
      <c r="AB2" s="45" t="s">
        <v>128</v>
      </c>
      <c r="AC2" s="107" t="s">
        <v>128</v>
      </c>
      <c r="AD2" s="107" t="s">
        <v>128</v>
      </c>
      <c r="AE2" s="107" t="s">
        <v>128</v>
      </c>
      <c r="AF2" s="107" t="s">
        <v>128</v>
      </c>
      <c r="AG2" s="107" t="s">
        <v>128</v>
      </c>
      <c r="AH2" s="107" t="s">
        <v>128</v>
      </c>
      <c r="AI2" s="228"/>
      <c r="AJ2" s="228"/>
      <c r="AK2" s="228"/>
      <c r="AL2" s="228"/>
      <c r="AM2" s="228"/>
      <c r="AN2" s="228"/>
      <c r="AO2" s="140"/>
      <c r="AP2" s="140"/>
    </row>
    <row r="3" spans="1:42" s="48" customFormat="1" x14ac:dyDescent="0.2">
      <c r="A3" s="22"/>
      <c r="B3" s="22"/>
      <c r="C3" s="22"/>
      <c r="D3" s="22"/>
      <c r="E3" s="22"/>
      <c r="F3" s="22"/>
      <c r="G3" s="22"/>
      <c r="H3" s="22"/>
      <c r="I3" s="22"/>
      <c r="J3" s="36"/>
      <c r="K3" s="19">
        <v>0</v>
      </c>
      <c r="L3" s="198" t="s">
        <v>128</v>
      </c>
      <c r="M3" s="198" t="s">
        <v>128</v>
      </c>
      <c r="N3" s="197" t="s">
        <v>128</v>
      </c>
      <c r="O3" s="195">
        <v>1</v>
      </c>
      <c r="P3" s="45" t="s">
        <v>128</v>
      </c>
      <c r="Q3" s="45" t="s">
        <v>128</v>
      </c>
      <c r="R3" s="45" t="s">
        <v>128</v>
      </c>
      <c r="S3" s="45" t="s">
        <v>128</v>
      </c>
      <c r="T3" s="45" t="s">
        <v>128</v>
      </c>
      <c r="U3" s="45" t="s">
        <v>128</v>
      </c>
      <c r="V3" s="45" t="s">
        <v>128</v>
      </c>
      <c r="W3" s="45" t="s">
        <v>128</v>
      </c>
      <c r="X3" s="45" t="s">
        <v>128</v>
      </c>
      <c r="Y3" s="45" t="s">
        <v>128</v>
      </c>
      <c r="Z3" s="45" t="s">
        <v>128</v>
      </c>
      <c r="AA3" s="45" t="s">
        <v>128</v>
      </c>
      <c r="AB3" s="45" t="s">
        <v>128</v>
      </c>
      <c r="AC3" s="107" t="s">
        <v>128</v>
      </c>
      <c r="AD3" s="107" t="s">
        <v>128</v>
      </c>
      <c r="AE3" s="107" t="s">
        <v>128</v>
      </c>
      <c r="AF3" s="107" t="s">
        <v>128</v>
      </c>
      <c r="AG3" s="107" t="s">
        <v>128</v>
      </c>
      <c r="AH3" s="107" t="s">
        <v>128</v>
      </c>
      <c r="AI3" s="228"/>
      <c r="AJ3" s="228"/>
      <c r="AK3" s="228"/>
      <c r="AL3" s="228"/>
      <c r="AM3" s="228"/>
      <c r="AN3" s="228"/>
      <c r="AO3" s="140"/>
      <c r="AP3" s="140"/>
    </row>
    <row r="4" spans="1:42" s="48" customFormat="1" x14ac:dyDescent="0.2">
      <c r="A4" s="209"/>
      <c r="B4" s="8"/>
      <c r="C4" s="8"/>
      <c r="D4" s="8"/>
      <c r="E4" s="8"/>
      <c r="F4" s="8"/>
      <c r="G4" s="8"/>
      <c r="H4" s="8"/>
      <c r="I4" s="8"/>
      <c r="J4" s="37"/>
      <c r="K4" s="19">
        <v>0</v>
      </c>
      <c r="L4" s="198" t="s">
        <v>128</v>
      </c>
      <c r="M4" s="198" t="s">
        <v>128</v>
      </c>
      <c r="N4" s="197" t="s">
        <v>128</v>
      </c>
      <c r="O4" s="195">
        <v>1</v>
      </c>
      <c r="P4" s="45" t="s">
        <v>128</v>
      </c>
      <c r="Q4" s="45" t="s">
        <v>128</v>
      </c>
      <c r="R4" s="45" t="s">
        <v>128</v>
      </c>
      <c r="S4" s="45" t="s">
        <v>128</v>
      </c>
      <c r="T4" s="45" t="s">
        <v>128</v>
      </c>
      <c r="U4" s="45" t="s">
        <v>128</v>
      </c>
      <c r="V4" s="45" t="s">
        <v>128</v>
      </c>
      <c r="W4" s="45" t="s">
        <v>128</v>
      </c>
      <c r="X4" s="45" t="s">
        <v>128</v>
      </c>
      <c r="Y4" s="45" t="s">
        <v>128</v>
      </c>
      <c r="Z4" s="45" t="s">
        <v>128</v>
      </c>
      <c r="AA4" s="45" t="s">
        <v>128</v>
      </c>
      <c r="AB4" s="45" t="s">
        <v>128</v>
      </c>
      <c r="AC4" s="107" t="s">
        <v>128</v>
      </c>
      <c r="AD4" s="107" t="s">
        <v>128</v>
      </c>
      <c r="AE4" s="107" t="s">
        <v>128</v>
      </c>
      <c r="AF4" s="107" t="s">
        <v>128</v>
      </c>
      <c r="AG4" s="107" t="s">
        <v>128</v>
      </c>
      <c r="AH4" s="107" t="s">
        <v>128</v>
      </c>
      <c r="AI4" s="228"/>
      <c r="AJ4" s="228"/>
      <c r="AK4" s="228"/>
      <c r="AL4" s="228"/>
      <c r="AM4" s="228"/>
      <c r="AN4" s="228"/>
      <c r="AO4" s="140"/>
      <c r="AP4" s="140"/>
    </row>
    <row r="5" spans="1:42" s="48" customFormat="1" x14ac:dyDescent="0.2">
      <c r="A5" s="22"/>
      <c r="B5" s="22"/>
      <c r="C5" s="22"/>
      <c r="D5" s="22"/>
      <c r="E5" s="22"/>
      <c r="F5" s="22"/>
      <c r="G5" s="22"/>
      <c r="H5" s="22"/>
      <c r="I5" s="22"/>
      <c r="J5" s="36"/>
      <c r="K5" s="19">
        <v>0</v>
      </c>
      <c r="L5" s="198" t="s">
        <v>128</v>
      </c>
      <c r="M5" s="198" t="s">
        <v>128</v>
      </c>
      <c r="N5" s="197" t="s">
        <v>128</v>
      </c>
      <c r="O5" s="195">
        <v>1</v>
      </c>
      <c r="P5" s="45" t="s">
        <v>128</v>
      </c>
      <c r="Q5" s="45" t="s">
        <v>128</v>
      </c>
      <c r="R5" s="45" t="s">
        <v>128</v>
      </c>
      <c r="S5" s="45" t="s">
        <v>128</v>
      </c>
      <c r="T5" s="45" t="s">
        <v>128</v>
      </c>
      <c r="U5" s="45" t="s">
        <v>128</v>
      </c>
      <c r="V5" s="45" t="s">
        <v>128</v>
      </c>
      <c r="W5" s="45" t="s">
        <v>128</v>
      </c>
      <c r="X5" s="45" t="s">
        <v>128</v>
      </c>
      <c r="Y5" s="45" t="s">
        <v>128</v>
      </c>
      <c r="Z5" s="45" t="s">
        <v>128</v>
      </c>
      <c r="AA5" s="45" t="s">
        <v>128</v>
      </c>
      <c r="AB5" s="45" t="s">
        <v>128</v>
      </c>
      <c r="AC5" s="107" t="s">
        <v>128</v>
      </c>
      <c r="AD5" s="107" t="s">
        <v>128</v>
      </c>
      <c r="AE5" s="107" t="s">
        <v>128</v>
      </c>
      <c r="AF5" s="107" t="s">
        <v>128</v>
      </c>
      <c r="AG5" s="107" t="s">
        <v>128</v>
      </c>
      <c r="AH5" s="107" t="s">
        <v>128</v>
      </c>
      <c r="AI5" s="228"/>
      <c r="AJ5" s="228"/>
      <c r="AK5" s="228"/>
      <c r="AL5" s="228"/>
      <c r="AM5" s="228"/>
      <c r="AN5" s="228"/>
      <c r="AO5" s="140"/>
      <c r="AP5" s="140"/>
    </row>
    <row r="6" spans="1:42" s="48" customFormat="1" x14ac:dyDescent="0.2">
      <c r="A6" s="209"/>
      <c r="B6" s="8"/>
      <c r="C6" s="8"/>
      <c r="D6" s="8"/>
      <c r="E6" s="8"/>
      <c r="F6" s="8"/>
      <c r="G6" s="8"/>
      <c r="H6" s="8"/>
      <c r="I6" s="8"/>
      <c r="J6" s="37"/>
      <c r="K6" s="19">
        <v>0</v>
      </c>
      <c r="L6" s="198" t="s">
        <v>128</v>
      </c>
      <c r="M6" s="198" t="s">
        <v>128</v>
      </c>
      <c r="N6" s="197" t="s">
        <v>128</v>
      </c>
      <c r="O6" s="195">
        <v>1</v>
      </c>
      <c r="P6" s="45" t="s">
        <v>128</v>
      </c>
      <c r="Q6" s="45" t="s">
        <v>128</v>
      </c>
      <c r="R6" s="45" t="s">
        <v>128</v>
      </c>
      <c r="S6" s="45" t="s">
        <v>128</v>
      </c>
      <c r="T6" s="45" t="s">
        <v>128</v>
      </c>
      <c r="U6" s="45" t="s">
        <v>128</v>
      </c>
      <c r="V6" s="45" t="s">
        <v>128</v>
      </c>
      <c r="W6" s="45" t="s">
        <v>128</v>
      </c>
      <c r="X6" s="45" t="s">
        <v>128</v>
      </c>
      <c r="Y6" s="45" t="s">
        <v>128</v>
      </c>
      <c r="Z6" s="45" t="s">
        <v>128</v>
      </c>
      <c r="AA6" s="45" t="s">
        <v>128</v>
      </c>
      <c r="AB6" s="45" t="s">
        <v>128</v>
      </c>
      <c r="AC6" s="107" t="s">
        <v>128</v>
      </c>
      <c r="AD6" s="107" t="s">
        <v>128</v>
      </c>
      <c r="AE6" s="107" t="s">
        <v>128</v>
      </c>
      <c r="AF6" s="107" t="s">
        <v>128</v>
      </c>
      <c r="AG6" s="107" t="s">
        <v>128</v>
      </c>
      <c r="AH6" s="107" t="s">
        <v>128</v>
      </c>
      <c r="AI6" s="228"/>
      <c r="AJ6" s="228"/>
      <c r="AK6" s="228"/>
      <c r="AL6" s="228"/>
      <c r="AM6" s="228"/>
      <c r="AN6" s="228"/>
      <c r="AO6" s="140"/>
      <c r="AP6" s="140"/>
    </row>
    <row r="7" spans="1:42" s="48" customFormat="1" x14ac:dyDescent="0.2">
      <c r="A7" s="22"/>
      <c r="B7" s="22"/>
      <c r="C7" s="22"/>
      <c r="D7" s="22"/>
      <c r="E7" s="22"/>
      <c r="F7" s="22"/>
      <c r="G7" s="22"/>
      <c r="H7" s="22"/>
      <c r="I7" s="22"/>
      <c r="J7" s="36"/>
      <c r="K7" s="19">
        <v>0</v>
      </c>
      <c r="L7" s="198" t="s">
        <v>128</v>
      </c>
      <c r="M7" s="198" t="s">
        <v>128</v>
      </c>
      <c r="N7" s="197" t="s">
        <v>128</v>
      </c>
      <c r="O7" s="195">
        <v>1</v>
      </c>
      <c r="P7" s="45" t="s">
        <v>128</v>
      </c>
      <c r="Q7" s="45" t="s">
        <v>128</v>
      </c>
      <c r="R7" s="45" t="s">
        <v>128</v>
      </c>
      <c r="S7" s="45" t="s">
        <v>128</v>
      </c>
      <c r="T7" s="45" t="s">
        <v>128</v>
      </c>
      <c r="U7" s="45" t="s">
        <v>128</v>
      </c>
      <c r="V7" s="45" t="s">
        <v>128</v>
      </c>
      <c r="W7" s="45" t="s">
        <v>128</v>
      </c>
      <c r="X7" s="45" t="s">
        <v>128</v>
      </c>
      <c r="Y7" s="45" t="s">
        <v>128</v>
      </c>
      <c r="Z7" s="45" t="s">
        <v>128</v>
      </c>
      <c r="AA7" s="45" t="s">
        <v>128</v>
      </c>
      <c r="AB7" s="45" t="s">
        <v>128</v>
      </c>
      <c r="AC7" s="107" t="s">
        <v>128</v>
      </c>
      <c r="AD7" s="107" t="s">
        <v>128</v>
      </c>
      <c r="AE7" s="107" t="s">
        <v>128</v>
      </c>
      <c r="AF7" s="107" t="s">
        <v>128</v>
      </c>
      <c r="AG7" s="107" t="s">
        <v>128</v>
      </c>
      <c r="AH7" s="107" t="s">
        <v>128</v>
      </c>
      <c r="AI7" s="228"/>
      <c r="AJ7" s="228"/>
      <c r="AK7" s="228"/>
      <c r="AL7" s="228"/>
      <c r="AM7" s="228"/>
      <c r="AN7" s="228"/>
      <c r="AO7" s="140"/>
      <c r="AP7" s="140"/>
    </row>
    <row r="8" spans="1:42" s="48" customFormat="1" x14ac:dyDescent="0.2">
      <c r="A8" s="209"/>
      <c r="B8" s="8"/>
      <c r="C8" s="8"/>
      <c r="D8" s="8"/>
      <c r="E8" s="8"/>
      <c r="F8" s="8"/>
      <c r="G8" s="8"/>
      <c r="H8" s="8"/>
      <c r="I8" s="8"/>
      <c r="J8" s="37"/>
      <c r="K8" s="19">
        <v>0</v>
      </c>
      <c r="L8" s="198" t="s">
        <v>128</v>
      </c>
      <c r="M8" s="198" t="s">
        <v>128</v>
      </c>
      <c r="N8" s="197" t="s">
        <v>128</v>
      </c>
      <c r="O8" s="195">
        <v>1</v>
      </c>
      <c r="P8" s="45" t="s">
        <v>128</v>
      </c>
      <c r="Q8" s="45" t="s">
        <v>128</v>
      </c>
      <c r="R8" s="45" t="s">
        <v>128</v>
      </c>
      <c r="S8" s="45" t="s">
        <v>128</v>
      </c>
      <c r="T8" s="45" t="s">
        <v>128</v>
      </c>
      <c r="U8" s="45" t="s">
        <v>128</v>
      </c>
      <c r="V8" s="45" t="s">
        <v>128</v>
      </c>
      <c r="W8" s="45" t="s">
        <v>128</v>
      </c>
      <c r="X8" s="45" t="s">
        <v>128</v>
      </c>
      <c r="Y8" s="45" t="s">
        <v>128</v>
      </c>
      <c r="Z8" s="45" t="s">
        <v>128</v>
      </c>
      <c r="AA8" s="45" t="s">
        <v>128</v>
      </c>
      <c r="AB8" s="45" t="s">
        <v>128</v>
      </c>
      <c r="AC8" s="107" t="s">
        <v>128</v>
      </c>
      <c r="AD8" s="107" t="s">
        <v>128</v>
      </c>
      <c r="AE8" s="107" t="s">
        <v>128</v>
      </c>
      <c r="AF8" s="107" t="s">
        <v>128</v>
      </c>
      <c r="AG8" s="107" t="s">
        <v>128</v>
      </c>
      <c r="AH8" s="107" t="s">
        <v>128</v>
      </c>
      <c r="AI8" s="228"/>
      <c r="AJ8" s="228"/>
      <c r="AK8" s="228"/>
      <c r="AL8" s="228"/>
      <c r="AM8" s="228"/>
      <c r="AN8" s="228"/>
      <c r="AO8" s="140"/>
      <c r="AP8" s="140"/>
    </row>
    <row r="9" spans="1:42" s="48" customFormat="1" x14ac:dyDescent="0.2">
      <c r="A9" s="22"/>
      <c r="B9" s="22"/>
      <c r="C9" s="22"/>
      <c r="D9" s="22"/>
      <c r="E9" s="22"/>
      <c r="F9" s="22"/>
      <c r="G9" s="22"/>
      <c r="H9" s="22"/>
      <c r="I9" s="22"/>
      <c r="J9" s="36"/>
      <c r="K9" s="19">
        <v>0</v>
      </c>
      <c r="L9" s="198" t="s">
        <v>128</v>
      </c>
      <c r="M9" s="198" t="s">
        <v>128</v>
      </c>
      <c r="N9" s="197" t="s">
        <v>128</v>
      </c>
      <c r="O9" s="195">
        <v>1</v>
      </c>
      <c r="P9" s="45" t="s">
        <v>128</v>
      </c>
      <c r="Q9" s="45" t="s">
        <v>128</v>
      </c>
      <c r="R9" s="45" t="s">
        <v>128</v>
      </c>
      <c r="S9" s="45" t="s">
        <v>128</v>
      </c>
      <c r="T9" s="45" t="s">
        <v>128</v>
      </c>
      <c r="U9" s="45" t="s">
        <v>128</v>
      </c>
      <c r="V9" s="45" t="s">
        <v>128</v>
      </c>
      <c r="W9" s="45" t="s">
        <v>128</v>
      </c>
      <c r="X9" s="45" t="s">
        <v>128</v>
      </c>
      <c r="Y9" s="45" t="s">
        <v>128</v>
      </c>
      <c r="Z9" s="45" t="s">
        <v>128</v>
      </c>
      <c r="AA9" s="45" t="s">
        <v>128</v>
      </c>
      <c r="AB9" s="45" t="s">
        <v>128</v>
      </c>
      <c r="AC9" s="107" t="s">
        <v>128</v>
      </c>
      <c r="AD9" s="107" t="s">
        <v>128</v>
      </c>
      <c r="AE9" s="107" t="s">
        <v>128</v>
      </c>
      <c r="AF9" s="107" t="s">
        <v>128</v>
      </c>
      <c r="AG9" s="107" t="s">
        <v>128</v>
      </c>
      <c r="AH9" s="107" t="s">
        <v>128</v>
      </c>
      <c r="AI9" s="228"/>
      <c r="AJ9" s="228"/>
      <c r="AK9" s="228"/>
      <c r="AL9" s="228"/>
      <c r="AM9" s="228"/>
      <c r="AN9" s="228"/>
      <c r="AO9" s="140"/>
      <c r="AP9" s="140"/>
    </row>
    <row r="10" spans="1:42" s="48" customFormat="1" x14ac:dyDescent="0.2">
      <c r="A10" s="209"/>
      <c r="B10" s="8"/>
      <c r="C10" s="8"/>
      <c r="D10" s="8"/>
      <c r="E10" s="8"/>
      <c r="F10" s="8"/>
      <c r="G10" s="8"/>
      <c r="H10" s="8"/>
      <c r="I10" s="8"/>
      <c r="J10" s="37"/>
      <c r="K10" s="19">
        <v>0</v>
      </c>
      <c r="L10" s="198" t="s">
        <v>128</v>
      </c>
      <c r="M10" s="198" t="s">
        <v>128</v>
      </c>
      <c r="N10" s="197" t="s">
        <v>128</v>
      </c>
      <c r="O10" s="195">
        <v>1</v>
      </c>
      <c r="P10" s="45" t="s">
        <v>128</v>
      </c>
      <c r="Q10" s="45" t="s">
        <v>128</v>
      </c>
      <c r="R10" s="45" t="s">
        <v>128</v>
      </c>
      <c r="S10" s="45" t="s">
        <v>128</v>
      </c>
      <c r="T10" s="45" t="s">
        <v>128</v>
      </c>
      <c r="U10" s="45" t="s">
        <v>128</v>
      </c>
      <c r="V10" s="45" t="s">
        <v>128</v>
      </c>
      <c r="W10" s="45" t="s">
        <v>128</v>
      </c>
      <c r="X10" s="45" t="s">
        <v>128</v>
      </c>
      <c r="Y10" s="45" t="s">
        <v>128</v>
      </c>
      <c r="Z10" s="45" t="s">
        <v>128</v>
      </c>
      <c r="AA10" s="45" t="s">
        <v>128</v>
      </c>
      <c r="AB10" s="45" t="s">
        <v>128</v>
      </c>
      <c r="AC10" s="107" t="s">
        <v>128</v>
      </c>
      <c r="AD10" s="107" t="s">
        <v>128</v>
      </c>
      <c r="AE10" s="107" t="s">
        <v>128</v>
      </c>
      <c r="AF10" s="107" t="s">
        <v>128</v>
      </c>
      <c r="AG10" s="107" t="s">
        <v>128</v>
      </c>
      <c r="AH10" s="107" t="s">
        <v>128</v>
      </c>
      <c r="AI10" s="228"/>
      <c r="AJ10" s="228"/>
      <c r="AK10" s="228"/>
      <c r="AL10" s="228"/>
      <c r="AM10" s="228"/>
      <c r="AN10" s="228"/>
      <c r="AO10" s="140"/>
      <c r="AP10" s="140"/>
    </row>
    <row r="11" spans="1:42" s="48" customFormat="1" x14ac:dyDescent="0.2">
      <c r="A11" s="22"/>
      <c r="B11" s="22"/>
      <c r="C11" s="22"/>
      <c r="D11" s="22"/>
      <c r="E11" s="22"/>
      <c r="F11" s="22"/>
      <c r="G11" s="22"/>
      <c r="H11" s="22"/>
      <c r="I11" s="22"/>
      <c r="J11" s="36"/>
      <c r="K11" s="19">
        <v>0</v>
      </c>
      <c r="L11" s="198" t="s">
        <v>128</v>
      </c>
      <c r="M11" s="198" t="s">
        <v>128</v>
      </c>
      <c r="N11" s="197" t="s">
        <v>128</v>
      </c>
      <c r="O11" s="195">
        <v>1</v>
      </c>
      <c r="P11" s="45" t="s">
        <v>128</v>
      </c>
      <c r="Q11" s="45" t="s">
        <v>128</v>
      </c>
      <c r="R11" s="45" t="s">
        <v>128</v>
      </c>
      <c r="S11" s="45" t="s">
        <v>128</v>
      </c>
      <c r="T11" s="45" t="s">
        <v>128</v>
      </c>
      <c r="U11" s="45" t="s">
        <v>128</v>
      </c>
      <c r="V11" s="45" t="s">
        <v>128</v>
      </c>
      <c r="W11" s="45" t="s">
        <v>128</v>
      </c>
      <c r="X11" s="45" t="s">
        <v>128</v>
      </c>
      <c r="Y11" s="45" t="s">
        <v>128</v>
      </c>
      <c r="Z11" s="45" t="s">
        <v>128</v>
      </c>
      <c r="AA11" s="45" t="s">
        <v>128</v>
      </c>
      <c r="AB11" s="45" t="s">
        <v>128</v>
      </c>
      <c r="AC11" s="107" t="s">
        <v>128</v>
      </c>
      <c r="AD11" s="107" t="s">
        <v>128</v>
      </c>
      <c r="AE11" s="107" t="s">
        <v>128</v>
      </c>
      <c r="AF11" s="107" t="s">
        <v>128</v>
      </c>
      <c r="AG11" s="107" t="s">
        <v>128</v>
      </c>
      <c r="AH11" s="107" t="s">
        <v>128</v>
      </c>
      <c r="AI11" s="228"/>
      <c r="AJ11" s="228"/>
      <c r="AK11" s="228"/>
      <c r="AL11" s="228"/>
      <c r="AM11" s="228"/>
      <c r="AN11" s="228"/>
      <c r="AO11" s="140"/>
      <c r="AP11" s="140"/>
    </row>
    <row r="12" spans="1:42" s="48" customFormat="1" x14ac:dyDescent="0.2">
      <c r="A12" s="209"/>
      <c r="B12" s="8"/>
      <c r="C12" s="8"/>
      <c r="D12" s="8"/>
      <c r="E12" s="8"/>
      <c r="F12" s="8"/>
      <c r="G12" s="8"/>
      <c r="H12" s="8"/>
      <c r="I12" s="8"/>
      <c r="J12" s="37"/>
      <c r="K12" s="19">
        <v>0</v>
      </c>
      <c r="L12" s="198" t="s">
        <v>128</v>
      </c>
      <c r="M12" s="198" t="s">
        <v>128</v>
      </c>
      <c r="N12" s="197" t="s">
        <v>128</v>
      </c>
      <c r="O12" s="195">
        <v>1</v>
      </c>
      <c r="P12" s="45" t="s">
        <v>128</v>
      </c>
      <c r="Q12" s="45" t="s">
        <v>128</v>
      </c>
      <c r="R12" s="45" t="s">
        <v>128</v>
      </c>
      <c r="S12" s="45" t="s">
        <v>128</v>
      </c>
      <c r="T12" s="45" t="s">
        <v>128</v>
      </c>
      <c r="U12" s="45" t="s">
        <v>128</v>
      </c>
      <c r="V12" s="45" t="s">
        <v>128</v>
      </c>
      <c r="W12" s="45" t="s">
        <v>128</v>
      </c>
      <c r="X12" s="45" t="s">
        <v>128</v>
      </c>
      <c r="Y12" s="45" t="s">
        <v>128</v>
      </c>
      <c r="Z12" s="45" t="s">
        <v>128</v>
      </c>
      <c r="AA12" s="45" t="s">
        <v>128</v>
      </c>
      <c r="AB12" s="45" t="s">
        <v>128</v>
      </c>
      <c r="AC12" s="107" t="s">
        <v>128</v>
      </c>
      <c r="AD12" s="107" t="s">
        <v>128</v>
      </c>
      <c r="AE12" s="107" t="s">
        <v>128</v>
      </c>
      <c r="AF12" s="107" t="s">
        <v>128</v>
      </c>
      <c r="AG12" s="107" t="s">
        <v>128</v>
      </c>
      <c r="AH12" s="107" t="s">
        <v>128</v>
      </c>
      <c r="AI12" s="228"/>
      <c r="AJ12" s="228"/>
      <c r="AK12" s="228"/>
      <c r="AL12" s="228"/>
      <c r="AM12" s="228"/>
      <c r="AN12" s="228"/>
      <c r="AO12" s="140"/>
      <c r="AP12" s="140"/>
    </row>
    <row r="13" spans="1:42" s="48" customFormat="1" x14ac:dyDescent="0.2">
      <c r="A13" s="22"/>
      <c r="B13" s="22"/>
      <c r="C13" s="22"/>
      <c r="D13" s="22"/>
      <c r="E13" s="22"/>
      <c r="F13" s="22"/>
      <c r="G13" s="22"/>
      <c r="H13" s="22"/>
      <c r="I13" s="22"/>
      <c r="J13" s="36"/>
      <c r="K13" s="19">
        <v>0</v>
      </c>
      <c r="L13" s="198" t="s">
        <v>128</v>
      </c>
      <c r="M13" s="198" t="s">
        <v>128</v>
      </c>
      <c r="N13" s="197" t="s">
        <v>128</v>
      </c>
      <c r="O13" s="195">
        <v>1</v>
      </c>
      <c r="P13" s="45" t="s">
        <v>128</v>
      </c>
      <c r="Q13" s="45" t="s">
        <v>128</v>
      </c>
      <c r="R13" s="45" t="s">
        <v>128</v>
      </c>
      <c r="S13" s="45" t="s">
        <v>128</v>
      </c>
      <c r="T13" s="45" t="s">
        <v>128</v>
      </c>
      <c r="U13" s="45" t="s">
        <v>128</v>
      </c>
      <c r="V13" s="45" t="s">
        <v>128</v>
      </c>
      <c r="W13" s="45" t="s">
        <v>128</v>
      </c>
      <c r="X13" s="45" t="s">
        <v>128</v>
      </c>
      <c r="Y13" s="45" t="s">
        <v>128</v>
      </c>
      <c r="Z13" s="45" t="s">
        <v>128</v>
      </c>
      <c r="AA13" s="45" t="s">
        <v>128</v>
      </c>
      <c r="AB13" s="45" t="s">
        <v>128</v>
      </c>
      <c r="AC13" s="107" t="s">
        <v>128</v>
      </c>
      <c r="AD13" s="107" t="s">
        <v>128</v>
      </c>
      <c r="AE13" s="107" t="s">
        <v>128</v>
      </c>
      <c r="AF13" s="107" t="s">
        <v>128</v>
      </c>
      <c r="AG13" s="107" t="s">
        <v>128</v>
      </c>
      <c r="AH13" s="107" t="s">
        <v>128</v>
      </c>
      <c r="AI13" s="228"/>
      <c r="AJ13" s="228"/>
      <c r="AK13" s="228"/>
      <c r="AL13" s="228"/>
      <c r="AM13" s="228"/>
      <c r="AN13" s="228"/>
      <c r="AO13" s="140"/>
      <c r="AP13" s="140"/>
    </row>
    <row r="14" spans="1:42" s="48" customFormat="1" x14ac:dyDescent="0.2">
      <c r="A14" s="209"/>
      <c r="B14" s="8"/>
      <c r="C14" s="8"/>
      <c r="D14" s="8"/>
      <c r="E14" s="8"/>
      <c r="F14" s="8"/>
      <c r="G14" s="8"/>
      <c r="H14" s="8"/>
      <c r="I14" s="8"/>
      <c r="J14" s="37"/>
      <c r="K14" s="19">
        <v>0</v>
      </c>
      <c r="L14" s="198" t="s">
        <v>128</v>
      </c>
      <c r="M14" s="198" t="s">
        <v>128</v>
      </c>
      <c r="N14" s="197" t="s">
        <v>128</v>
      </c>
      <c r="O14" s="195">
        <v>1</v>
      </c>
      <c r="P14" s="45" t="s">
        <v>128</v>
      </c>
      <c r="Q14" s="45" t="s">
        <v>128</v>
      </c>
      <c r="R14" s="45" t="s">
        <v>128</v>
      </c>
      <c r="S14" s="45" t="s">
        <v>128</v>
      </c>
      <c r="T14" s="45" t="s">
        <v>128</v>
      </c>
      <c r="U14" s="45" t="s">
        <v>128</v>
      </c>
      <c r="V14" s="45" t="s">
        <v>128</v>
      </c>
      <c r="W14" s="45" t="s">
        <v>128</v>
      </c>
      <c r="X14" s="45" t="s">
        <v>128</v>
      </c>
      <c r="Y14" s="45" t="s">
        <v>128</v>
      </c>
      <c r="Z14" s="45" t="s">
        <v>128</v>
      </c>
      <c r="AA14" s="45" t="s">
        <v>128</v>
      </c>
      <c r="AB14" s="45" t="s">
        <v>128</v>
      </c>
      <c r="AC14" s="107" t="s">
        <v>128</v>
      </c>
      <c r="AD14" s="107" t="s">
        <v>128</v>
      </c>
      <c r="AE14" s="107" t="s">
        <v>128</v>
      </c>
      <c r="AF14" s="107" t="s">
        <v>128</v>
      </c>
      <c r="AG14" s="107" t="s">
        <v>128</v>
      </c>
      <c r="AH14" s="107" t="s">
        <v>128</v>
      </c>
      <c r="AI14" s="228"/>
      <c r="AJ14" s="228"/>
      <c r="AK14" s="228"/>
      <c r="AL14" s="228"/>
      <c r="AM14" s="228"/>
      <c r="AN14" s="228"/>
      <c r="AO14" s="140"/>
      <c r="AP14" s="140"/>
    </row>
    <row r="15" spans="1:42" s="48" customFormat="1" x14ac:dyDescent="0.2">
      <c r="A15" s="22"/>
      <c r="B15" s="22"/>
      <c r="C15" s="22"/>
      <c r="D15" s="22"/>
      <c r="E15" s="22"/>
      <c r="F15" s="22"/>
      <c r="G15" s="22"/>
      <c r="H15" s="22"/>
      <c r="I15" s="22"/>
      <c r="J15" s="36"/>
      <c r="K15" s="19">
        <v>0</v>
      </c>
      <c r="L15" s="198" t="s">
        <v>128</v>
      </c>
      <c r="M15" s="198" t="s">
        <v>128</v>
      </c>
      <c r="N15" s="197" t="s">
        <v>128</v>
      </c>
      <c r="O15" s="195">
        <v>1</v>
      </c>
      <c r="P15" s="45" t="s">
        <v>128</v>
      </c>
      <c r="Q15" s="45" t="s">
        <v>128</v>
      </c>
      <c r="R15" s="45" t="s">
        <v>128</v>
      </c>
      <c r="S15" s="45" t="s">
        <v>128</v>
      </c>
      <c r="T15" s="45" t="s">
        <v>128</v>
      </c>
      <c r="U15" s="45" t="s">
        <v>128</v>
      </c>
      <c r="V15" s="45" t="s">
        <v>128</v>
      </c>
      <c r="W15" s="45" t="s">
        <v>128</v>
      </c>
      <c r="X15" s="45" t="s">
        <v>128</v>
      </c>
      <c r="Y15" s="45" t="s">
        <v>128</v>
      </c>
      <c r="Z15" s="45" t="s">
        <v>128</v>
      </c>
      <c r="AA15" s="45" t="s">
        <v>128</v>
      </c>
      <c r="AB15" s="45" t="s">
        <v>128</v>
      </c>
      <c r="AC15" s="107" t="s">
        <v>128</v>
      </c>
      <c r="AD15" s="107" t="s">
        <v>128</v>
      </c>
      <c r="AE15" s="107" t="s">
        <v>128</v>
      </c>
      <c r="AF15" s="107" t="s">
        <v>128</v>
      </c>
      <c r="AG15" s="107" t="s">
        <v>128</v>
      </c>
      <c r="AH15" s="107" t="s">
        <v>128</v>
      </c>
      <c r="AI15" s="228"/>
      <c r="AJ15" s="228"/>
      <c r="AK15" s="228"/>
      <c r="AL15" s="228"/>
      <c r="AM15" s="228"/>
      <c r="AN15" s="228"/>
      <c r="AO15" s="140"/>
      <c r="AP15" s="140"/>
    </row>
    <row r="16" spans="1:42" s="48" customFormat="1" x14ac:dyDescent="0.2">
      <c r="A16" s="209"/>
      <c r="B16" s="8"/>
      <c r="C16" s="8"/>
      <c r="D16" s="8"/>
      <c r="E16" s="8"/>
      <c r="F16" s="8"/>
      <c r="G16" s="8"/>
      <c r="H16" s="8"/>
      <c r="I16" s="8"/>
      <c r="J16" s="37"/>
      <c r="K16" s="19">
        <v>0</v>
      </c>
      <c r="L16" s="198" t="s">
        <v>128</v>
      </c>
      <c r="M16" s="198" t="s">
        <v>128</v>
      </c>
      <c r="N16" s="197" t="s">
        <v>128</v>
      </c>
      <c r="O16" s="195">
        <v>1</v>
      </c>
      <c r="P16" s="45" t="s">
        <v>128</v>
      </c>
      <c r="Q16" s="45" t="s">
        <v>128</v>
      </c>
      <c r="R16" s="45" t="s">
        <v>128</v>
      </c>
      <c r="S16" s="45" t="s">
        <v>128</v>
      </c>
      <c r="T16" s="45" t="s">
        <v>128</v>
      </c>
      <c r="U16" s="45" t="s">
        <v>128</v>
      </c>
      <c r="V16" s="45" t="s">
        <v>128</v>
      </c>
      <c r="W16" s="45" t="s">
        <v>128</v>
      </c>
      <c r="X16" s="45" t="s">
        <v>128</v>
      </c>
      <c r="Y16" s="45" t="s">
        <v>128</v>
      </c>
      <c r="Z16" s="45" t="s">
        <v>128</v>
      </c>
      <c r="AA16" s="45" t="s">
        <v>128</v>
      </c>
      <c r="AB16" s="45" t="s">
        <v>128</v>
      </c>
      <c r="AC16" s="107" t="s">
        <v>128</v>
      </c>
      <c r="AD16" s="107" t="s">
        <v>128</v>
      </c>
      <c r="AE16" s="107" t="s">
        <v>128</v>
      </c>
      <c r="AF16" s="107" t="s">
        <v>128</v>
      </c>
      <c r="AG16" s="107" t="s">
        <v>128</v>
      </c>
      <c r="AH16" s="107" t="s">
        <v>128</v>
      </c>
      <c r="AI16" s="228"/>
      <c r="AJ16" s="228"/>
      <c r="AK16" s="228"/>
      <c r="AL16" s="228"/>
      <c r="AM16" s="228"/>
      <c r="AN16" s="228"/>
      <c r="AO16" s="140"/>
      <c r="AP16" s="140"/>
    </row>
    <row r="17" spans="1:42" s="48" customFormat="1" x14ac:dyDescent="0.2">
      <c r="A17" s="22"/>
      <c r="B17" s="22"/>
      <c r="C17" s="22"/>
      <c r="D17" s="22"/>
      <c r="E17" s="22"/>
      <c r="F17" s="22"/>
      <c r="G17" s="22"/>
      <c r="H17" s="22"/>
      <c r="I17" s="22"/>
      <c r="J17" s="36"/>
      <c r="K17" s="19">
        <v>0</v>
      </c>
      <c r="L17" s="198" t="s">
        <v>128</v>
      </c>
      <c r="M17" s="198" t="s">
        <v>128</v>
      </c>
      <c r="N17" s="197" t="s">
        <v>128</v>
      </c>
      <c r="O17" s="195">
        <v>1</v>
      </c>
      <c r="P17" s="45" t="s">
        <v>128</v>
      </c>
      <c r="Q17" s="45" t="s">
        <v>128</v>
      </c>
      <c r="R17" s="45" t="s">
        <v>128</v>
      </c>
      <c r="S17" s="45" t="s">
        <v>128</v>
      </c>
      <c r="T17" s="45" t="s">
        <v>128</v>
      </c>
      <c r="U17" s="45" t="s">
        <v>128</v>
      </c>
      <c r="V17" s="45" t="s">
        <v>128</v>
      </c>
      <c r="W17" s="45" t="s">
        <v>128</v>
      </c>
      <c r="X17" s="45" t="s">
        <v>128</v>
      </c>
      <c r="Y17" s="45" t="s">
        <v>128</v>
      </c>
      <c r="Z17" s="45" t="s">
        <v>128</v>
      </c>
      <c r="AA17" s="45" t="s">
        <v>128</v>
      </c>
      <c r="AB17" s="45" t="s">
        <v>128</v>
      </c>
      <c r="AC17" s="107" t="s">
        <v>128</v>
      </c>
      <c r="AD17" s="107" t="s">
        <v>128</v>
      </c>
      <c r="AE17" s="107" t="s">
        <v>128</v>
      </c>
      <c r="AF17" s="107" t="s">
        <v>128</v>
      </c>
      <c r="AG17" s="107" t="s">
        <v>128</v>
      </c>
      <c r="AH17" s="107" t="s">
        <v>128</v>
      </c>
      <c r="AI17" s="228"/>
      <c r="AJ17" s="228"/>
      <c r="AK17" s="228"/>
      <c r="AL17" s="228"/>
      <c r="AM17" s="228"/>
      <c r="AN17" s="228"/>
      <c r="AO17" s="140"/>
      <c r="AP17" s="140"/>
    </row>
    <row r="18" spans="1:42" s="48" customFormat="1" x14ac:dyDescent="0.2">
      <c r="A18" s="209"/>
      <c r="B18" s="8"/>
      <c r="C18" s="8"/>
      <c r="D18" s="8"/>
      <c r="E18" s="8"/>
      <c r="F18" s="8"/>
      <c r="G18" s="8"/>
      <c r="H18" s="8"/>
      <c r="I18" s="8"/>
      <c r="J18" s="37"/>
      <c r="K18" s="19">
        <v>0</v>
      </c>
      <c r="L18" s="198" t="s">
        <v>128</v>
      </c>
      <c r="M18" s="198" t="s">
        <v>128</v>
      </c>
      <c r="N18" s="197" t="s">
        <v>128</v>
      </c>
      <c r="O18" s="195">
        <v>1</v>
      </c>
      <c r="P18" s="45" t="s">
        <v>128</v>
      </c>
      <c r="Q18" s="45" t="s">
        <v>128</v>
      </c>
      <c r="R18" s="45" t="s">
        <v>128</v>
      </c>
      <c r="S18" s="45" t="s">
        <v>128</v>
      </c>
      <c r="T18" s="45" t="s">
        <v>128</v>
      </c>
      <c r="U18" s="45" t="s">
        <v>128</v>
      </c>
      <c r="V18" s="45" t="s">
        <v>128</v>
      </c>
      <c r="W18" s="45" t="s">
        <v>128</v>
      </c>
      <c r="X18" s="45" t="s">
        <v>128</v>
      </c>
      <c r="Y18" s="45" t="s">
        <v>128</v>
      </c>
      <c r="Z18" s="45" t="s">
        <v>128</v>
      </c>
      <c r="AA18" s="45" t="s">
        <v>128</v>
      </c>
      <c r="AB18" s="45" t="s">
        <v>128</v>
      </c>
      <c r="AC18" s="107" t="s">
        <v>128</v>
      </c>
      <c r="AD18" s="107" t="s">
        <v>128</v>
      </c>
      <c r="AE18" s="107" t="s">
        <v>128</v>
      </c>
      <c r="AF18" s="107" t="s">
        <v>128</v>
      </c>
      <c r="AG18" s="107" t="s">
        <v>128</v>
      </c>
      <c r="AH18" s="107" t="s">
        <v>128</v>
      </c>
      <c r="AI18" s="228"/>
      <c r="AJ18" s="228"/>
      <c r="AK18" s="228"/>
      <c r="AL18" s="228"/>
      <c r="AM18" s="228"/>
      <c r="AN18" s="228"/>
      <c r="AO18" s="279"/>
      <c r="AP18" s="140"/>
    </row>
    <row r="19" spans="1:42" s="48" customFormat="1" x14ac:dyDescent="0.2">
      <c r="A19" s="22"/>
      <c r="B19" s="22"/>
      <c r="C19" s="22"/>
      <c r="D19" s="22"/>
      <c r="E19" s="22"/>
      <c r="F19" s="22"/>
      <c r="G19" s="22"/>
      <c r="H19" s="22"/>
      <c r="I19" s="22"/>
      <c r="J19" s="36"/>
      <c r="K19" s="19">
        <v>0</v>
      </c>
      <c r="L19" s="198" t="s">
        <v>128</v>
      </c>
      <c r="M19" s="198" t="s">
        <v>128</v>
      </c>
      <c r="N19" s="197" t="s">
        <v>128</v>
      </c>
      <c r="O19" s="195">
        <v>1</v>
      </c>
      <c r="P19" s="45" t="s">
        <v>128</v>
      </c>
      <c r="Q19" s="45" t="s">
        <v>128</v>
      </c>
      <c r="R19" s="45" t="s">
        <v>128</v>
      </c>
      <c r="S19" s="45" t="s">
        <v>128</v>
      </c>
      <c r="T19" s="45" t="s">
        <v>128</v>
      </c>
      <c r="U19" s="45" t="s">
        <v>128</v>
      </c>
      <c r="V19" s="45" t="s">
        <v>128</v>
      </c>
      <c r="W19" s="45" t="s">
        <v>128</v>
      </c>
      <c r="X19" s="45" t="s">
        <v>128</v>
      </c>
      <c r="Y19" s="45" t="s">
        <v>128</v>
      </c>
      <c r="Z19" s="45" t="s">
        <v>128</v>
      </c>
      <c r="AA19" s="45" t="s">
        <v>128</v>
      </c>
      <c r="AB19" s="45" t="s">
        <v>128</v>
      </c>
      <c r="AC19" s="107" t="s">
        <v>128</v>
      </c>
      <c r="AD19" s="107" t="s">
        <v>128</v>
      </c>
      <c r="AE19" s="107" t="s">
        <v>128</v>
      </c>
      <c r="AF19" s="107" t="s">
        <v>128</v>
      </c>
      <c r="AG19" s="107" t="s">
        <v>128</v>
      </c>
      <c r="AH19" s="107" t="s">
        <v>128</v>
      </c>
      <c r="AI19" s="228"/>
      <c r="AJ19" s="228"/>
      <c r="AK19" s="228"/>
      <c r="AL19" s="228"/>
      <c r="AM19" s="228"/>
      <c r="AN19" s="228"/>
      <c r="AO19" s="279"/>
      <c r="AP19" s="140"/>
    </row>
    <row r="20" spans="1:42" s="48" customFormat="1" x14ac:dyDescent="0.2">
      <c r="A20" s="209"/>
      <c r="B20" s="8"/>
      <c r="C20" s="8"/>
      <c r="D20" s="8"/>
      <c r="E20" s="8"/>
      <c r="F20" s="8"/>
      <c r="G20" s="8"/>
      <c r="H20" s="8"/>
      <c r="I20" s="8"/>
      <c r="J20" s="37"/>
      <c r="K20" s="19">
        <v>0</v>
      </c>
      <c r="L20" s="198" t="s">
        <v>128</v>
      </c>
      <c r="M20" s="198" t="s">
        <v>128</v>
      </c>
      <c r="N20" s="197" t="s">
        <v>128</v>
      </c>
      <c r="O20" s="195">
        <v>1</v>
      </c>
      <c r="P20" s="45" t="s">
        <v>128</v>
      </c>
      <c r="Q20" s="45" t="s">
        <v>128</v>
      </c>
      <c r="R20" s="45" t="s">
        <v>128</v>
      </c>
      <c r="S20" s="45" t="s">
        <v>128</v>
      </c>
      <c r="T20" s="45" t="s">
        <v>128</v>
      </c>
      <c r="U20" s="45" t="s">
        <v>128</v>
      </c>
      <c r="V20" s="45" t="s">
        <v>128</v>
      </c>
      <c r="W20" s="45" t="s">
        <v>128</v>
      </c>
      <c r="X20" s="45" t="s">
        <v>128</v>
      </c>
      <c r="Y20" s="45" t="s">
        <v>128</v>
      </c>
      <c r="Z20" s="45" t="s">
        <v>128</v>
      </c>
      <c r="AA20" s="45" t="s">
        <v>128</v>
      </c>
      <c r="AB20" s="45" t="s">
        <v>128</v>
      </c>
      <c r="AC20" s="107" t="s">
        <v>128</v>
      </c>
      <c r="AD20" s="107" t="s">
        <v>128</v>
      </c>
      <c r="AE20" s="107" t="s">
        <v>128</v>
      </c>
      <c r="AF20" s="107" t="s">
        <v>128</v>
      </c>
      <c r="AG20" s="107" t="s">
        <v>128</v>
      </c>
      <c r="AH20" s="107" t="s">
        <v>128</v>
      </c>
      <c r="AI20" s="228"/>
      <c r="AJ20" s="228"/>
      <c r="AK20" s="228"/>
      <c r="AL20" s="228"/>
      <c r="AM20" s="228"/>
      <c r="AN20" s="228"/>
      <c r="AO20" s="279"/>
      <c r="AP20" s="140"/>
    </row>
    <row r="21" spans="1:42" s="48" customFormat="1" x14ac:dyDescent="0.2">
      <c r="A21" s="22"/>
      <c r="B21" s="22"/>
      <c r="C21" s="22"/>
      <c r="D21" s="22"/>
      <c r="E21" s="22"/>
      <c r="F21" s="22"/>
      <c r="G21" s="22"/>
      <c r="H21" s="22"/>
      <c r="I21" s="22"/>
      <c r="J21" s="36"/>
      <c r="K21" s="19">
        <v>0</v>
      </c>
      <c r="L21" s="198" t="s">
        <v>128</v>
      </c>
      <c r="M21" s="198" t="s">
        <v>128</v>
      </c>
      <c r="N21" s="197" t="s">
        <v>128</v>
      </c>
      <c r="O21" s="195">
        <v>1</v>
      </c>
      <c r="P21" s="45" t="s">
        <v>128</v>
      </c>
      <c r="Q21" s="45" t="s">
        <v>128</v>
      </c>
      <c r="R21" s="45" t="s">
        <v>128</v>
      </c>
      <c r="S21" s="45" t="s">
        <v>128</v>
      </c>
      <c r="T21" s="45" t="s">
        <v>128</v>
      </c>
      <c r="U21" s="45" t="s">
        <v>128</v>
      </c>
      <c r="V21" s="45" t="s">
        <v>128</v>
      </c>
      <c r="W21" s="45" t="s">
        <v>128</v>
      </c>
      <c r="X21" s="45" t="s">
        <v>128</v>
      </c>
      <c r="Y21" s="45" t="s">
        <v>128</v>
      </c>
      <c r="Z21" s="45" t="s">
        <v>128</v>
      </c>
      <c r="AA21" s="45" t="s">
        <v>128</v>
      </c>
      <c r="AB21" s="45" t="s">
        <v>128</v>
      </c>
      <c r="AC21" s="107" t="s">
        <v>128</v>
      </c>
      <c r="AD21" s="107" t="s">
        <v>128</v>
      </c>
      <c r="AE21" s="107" t="s">
        <v>128</v>
      </c>
      <c r="AF21" s="107" t="s">
        <v>128</v>
      </c>
      <c r="AG21" s="107" t="s">
        <v>128</v>
      </c>
      <c r="AH21" s="107" t="s">
        <v>128</v>
      </c>
      <c r="AI21" s="228"/>
      <c r="AJ21" s="228"/>
      <c r="AK21" s="228"/>
      <c r="AL21" s="228"/>
      <c r="AM21" s="228"/>
      <c r="AN21" s="228"/>
      <c r="AO21" s="140"/>
      <c r="AP21" s="140"/>
    </row>
    <row r="22" spans="1:42" s="48" customFormat="1" x14ac:dyDescent="0.2">
      <c r="A22" s="209"/>
      <c r="B22" s="8"/>
      <c r="C22" s="8"/>
      <c r="D22" s="8"/>
      <c r="E22" s="8"/>
      <c r="F22" s="8"/>
      <c r="G22" s="8"/>
      <c r="H22" s="8"/>
      <c r="I22" s="8"/>
      <c r="J22" s="37"/>
      <c r="K22" s="19">
        <v>0</v>
      </c>
      <c r="L22" s="198" t="s">
        <v>128</v>
      </c>
      <c r="M22" s="198" t="s">
        <v>128</v>
      </c>
      <c r="N22" s="197" t="s">
        <v>128</v>
      </c>
      <c r="O22" s="195">
        <v>1</v>
      </c>
      <c r="P22" s="45" t="s">
        <v>128</v>
      </c>
      <c r="Q22" s="45" t="s">
        <v>128</v>
      </c>
      <c r="R22" s="45" t="s">
        <v>128</v>
      </c>
      <c r="S22" s="45" t="s">
        <v>128</v>
      </c>
      <c r="T22" s="45" t="s">
        <v>128</v>
      </c>
      <c r="U22" s="45" t="s">
        <v>128</v>
      </c>
      <c r="V22" s="45" t="s">
        <v>128</v>
      </c>
      <c r="W22" s="45" t="s">
        <v>128</v>
      </c>
      <c r="X22" s="45" t="s">
        <v>128</v>
      </c>
      <c r="Y22" s="45" t="s">
        <v>128</v>
      </c>
      <c r="Z22" s="45" t="s">
        <v>128</v>
      </c>
      <c r="AA22" s="45" t="s">
        <v>128</v>
      </c>
      <c r="AB22" s="45" t="s">
        <v>128</v>
      </c>
      <c r="AC22" s="107" t="s">
        <v>128</v>
      </c>
      <c r="AD22" s="107" t="s">
        <v>128</v>
      </c>
      <c r="AE22" s="107" t="s">
        <v>128</v>
      </c>
      <c r="AF22" s="107" t="s">
        <v>128</v>
      </c>
      <c r="AG22" s="107" t="s">
        <v>128</v>
      </c>
      <c r="AH22" s="107" t="s">
        <v>128</v>
      </c>
      <c r="AI22" s="228"/>
      <c r="AJ22" s="228"/>
      <c r="AK22" s="228"/>
      <c r="AL22" s="228"/>
      <c r="AM22" s="228"/>
      <c r="AN22" s="228"/>
      <c r="AO22" s="140"/>
      <c r="AP22" s="140"/>
    </row>
    <row r="23" spans="1:42" s="48" customFormat="1" x14ac:dyDescent="0.2">
      <c r="A23" s="22"/>
      <c r="B23" s="22"/>
      <c r="C23" s="22"/>
      <c r="D23" s="22"/>
      <c r="E23" s="22"/>
      <c r="F23" s="22"/>
      <c r="G23" s="22"/>
      <c r="H23" s="22"/>
      <c r="I23" s="22"/>
      <c r="J23" s="36"/>
      <c r="K23" s="19">
        <v>0</v>
      </c>
      <c r="L23" s="198" t="s">
        <v>128</v>
      </c>
      <c r="M23" s="198" t="s">
        <v>128</v>
      </c>
      <c r="N23" s="197" t="s">
        <v>128</v>
      </c>
      <c r="O23" s="195">
        <v>1</v>
      </c>
      <c r="P23" s="45" t="s">
        <v>128</v>
      </c>
      <c r="Q23" s="45" t="s">
        <v>128</v>
      </c>
      <c r="R23" s="45" t="s">
        <v>128</v>
      </c>
      <c r="S23" s="45" t="s">
        <v>128</v>
      </c>
      <c r="T23" s="45" t="s">
        <v>128</v>
      </c>
      <c r="U23" s="45" t="s">
        <v>128</v>
      </c>
      <c r="V23" s="45" t="s">
        <v>128</v>
      </c>
      <c r="W23" s="45" t="s">
        <v>128</v>
      </c>
      <c r="X23" s="45" t="s">
        <v>128</v>
      </c>
      <c r="Y23" s="45" t="s">
        <v>128</v>
      </c>
      <c r="Z23" s="45" t="s">
        <v>128</v>
      </c>
      <c r="AA23" s="45" t="s">
        <v>128</v>
      </c>
      <c r="AB23" s="45" t="s">
        <v>128</v>
      </c>
      <c r="AC23" s="107" t="s">
        <v>128</v>
      </c>
      <c r="AD23" s="107" t="s">
        <v>128</v>
      </c>
      <c r="AE23" s="107" t="s">
        <v>128</v>
      </c>
      <c r="AF23" s="107" t="s">
        <v>128</v>
      </c>
      <c r="AG23" s="107" t="s">
        <v>128</v>
      </c>
      <c r="AH23" s="107" t="s">
        <v>128</v>
      </c>
      <c r="AI23" s="228"/>
      <c r="AJ23" s="228"/>
      <c r="AK23" s="228"/>
      <c r="AL23" s="228"/>
      <c r="AM23" s="228"/>
      <c r="AN23" s="228"/>
      <c r="AO23" s="140"/>
      <c r="AP23" s="140"/>
    </row>
    <row r="24" spans="1:42" s="48" customFormat="1" x14ac:dyDescent="0.2">
      <c r="A24" s="209"/>
      <c r="B24" s="8"/>
      <c r="C24" s="8"/>
      <c r="D24" s="8"/>
      <c r="E24" s="8"/>
      <c r="F24" s="8"/>
      <c r="G24" s="8"/>
      <c r="H24" s="8"/>
      <c r="I24" s="8"/>
      <c r="J24" s="37"/>
      <c r="K24" s="19">
        <v>0</v>
      </c>
      <c r="L24" s="198" t="s">
        <v>128</v>
      </c>
      <c r="M24" s="198" t="s">
        <v>128</v>
      </c>
      <c r="N24" s="197" t="s">
        <v>128</v>
      </c>
      <c r="O24" s="195">
        <v>1</v>
      </c>
      <c r="P24" s="45" t="s">
        <v>128</v>
      </c>
      <c r="Q24" s="45" t="s">
        <v>128</v>
      </c>
      <c r="R24" s="45" t="s">
        <v>128</v>
      </c>
      <c r="S24" s="45" t="s">
        <v>128</v>
      </c>
      <c r="T24" s="45" t="s">
        <v>128</v>
      </c>
      <c r="U24" s="45" t="s">
        <v>128</v>
      </c>
      <c r="V24" s="45" t="s">
        <v>128</v>
      </c>
      <c r="W24" s="45" t="s">
        <v>128</v>
      </c>
      <c r="X24" s="45" t="s">
        <v>128</v>
      </c>
      <c r="Y24" s="45" t="s">
        <v>128</v>
      </c>
      <c r="Z24" s="45" t="s">
        <v>128</v>
      </c>
      <c r="AA24" s="45" t="s">
        <v>128</v>
      </c>
      <c r="AB24" s="45" t="s">
        <v>128</v>
      </c>
      <c r="AC24" s="107" t="s">
        <v>128</v>
      </c>
      <c r="AD24" s="107" t="s">
        <v>128</v>
      </c>
      <c r="AE24" s="107" t="s">
        <v>128</v>
      </c>
      <c r="AF24" s="107" t="s">
        <v>128</v>
      </c>
      <c r="AG24" s="107" t="s">
        <v>128</v>
      </c>
      <c r="AH24" s="107" t="s">
        <v>128</v>
      </c>
      <c r="AI24" s="228"/>
      <c r="AJ24" s="228"/>
      <c r="AK24" s="228"/>
      <c r="AL24" s="228"/>
      <c r="AM24" s="228"/>
      <c r="AN24" s="228"/>
      <c r="AO24" s="140"/>
      <c r="AP24" s="140"/>
    </row>
    <row r="25" spans="1:42" s="48" customFormat="1" x14ac:dyDescent="0.2">
      <c r="A25" s="22"/>
      <c r="B25" s="22"/>
      <c r="C25" s="22"/>
      <c r="D25" s="22"/>
      <c r="E25" s="22"/>
      <c r="F25" s="22"/>
      <c r="G25" s="22"/>
      <c r="H25" s="22"/>
      <c r="I25" s="22"/>
      <c r="J25" s="36"/>
      <c r="K25" s="19">
        <v>0</v>
      </c>
      <c r="L25" s="198" t="s">
        <v>128</v>
      </c>
      <c r="M25" s="198" t="s">
        <v>128</v>
      </c>
      <c r="N25" s="197" t="s">
        <v>128</v>
      </c>
      <c r="O25" s="195">
        <v>1</v>
      </c>
      <c r="P25" s="45" t="s">
        <v>128</v>
      </c>
      <c r="Q25" s="45" t="s">
        <v>128</v>
      </c>
      <c r="R25" s="45" t="s">
        <v>128</v>
      </c>
      <c r="S25" s="45" t="s">
        <v>128</v>
      </c>
      <c r="T25" s="45" t="s">
        <v>128</v>
      </c>
      <c r="U25" s="45" t="s">
        <v>128</v>
      </c>
      <c r="V25" s="45" t="s">
        <v>128</v>
      </c>
      <c r="W25" s="45" t="s">
        <v>128</v>
      </c>
      <c r="X25" s="45" t="s">
        <v>128</v>
      </c>
      <c r="Y25" s="45" t="s">
        <v>128</v>
      </c>
      <c r="Z25" s="45" t="s">
        <v>128</v>
      </c>
      <c r="AA25" s="45" t="s">
        <v>128</v>
      </c>
      <c r="AB25" s="45" t="s">
        <v>128</v>
      </c>
      <c r="AC25" s="107" t="s">
        <v>128</v>
      </c>
      <c r="AD25" s="107" t="s">
        <v>128</v>
      </c>
      <c r="AE25" s="107" t="s">
        <v>128</v>
      </c>
      <c r="AF25" s="107" t="s">
        <v>128</v>
      </c>
      <c r="AG25" s="107" t="s">
        <v>128</v>
      </c>
      <c r="AH25" s="107" t="s">
        <v>128</v>
      </c>
      <c r="AI25" s="228"/>
      <c r="AJ25" s="228"/>
      <c r="AK25" s="228"/>
      <c r="AL25" s="228"/>
      <c r="AM25" s="228"/>
      <c r="AN25" s="228"/>
      <c r="AO25" s="140"/>
      <c r="AP25" s="140"/>
    </row>
    <row r="26" spans="1:42" s="48" customFormat="1" x14ac:dyDescent="0.2">
      <c r="A26" s="209"/>
      <c r="B26" s="8"/>
      <c r="C26" s="8"/>
      <c r="D26" s="8"/>
      <c r="E26" s="8"/>
      <c r="F26" s="8"/>
      <c r="G26" s="8"/>
      <c r="H26" s="8"/>
      <c r="I26" s="8"/>
      <c r="J26" s="37"/>
      <c r="K26" s="19">
        <v>0</v>
      </c>
      <c r="L26" s="198" t="s">
        <v>128</v>
      </c>
      <c r="M26" s="198" t="s">
        <v>128</v>
      </c>
      <c r="N26" s="197" t="s">
        <v>128</v>
      </c>
      <c r="O26" s="195">
        <v>1</v>
      </c>
      <c r="P26" s="45" t="s">
        <v>128</v>
      </c>
      <c r="Q26" s="45" t="s">
        <v>128</v>
      </c>
      <c r="R26" s="45" t="s">
        <v>128</v>
      </c>
      <c r="S26" s="45" t="s">
        <v>128</v>
      </c>
      <c r="T26" s="45" t="s">
        <v>128</v>
      </c>
      <c r="U26" s="45" t="s">
        <v>128</v>
      </c>
      <c r="V26" s="45" t="s">
        <v>128</v>
      </c>
      <c r="W26" s="45" t="s">
        <v>128</v>
      </c>
      <c r="X26" s="45" t="s">
        <v>128</v>
      </c>
      <c r="Y26" s="45" t="s">
        <v>128</v>
      </c>
      <c r="Z26" s="45" t="s">
        <v>128</v>
      </c>
      <c r="AA26" s="45" t="s">
        <v>128</v>
      </c>
      <c r="AB26" s="45" t="s">
        <v>128</v>
      </c>
      <c r="AC26" s="107" t="s">
        <v>128</v>
      </c>
      <c r="AD26" s="107" t="s">
        <v>128</v>
      </c>
      <c r="AE26" s="107" t="s">
        <v>128</v>
      </c>
      <c r="AF26" s="107" t="s">
        <v>128</v>
      </c>
      <c r="AG26" s="107" t="s">
        <v>128</v>
      </c>
      <c r="AH26" s="107" t="s">
        <v>128</v>
      </c>
      <c r="AI26" s="228"/>
      <c r="AJ26" s="228"/>
      <c r="AK26" s="228"/>
      <c r="AL26" s="228"/>
      <c r="AM26" s="228"/>
      <c r="AN26" s="228"/>
      <c r="AO26" s="140"/>
      <c r="AP26" s="140"/>
    </row>
    <row r="27" spans="1:42" s="48" customFormat="1" x14ac:dyDescent="0.2">
      <c r="A27" s="22"/>
      <c r="B27" s="22"/>
      <c r="C27" s="22"/>
      <c r="D27" s="22"/>
      <c r="E27" s="22"/>
      <c r="F27" s="22"/>
      <c r="G27" s="22"/>
      <c r="H27" s="22"/>
      <c r="I27" s="22"/>
      <c r="J27" s="36"/>
      <c r="K27" s="19">
        <v>0</v>
      </c>
      <c r="L27" s="198" t="s">
        <v>128</v>
      </c>
      <c r="M27" s="198" t="s">
        <v>128</v>
      </c>
      <c r="N27" s="197" t="s">
        <v>128</v>
      </c>
      <c r="O27" s="195">
        <v>1</v>
      </c>
      <c r="P27" s="45" t="s">
        <v>128</v>
      </c>
      <c r="Q27" s="45" t="s">
        <v>128</v>
      </c>
      <c r="R27" s="45" t="s">
        <v>128</v>
      </c>
      <c r="S27" s="45" t="s">
        <v>128</v>
      </c>
      <c r="T27" s="45" t="s">
        <v>128</v>
      </c>
      <c r="U27" s="45" t="s">
        <v>128</v>
      </c>
      <c r="V27" s="45" t="s">
        <v>128</v>
      </c>
      <c r="W27" s="45" t="s">
        <v>128</v>
      </c>
      <c r="X27" s="45" t="s">
        <v>128</v>
      </c>
      <c r="Y27" s="45" t="s">
        <v>128</v>
      </c>
      <c r="Z27" s="45" t="s">
        <v>128</v>
      </c>
      <c r="AA27" s="45" t="s">
        <v>128</v>
      </c>
      <c r="AB27" s="45" t="s">
        <v>128</v>
      </c>
      <c r="AC27" s="107" t="s">
        <v>128</v>
      </c>
      <c r="AD27" s="107" t="s">
        <v>128</v>
      </c>
      <c r="AE27" s="107" t="s">
        <v>128</v>
      </c>
      <c r="AF27" s="107" t="s">
        <v>128</v>
      </c>
      <c r="AG27" s="107" t="s">
        <v>128</v>
      </c>
      <c r="AH27" s="107" t="s">
        <v>128</v>
      </c>
      <c r="AI27" s="228"/>
      <c r="AJ27" s="228"/>
      <c r="AK27" s="228"/>
      <c r="AL27" s="228"/>
      <c r="AM27" s="228"/>
      <c r="AN27" s="228"/>
      <c r="AO27" s="140"/>
      <c r="AP27" s="140"/>
    </row>
    <row r="28" spans="1:42" s="48" customFormat="1" x14ac:dyDescent="0.2">
      <c r="A28" s="209"/>
      <c r="B28" s="8"/>
      <c r="C28" s="8"/>
      <c r="D28" s="8"/>
      <c r="E28" s="8"/>
      <c r="F28" s="8"/>
      <c r="G28" s="8"/>
      <c r="H28" s="8"/>
      <c r="I28" s="8"/>
      <c r="J28" s="37"/>
      <c r="K28" s="19">
        <v>0</v>
      </c>
      <c r="L28" s="198" t="s">
        <v>128</v>
      </c>
      <c r="M28" s="198" t="s">
        <v>128</v>
      </c>
      <c r="N28" s="197" t="s">
        <v>128</v>
      </c>
      <c r="O28" s="195">
        <v>1</v>
      </c>
      <c r="P28" s="45" t="s">
        <v>128</v>
      </c>
      <c r="Q28" s="45" t="s">
        <v>128</v>
      </c>
      <c r="R28" s="45" t="s">
        <v>128</v>
      </c>
      <c r="S28" s="45" t="s">
        <v>128</v>
      </c>
      <c r="T28" s="45" t="s">
        <v>128</v>
      </c>
      <c r="U28" s="45" t="s">
        <v>128</v>
      </c>
      <c r="V28" s="45" t="s">
        <v>128</v>
      </c>
      <c r="W28" s="45" t="s">
        <v>128</v>
      </c>
      <c r="X28" s="45" t="s">
        <v>128</v>
      </c>
      <c r="Y28" s="45" t="s">
        <v>128</v>
      </c>
      <c r="Z28" s="45" t="s">
        <v>128</v>
      </c>
      <c r="AA28" s="45" t="s">
        <v>128</v>
      </c>
      <c r="AB28" s="45" t="s">
        <v>128</v>
      </c>
      <c r="AC28" s="107" t="s">
        <v>128</v>
      </c>
      <c r="AD28" s="107" t="s">
        <v>128</v>
      </c>
      <c r="AE28" s="107" t="s">
        <v>128</v>
      </c>
      <c r="AF28" s="107" t="s">
        <v>128</v>
      </c>
      <c r="AG28" s="107" t="s">
        <v>128</v>
      </c>
      <c r="AH28" s="107" t="s">
        <v>128</v>
      </c>
      <c r="AI28" s="228"/>
      <c r="AJ28" s="228"/>
      <c r="AK28" s="228"/>
      <c r="AL28" s="228"/>
      <c r="AM28" s="228"/>
      <c r="AN28" s="228"/>
      <c r="AO28" s="140"/>
      <c r="AP28" s="140"/>
    </row>
    <row r="29" spans="1:42" s="48" customFormat="1" x14ac:dyDescent="0.2">
      <c r="A29" s="22"/>
      <c r="B29" s="22"/>
      <c r="C29" s="22"/>
      <c r="D29" s="22"/>
      <c r="E29" s="22"/>
      <c r="F29" s="22"/>
      <c r="G29" s="22"/>
      <c r="H29" s="22"/>
      <c r="I29" s="22"/>
      <c r="J29" s="36"/>
      <c r="K29" s="19">
        <v>0</v>
      </c>
      <c r="L29" s="198" t="s">
        <v>128</v>
      </c>
      <c r="M29" s="198" t="s">
        <v>128</v>
      </c>
      <c r="N29" s="197" t="s">
        <v>128</v>
      </c>
      <c r="O29" s="195">
        <v>1</v>
      </c>
      <c r="P29" s="45" t="s">
        <v>128</v>
      </c>
      <c r="Q29" s="45" t="s">
        <v>128</v>
      </c>
      <c r="R29" s="45" t="s">
        <v>128</v>
      </c>
      <c r="S29" s="45" t="s">
        <v>128</v>
      </c>
      <c r="T29" s="45" t="s">
        <v>128</v>
      </c>
      <c r="U29" s="45" t="s">
        <v>128</v>
      </c>
      <c r="V29" s="45" t="s">
        <v>128</v>
      </c>
      <c r="W29" s="45" t="s">
        <v>128</v>
      </c>
      <c r="X29" s="45" t="s">
        <v>128</v>
      </c>
      <c r="Y29" s="45" t="s">
        <v>128</v>
      </c>
      <c r="Z29" s="45" t="s">
        <v>128</v>
      </c>
      <c r="AA29" s="45" t="s">
        <v>128</v>
      </c>
      <c r="AB29" s="45" t="s">
        <v>128</v>
      </c>
      <c r="AC29" s="107" t="s">
        <v>128</v>
      </c>
      <c r="AD29" s="107" t="s">
        <v>128</v>
      </c>
      <c r="AE29" s="107" t="s">
        <v>128</v>
      </c>
      <c r="AF29" s="107" t="s">
        <v>128</v>
      </c>
      <c r="AG29" s="107" t="s">
        <v>128</v>
      </c>
      <c r="AH29" s="107" t="s">
        <v>128</v>
      </c>
      <c r="AI29" s="228"/>
      <c r="AJ29" s="228"/>
      <c r="AK29" s="228"/>
      <c r="AL29" s="228"/>
      <c r="AM29" s="228"/>
      <c r="AN29" s="228"/>
      <c r="AO29" s="140"/>
      <c r="AP29" s="140"/>
    </row>
    <row r="30" spans="1:42" s="48" customFormat="1" x14ac:dyDescent="0.2">
      <c r="A30" s="209"/>
      <c r="B30" s="8"/>
      <c r="C30" s="8"/>
      <c r="D30" s="8"/>
      <c r="E30" s="8"/>
      <c r="F30" s="8"/>
      <c r="G30" s="8"/>
      <c r="H30" s="8"/>
      <c r="I30" s="8"/>
      <c r="J30" s="37"/>
      <c r="K30" s="19">
        <v>0</v>
      </c>
      <c r="L30" s="198" t="s">
        <v>128</v>
      </c>
      <c r="M30" s="198" t="s">
        <v>128</v>
      </c>
      <c r="N30" s="197" t="s">
        <v>128</v>
      </c>
      <c r="O30" s="195">
        <v>1</v>
      </c>
      <c r="P30" s="45" t="s">
        <v>128</v>
      </c>
      <c r="Q30" s="45" t="s">
        <v>128</v>
      </c>
      <c r="R30" s="45" t="s">
        <v>128</v>
      </c>
      <c r="S30" s="45" t="s">
        <v>128</v>
      </c>
      <c r="T30" s="45" t="s">
        <v>128</v>
      </c>
      <c r="U30" s="45" t="s">
        <v>128</v>
      </c>
      <c r="V30" s="45" t="s">
        <v>128</v>
      </c>
      <c r="W30" s="45" t="s">
        <v>128</v>
      </c>
      <c r="X30" s="45" t="s">
        <v>128</v>
      </c>
      <c r="Y30" s="45" t="s">
        <v>128</v>
      </c>
      <c r="Z30" s="45" t="s">
        <v>128</v>
      </c>
      <c r="AA30" s="45" t="s">
        <v>128</v>
      </c>
      <c r="AB30" s="45" t="s">
        <v>128</v>
      </c>
      <c r="AC30" s="107" t="s">
        <v>128</v>
      </c>
      <c r="AD30" s="107" t="s">
        <v>128</v>
      </c>
      <c r="AE30" s="107" t="s">
        <v>128</v>
      </c>
      <c r="AF30" s="107" t="s">
        <v>128</v>
      </c>
      <c r="AG30" s="107" t="s">
        <v>128</v>
      </c>
      <c r="AH30" s="107" t="s">
        <v>128</v>
      </c>
      <c r="AI30" s="228"/>
      <c r="AJ30" s="228"/>
      <c r="AK30" s="228"/>
      <c r="AL30" s="228"/>
      <c r="AM30" s="228"/>
      <c r="AN30" s="228"/>
      <c r="AO30" s="140"/>
      <c r="AP30" s="140"/>
    </row>
    <row r="31" spans="1:42" s="48" customFormat="1" x14ac:dyDescent="0.2">
      <c r="A31" s="22"/>
      <c r="B31" s="22"/>
      <c r="C31" s="22"/>
      <c r="D31" s="22"/>
      <c r="E31" s="22"/>
      <c r="F31" s="22"/>
      <c r="G31" s="22"/>
      <c r="H31" s="22"/>
      <c r="I31" s="22"/>
      <c r="J31" s="36"/>
      <c r="K31" s="19">
        <v>0</v>
      </c>
      <c r="L31" s="198" t="s">
        <v>128</v>
      </c>
      <c r="M31" s="198" t="s">
        <v>128</v>
      </c>
      <c r="N31" s="197" t="s">
        <v>128</v>
      </c>
      <c r="O31" s="195">
        <v>1</v>
      </c>
      <c r="P31" s="45" t="s">
        <v>128</v>
      </c>
      <c r="Q31" s="45" t="s">
        <v>128</v>
      </c>
      <c r="R31" s="45" t="s">
        <v>128</v>
      </c>
      <c r="S31" s="45" t="s">
        <v>128</v>
      </c>
      <c r="T31" s="45" t="s">
        <v>128</v>
      </c>
      <c r="U31" s="45" t="s">
        <v>128</v>
      </c>
      <c r="V31" s="45" t="s">
        <v>128</v>
      </c>
      <c r="W31" s="45" t="s">
        <v>128</v>
      </c>
      <c r="X31" s="45" t="s">
        <v>128</v>
      </c>
      <c r="Y31" s="45" t="s">
        <v>128</v>
      </c>
      <c r="Z31" s="45" t="s">
        <v>128</v>
      </c>
      <c r="AA31" s="45" t="s">
        <v>128</v>
      </c>
      <c r="AB31" s="45" t="s">
        <v>128</v>
      </c>
      <c r="AC31" s="107" t="s">
        <v>128</v>
      </c>
      <c r="AD31" s="107" t="s">
        <v>128</v>
      </c>
      <c r="AE31" s="107" t="s">
        <v>128</v>
      </c>
      <c r="AF31" s="107" t="s">
        <v>128</v>
      </c>
      <c r="AG31" s="107" t="s">
        <v>128</v>
      </c>
      <c r="AH31" s="107" t="s">
        <v>128</v>
      </c>
      <c r="AI31" s="228"/>
      <c r="AJ31" s="228"/>
      <c r="AK31" s="228"/>
      <c r="AL31" s="228"/>
      <c r="AM31" s="228"/>
      <c r="AN31" s="228"/>
      <c r="AO31" s="140"/>
      <c r="AP31" s="140"/>
    </row>
    <row r="32" spans="1:42" s="48" customFormat="1" x14ac:dyDescent="0.2">
      <c r="A32" s="209"/>
      <c r="B32" s="8"/>
      <c r="C32" s="8"/>
      <c r="D32" s="8"/>
      <c r="E32" s="8"/>
      <c r="F32" s="8"/>
      <c r="G32" s="8"/>
      <c r="H32" s="8"/>
      <c r="I32" s="8"/>
      <c r="J32" s="37"/>
      <c r="K32" s="19">
        <v>0</v>
      </c>
      <c r="L32" s="198" t="s">
        <v>128</v>
      </c>
      <c r="M32" s="198" t="s">
        <v>128</v>
      </c>
      <c r="N32" s="197" t="s">
        <v>128</v>
      </c>
      <c r="O32" s="195">
        <v>1</v>
      </c>
      <c r="P32" s="45" t="s">
        <v>128</v>
      </c>
      <c r="Q32" s="45" t="s">
        <v>128</v>
      </c>
      <c r="R32" s="45" t="s">
        <v>128</v>
      </c>
      <c r="S32" s="45" t="s">
        <v>128</v>
      </c>
      <c r="T32" s="45" t="s">
        <v>128</v>
      </c>
      <c r="U32" s="45" t="s">
        <v>128</v>
      </c>
      <c r="V32" s="45" t="s">
        <v>128</v>
      </c>
      <c r="W32" s="45" t="s">
        <v>128</v>
      </c>
      <c r="X32" s="45" t="s">
        <v>128</v>
      </c>
      <c r="Y32" s="45" t="s">
        <v>128</v>
      </c>
      <c r="Z32" s="45" t="s">
        <v>128</v>
      </c>
      <c r="AA32" s="45" t="s">
        <v>128</v>
      </c>
      <c r="AB32" s="45" t="s">
        <v>128</v>
      </c>
      <c r="AC32" s="107" t="s">
        <v>128</v>
      </c>
      <c r="AD32" s="107" t="s">
        <v>128</v>
      </c>
      <c r="AE32" s="107" t="s">
        <v>128</v>
      </c>
      <c r="AF32" s="107" t="s">
        <v>128</v>
      </c>
      <c r="AG32" s="107" t="s">
        <v>128</v>
      </c>
      <c r="AH32" s="107" t="s">
        <v>128</v>
      </c>
      <c r="AI32" s="228"/>
      <c r="AJ32" s="228"/>
      <c r="AK32" s="228"/>
      <c r="AL32" s="228"/>
      <c r="AM32" s="228"/>
      <c r="AN32" s="228"/>
      <c r="AO32" s="140"/>
      <c r="AP32" s="140"/>
    </row>
    <row r="33" spans="1:42" s="48" customFormat="1" x14ac:dyDescent="0.2">
      <c r="A33" s="22"/>
      <c r="B33" s="22"/>
      <c r="C33" s="22"/>
      <c r="D33" s="22"/>
      <c r="E33" s="22"/>
      <c r="F33" s="22"/>
      <c r="G33" s="22"/>
      <c r="H33" s="22"/>
      <c r="I33" s="22"/>
      <c r="J33" s="36"/>
      <c r="K33" s="19">
        <v>0</v>
      </c>
      <c r="L33" s="198" t="s">
        <v>128</v>
      </c>
      <c r="M33" s="198" t="s">
        <v>128</v>
      </c>
      <c r="N33" s="197" t="s">
        <v>128</v>
      </c>
      <c r="O33" s="195">
        <v>1</v>
      </c>
      <c r="P33" s="45" t="s">
        <v>128</v>
      </c>
      <c r="Q33" s="45" t="s">
        <v>128</v>
      </c>
      <c r="R33" s="45" t="s">
        <v>128</v>
      </c>
      <c r="S33" s="45" t="s">
        <v>128</v>
      </c>
      <c r="T33" s="45" t="s">
        <v>128</v>
      </c>
      <c r="U33" s="45" t="s">
        <v>128</v>
      </c>
      <c r="V33" s="45" t="s">
        <v>128</v>
      </c>
      <c r="W33" s="45" t="s">
        <v>128</v>
      </c>
      <c r="X33" s="45" t="s">
        <v>128</v>
      </c>
      <c r="Y33" s="45" t="s">
        <v>128</v>
      </c>
      <c r="Z33" s="45" t="s">
        <v>128</v>
      </c>
      <c r="AA33" s="45" t="s">
        <v>128</v>
      </c>
      <c r="AB33" s="45" t="s">
        <v>128</v>
      </c>
      <c r="AC33" s="107" t="s">
        <v>128</v>
      </c>
      <c r="AD33" s="107" t="s">
        <v>128</v>
      </c>
      <c r="AE33" s="107" t="s">
        <v>128</v>
      </c>
      <c r="AF33" s="107" t="s">
        <v>128</v>
      </c>
      <c r="AG33" s="107" t="s">
        <v>128</v>
      </c>
      <c r="AH33" s="107" t="s">
        <v>128</v>
      </c>
      <c r="AI33" s="228"/>
      <c r="AJ33" s="228"/>
      <c r="AK33" s="228"/>
      <c r="AL33" s="228"/>
      <c r="AM33" s="228"/>
      <c r="AN33" s="228"/>
      <c r="AO33" s="140"/>
      <c r="AP33" s="140"/>
    </row>
    <row r="34" spans="1:42" s="48" customFormat="1" x14ac:dyDescent="0.2">
      <c r="A34" s="209"/>
      <c r="B34" s="8"/>
      <c r="C34" s="8"/>
      <c r="D34" s="8"/>
      <c r="E34" s="8"/>
      <c r="F34" s="8"/>
      <c r="G34" s="8"/>
      <c r="H34" s="8"/>
      <c r="I34" s="8"/>
      <c r="J34" s="37"/>
      <c r="K34" s="19">
        <v>0</v>
      </c>
      <c r="L34" s="198" t="s">
        <v>128</v>
      </c>
      <c r="M34" s="198" t="s">
        <v>128</v>
      </c>
      <c r="N34" s="197" t="s">
        <v>128</v>
      </c>
      <c r="O34" s="195">
        <v>1</v>
      </c>
      <c r="P34" s="45" t="s">
        <v>128</v>
      </c>
      <c r="Q34" s="45" t="s">
        <v>128</v>
      </c>
      <c r="R34" s="45" t="s">
        <v>128</v>
      </c>
      <c r="S34" s="45" t="s">
        <v>128</v>
      </c>
      <c r="T34" s="45" t="s">
        <v>128</v>
      </c>
      <c r="U34" s="45" t="s">
        <v>128</v>
      </c>
      <c r="V34" s="45" t="s">
        <v>128</v>
      </c>
      <c r="W34" s="45" t="s">
        <v>128</v>
      </c>
      <c r="X34" s="45" t="s">
        <v>128</v>
      </c>
      <c r="Y34" s="45" t="s">
        <v>128</v>
      </c>
      <c r="Z34" s="45" t="s">
        <v>128</v>
      </c>
      <c r="AA34" s="45" t="s">
        <v>128</v>
      </c>
      <c r="AB34" s="45" t="s">
        <v>128</v>
      </c>
      <c r="AC34" s="107" t="s">
        <v>128</v>
      </c>
      <c r="AD34" s="107" t="s">
        <v>128</v>
      </c>
      <c r="AE34" s="107" t="s">
        <v>128</v>
      </c>
      <c r="AF34" s="107" t="s">
        <v>128</v>
      </c>
      <c r="AG34" s="107" t="s">
        <v>128</v>
      </c>
      <c r="AH34" s="107" t="s">
        <v>128</v>
      </c>
      <c r="AI34" s="228"/>
      <c r="AJ34" s="228"/>
      <c r="AK34" s="228"/>
      <c r="AL34" s="228"/>
      <c r="AM34" s="228"/>
      <c r="AN34" s="228"/>
      <c r="AO34" s="228"/>
      <c r="AP34" s="228"/>
    </row>
    <row r="35" spans="1:42" s="48" customFormat="1" x14ac:dyDescent="0.2">
      <c r="A35" s="22"/>
      <c r="B35" s="22"/>
      <c r="C35" s="22"/>
      <c r="D35" s="22"/>
      <c r="E35" s="22"/>
      <c r="F35" s="22"/>
      <c r="G35" s="22"/>
      <c r="H35" s="22"/>
      <c r="I35" s="22"/>
      <c r="J35" s="36"/>
      <c r="K35" s="19">
        <v>0</v>
      </c>
      <c r="L35" s="198" t="s">
        <v>128</v>
      </c>
      <c r="M35" s="198" t="s">
        <v>128</v>
      </c>
      <c r="N35" s="197" t="s">
        <v>128</v>
      </c>
      <c r="O35" s="195">
        <v>1</v>
      </c>
      <c r="P35" s="45" t="s">
        <v>128</v>
      </c>
      <c r="Q35" s="45" t="s">
        <v>128</v>
      </c>
      <c r="R35" s="45" t="s">
        <v>128</v>
      </c>
      <c r="S35" s="45" t="s">
        <v>128</v>
      </c>
      <c r="T35" s="45" t="s">
        <v>128</v>
      </c>
      <c r="U35" s="45" t="s">
        <v>128</v>
      </c>
      <c r="V35" s="45" t="s">
        <v>128</v>
      </c>
      <c r="W35" s="45" t="s">
        <v>128</v>
      </c>
      <c r="X35" s="45" t="s">
        <v>128</v>
      </c>
      <c r="Y35" s="45" t="s">
        <v>128</v>
      </c>
      <c r="Z35" s="45" t="s">
        <v>128</v>
      </c>
      <c r="AA35" s="45" t="s">
        <v>128</v>
      </c>
      <c r="AB35" s="45" t="s">
        <v>128</v>
      </c>
      <c r="AC35" s="107" t="s">
        <v>128</v>
      </c>
      <c r="AD35" s="107" t="s">
        <v>128</v>
      </c>
      <c r="AE35" s="107" t="s">
        <v>128</v>
      </c>
      <c r="AF35" s="107" t="s">
        <v>128</v>
      </c>
      <c r="AG35" s="107" t="s">
        <v>128</v>
      </c>
      <c r="AH35" s="107" t="s">
        <v>128</v>
      </c>
      <c r="AI35" s="228"/>
      <c r="AJ35" s="228"/>
      <c r="AK35" s="228"/>
      <c r="AL35" s="228"/>
      <c r="AM35" s="228"/>
      <c r="AN35" s="228"/>
      <c r="AO35" s="228"/>
      <c r="AP35" s="228"/>
    </row>
    <row r="36" spans="1:42" s="48" customFormat="1" x14ac:dyDescent="0.2">
      <c r="A36" s="209"/>
      <c r="B36" s="8"/>
      <c r="C36" s="8"/>
      <c r="D36" s="8"/>
      <c r="E36" s="8"/>
      <c r="F36" s="8"/>
      <c r="G36" s="8"/>
      <c r="H36" s="8"/>
      <c r="I36" s="8"/>
      <c r="J36" s="37"/>
      <c r="K36" s="19">
        <v>0</v>
      </c>
      <c r="L36" s="198" t="s">
        <v>128</v>
      </c>
      <c r="M36" s="198" t="s">
        <v>128</v>
      </c>
      <c r="N36" s="197" t="s">
        <v>128</v>
      </c>
      <c r="O36" s="195">
        <v>1</v>
      </c>
      <c r="P36" s="45" t="s">
        <v>128</v>
      </c>
      <c r="Q36" s="45" t="s">
        <v>128</v>
      </c>
      <c r="R36" s="45" t="s">
        <v>128</v>
      </c>
      <c r="S36" s="45" t="s">
        <v>128</v>
      </c>
      <c r="T36" s="45" t="s">
        <v>128</v>
      </c>
      <c r="U36" s="45" t="s">
        <v>128</v>
      </c>
      <c r="V36" s="45" t="s">
        <v>128</v>
      </c>
      <c r="W36" s="45" t="s">
        <v>128</v>
      </c>
      <c r="X36" s="45" t="s">
        <v>128</v>
      </c>
      <c r="Y36" s="45" t="s">
        <v>128</v>
      </c>
      <c r="Z36" s="45" t="s">
        <v>128</v>
      </c>
      <c r="AA36" s="45" t="s">
        <v>128</v>
      </c>
      <c r="AB36" s="45" t="s">
        <v>128</v>
      </c>
      <c r="AC36" s="107" t="s">
        <v>128</v>
      </c>
      <c r="AD36" s="107" t="s">
        <v>128</v>
      </c>
      <c r="AE36" s="107" t="s">
        <v>128</v>
      </c>
      <c r="AF36" s="107" t="s">
        <v>128</v>
      </c>
      <c r="AG36" s="107" t="s">
        <v>128</v>
      </c>
      <c r="AH36" s="107" t="s">
        <v>128</v>
      </c>
      <c r="AI36" s="228"/>
      <c r="AJ36" s="228"/>
      <c r="AK36" s="228"/>
      <c r="AL36" s="228"/>
      <c r="AM36" s="228"/>
      <c r="AN36" s="228"/>
      <c r="AO36" s="228"/>
      <c r="AP36" s="228"/>
    </row>
    <row r="37" spans="1:42" s="48" customFormat="1" x14ac:dyDescent="0.2">
      <c r="A37" s="22"/>
      <c r="B37" s="22"/>
      <c r="C37" s="22"/>
      <c r="D37" s="22"/>
      <c r="E37" s="22"/>
      <c r="F37" s="22"/>
      <c r="G37" s="22"/>
      <c r="H37" s="22"/>
      <c r="I37" s="22"/>
      <c r="J37" s="36"/>
      <c r="K37" s="19">
        <v>0</v>
      </c>
      <c r="L37" s="198" t="s">
        <v>128</v>
      </c>
      <c r="M37" s="198" t="s">
        <v>128</v>
      </c>
      <c r="N37" s="197" t="s">
        <v>128</v>
      </c>
      <c r="O37" s="195">
        <v>1</v>
      </c>
      <c r="P37" s="45" t="s">
        <v>128</v>
      </c>
      <c r="Q37" s="45" t="s">
        <v>128</v>
      </c>
      <c r="R37" s="45" t="s">
        <v>128</v>
      </c>
      <c r="S37" s="45" t="s">
        <v>128</v>
      </c>
      <c r="T37" s="45" t="s">
        <v>128</v>
      </c>
      <c r="U37" s="45" t="s">
        <v>128</v>
      </c>
      <c r="V37" s="45" t="s">
        <v>128</v>
      </c>
      <c r="W37" s="45" t="s">
        <v>128</v>
      </c>
      <c r="X37" s="45" t="s">
        <v>128</v>
      </c>
      <c r="Y37" s="45" t="s">
        <v>128</v>
      </c>
      <c r="Z37" s="45" t="s">
        <v>128</v>
      </c>
      <c r="AA37" s="45" t="s">
        <v>128</v>
      </c>
      <c r="AB37" s="45" t="s">
        <v>128</v>
      </c>
      <c r="AC37" s="107" t="s">
        <v>128</v>
      </c>
      <c r="AD37" s="107" t="s">
        <v>128</v>
      </c>
      <c r="AE37" s="107" t="s">
        <v>128</v>
      </c>
      <c r="AF37" s="107" t="s">
        <v>128</v>
      </c>
      <c r="AG37" s="107" t="s">
        <v>128</v>
      </c>
      <c r="AH37" s="107" t="s">
        <v>128</v>
      </c>
      <c r="AI37" s="228"/>
      <c r="AJ37" s="228"/>
      <c r="AK37" s="228"/>
      <c r="AL37" s="228"/>
      <c r="AM37" s="228"/>
      <c r="AN37" s="228"/>
      <c r="AO37" s="228"/>
      <c r="AP37" s="228"/>
    </row>
    <row r="38" spans="1:42" s="48" customFormat="1" x14ac:dyDescent="0.15">
      <c r="A38" s="209"/>
      <c r="B38" s="8"/>
      <c r="C38" s="8"/>
      <c r="D38" s="8"/>
      <c r="E38" s="8"/>
      <c r="F38" s="8"/>
      <c r="G38" s="8"/>
      <c r="H38" s="8"/>
      <c r="I38" s="8"/>
      <c r="J38" s="37"/>
      <c r="K38" s="19">
        <v>0</v>
      </c>
      <c r="L38" s="198" t="s">
        <v>128</v>
      </c>
      <c r="M38" s="198" t="s">
        <v>128</v>
      </c>
      <c r="N38" s="197" t="s">
        <v>128</v>
      </c>
      <c r="O38" s="195">
        <v>1</v>
      </c>
      <c r="P38" s="45" t="s">
        <v>128</v>
      </c>
      <c r="Q38" s="45" t="s">
        <v>128</v>
      </c>
      <c r="R38" s="45" t="s">
        <v>128</v>
      </c>
      <c r="S38" s="45" t="s">
        <v>128</v>
      </c>
      <c r="T38" s="45" t="s">
        <v>128</v>
      </c>
      <c r="U38" s="45" t="s">
        <v>128</v>
      </c>
      <c r="V38" s="45" t="s">
        <v>128</v>
      </c>
      <c r="W38" s="45" t="s">
        <v>128</v>
      </c>
      <c r="X38" s="45" t="s">
        <v>128</v>
      </c>
      <c r="Y38" s="45" t="s">
        <v>128</v>
      </c>
      <c r="Z38" s="45" t="s">
        <v>128</v>
      </c>
      <c r="AA38" s="45" t="s">
        <v>128</v>
      </c>
      <c r="AB38" s="45" t="s">
        <v>128</v>
      </c>
      <c r="AC38" s="107" t="s">
        <v>128</v>
      </c>
      <c r="AD38" s="107" t="s">
        <v>128</v>
      </c>
      <c r="AE38" s="107" t="s">
        <v>128</v>
      </c>
      <c r="AF38" s="107" t="s">
        <v>128</v>
      </c>
      <c r="AG38" s="107" t="s">
        <v>128</v>
      </c>
      <c r="AH38" s="107" t="s">
        <v>128</v>
      </c>
      <c r="AI38" s="205"/>
      <c r="AJ38" s="140"/>
      <c r="AK38" s="305"/>
      <c r="AL38" s="306"/>
      <c r="AM38" s="228"/>
      <c r="AN38" s="140"/>
      <c r="AO38" s="140"/>
      <c r="AP38" s="140"/>
    </row>
    <row r="39" spans="1:42" s="48" customFormat="1" x14ac:dyDescent="0.2">
      <c r="A39" s="22"/>
      <c r="B39" s="22"/>
      <c r="C39" s="22"/>
      <c r="D39" s="22"/>
      <c r="E39" s="22"/>
      <c r="F39" s="22"/>
      <c r="G39" s="22"/>
      <c r="H39" s="22"/>
      <c r="I39" s="22"/>
      <c r="J39" s="36"/>
      <c r="K39" s="19">
        <v>0</v>
      </c>
      <c r="L39" s="198" t="s">
        <v>128</v>
      </c>
      <c r="M39" s="198" t="s">
        <v>128</v>
      </c>
      <c r="N39" s="197" t="s">
        <v>128</v>
      </c>
      <c r="O39" s="195">
        <v>1</v>
      </c>
      <c r="P39" s="45" t="s">
        <v>128</v>
      </c>
      <c r="Q39" s="45" t="s">
        <v>128</v>
      </c>
      <c r="R39" s="45" t="s">
        <v>128</v>
      </c>
      <c r="S39" s="45" t="s">
        <v>128</v>
      </c>
      <c r="T39" s="45" t="s">
        <v>128</v>
      </c>
      <c r="U39" s="45" t="s">
        <v>128</v>
      </c>
      <c r="V39" s="45" t="s">
        <v>128</v>
      </c>
      <c r="W39" s="45" t="s">
        <v>128</v>
      </c>
      <c r="X39" s="45" t="s">
        <v>128</v>
      </c>
      <c r="Y39" s="45" t="s">
        <v>128</v>
      </c>
      <c r="Z39" s="45" t="s">
        <v>128</v>
      </c>
      <c r="AA39" s="45" t="s">
        <v>128</v>
      </c>
      <c r="AB39" s="45" t="s">
        <v>128</v>
      </c>
      <c r="AC39" s="107" t="s">
        <v>128</v>
      </c>
      <c r="AD39" s="107" t="s">
        <v>128</v>
      </c>
      <c r="AE39" s="107" t="s">
        <v>128</v>
      </c>
      <c r="AF39" s="107" t="s">
        <v>128</v>
      </c>
      <c r="AG39" s="107" t="s">
        <v>128</v>
      </c>
      <c r="AH39" s="107" t="s">
        <v>128</v>
      </c>
      <c r="AI39" s="228"/>
      <c r="AJ39" s="228"/>
      <c r="AK39" s="228"/>
      <c r="AL39" s="228"/>
      <c r="AM39" s="228"/>
      <c r="AN39" s="140"/>
      <c r="AO39" s="228"/>
      <c r="AP39" s="228"/>
    </row>
    <row r="40" spans="1:42" s="48" customFormat="1" x14ac:dyDescent="0.2">
      <c r="A40" s="209"/>
      <c r="B40" s="8"/>
      <c r="C40" s="8"/>
      <c r="D40" s="8"/>
      <c r="E40" s="8"/>
      <c r="F40" s="8"/>
      <c r="G40" s="8"/>
      <c r="H40" s="8"/>
      <c r="I40" s="8"/>
      <c r="J40" s="37"/>
      <c r="K40" s="19">
        <v>0</v>
      </c>
      <c r="L40" s="198" t="s">
        <v>128</v>
      </c>
      <c r="M40" s="198" t="s">
        <v>128</v>
      </c>
      <c r="N40" s="197" t="s">
        <v>128</v>
      </c>
      <c r="O40" s="195">
        <v>1</v>
      </c>
      <c r="P40" s="45" t="s">
        <v>128</v>
      </c>
      <c r="Q40" s="45" t="s">
        <v>128</v>
      </c>
      <c r="R40" s="45" t="s">
        <v>128</v>
      </c>
      <c r="S40" s="45" t="s">
        <v>128</v>
      </c>
      <c r="T40" s="45" t="s">
        <v>128</v>
      </c>
      <c r="U40" s="45" t="s">
        <v>128</v>
      </c>
      <c r="V40" s="45" t="s">
        <v>128</v>
      </c>
      <c r="W40" s="45" t="s">
        <v>128</v>
      </c>
      <c r="X40" s="45" t="s">
        <v>128</v>
      </c>
      <c r="Y40" s="45" t="s">
        <v>128</v>
      </c>
      <c r="Z40" s="45" t="s">
        <v>128</v>
      </c>
      <c r="AA40" s="45" t="s">
        <v>128</v>
      </c>
      <c r="AB40" s="45" t="s">
        <v>128</v>
      </c>
      <c r="AC40" s="107" t="s">
        <v>128</v>
      </c>
      <c r="AD40" s="107" t="s">
        <v>128</v>
      </c>
      <c r="AE40" s="107" t="s">
        <v>128</v>
      </c>
      <c r="AF40" s="107" t="s">
        <v>128</v>
      </c>
      <c r="AG40" s="107" t="s">
        <v>128</v>
      </c>
      <c r="AH40" s="107" t="s">
        <v>128</v>
      </c>
      <c r="AI40" s="228"/>
      <c r="AJ40" s="228"/>
      <c r="AK40" s="228"/>
      <c r="AL40" s="228"/>
      <c r="AM40" s="228"/>
      <c r="AN40" s="140"/>
      <c r="AO40" s="228"/>
      <c r="AP40" s="228"/>
    </row>
    <row r="41" spans="1:42" s="48" customFormat="1" x14ac:dyDescent="0.15">
      <c r="A41" s="22"/>
      <c r="B41" s="22"/>
      <c r="C41" s="22"/>
      <c r="D41" s="22"/>
      <c r="E41" s="22"/>
      <c r="F41" s="22"/>
      <c r="G41" s="22"/>
      <c r="H41" s="22"/>
      <c r="I41" s="22"/>
      <c r="J41" s="36"/>
      <c r="K41" s="19">
        <v>0</v>
      </c>
      <c r="L41" s="198" t="s">
        <v>128</v>
      </c>
      <c r="M41" s="198" t="s">
        <v>128</v>
      </c>
      <c r="N41" s="197" t="s">
        <v>128</v>
      </c>
      <c r="O41" s="195">
        <v>1</v>
      </c>
      <c r="P41" s="45" t="s">
        <v>128</v>
      </c>
      <c r="Q41" s="45" t="s">
        <v>128</v>
      </c>
      <c r="R41" s="45" t="s">
        <v>128</v>
      </c>
      <c r="S41" s="45" t="s">
        <v>128</v>
      </c>
      <c r="T41" s="45" t="s">
        <v>128</v>
      </c>
      <c r="U41" s="45" t="s">
        <v>128</v>
      </c>
      <c r="V41" s="45" t="s">
        <v>128</v>
      </c>
      <c r="W41" s="45" t="s">
        <v>128</v>
      </c>
      <c r="X41" s="45" t="s">
        <v>128</v>
      </c>
      <c r="Y41" s="45" t="s">
        <v>128</v>
      </c>
      <c r="Z41" s="45" t="s">
        <v>128</v>
      </c>
      <c r="AA41" s="45" t="s">
        <v>128</v>
      </c>
      <c r="AB41" s="45" t="s">
        <v>128</v>
      </c>
      <c r="AC41" s="107" t="s">
        <v>128</v>
      </c>
      <c r="AD41" s="107" t="s">
        <v>128</v>
      </c>
      <c r="AE41" s="107" t="s">
        <v>128</v>
      </c>
      <c r="AF41" s="107" t="s">
        <v>128</v>
      </c>
      <c r="AG41" s="107" t="s">
        <v>128</v>
      </c>
      <c r="AH41" s="107" t="s">
        <v>128</v>
      </c>
      <c r="AI41" s="205"/>
      <c r="AJ41" s="140"/>
      <c r="AK41" s="305"/>
      <c r="AL41" s="306"/>
      <c r="AM41" s="228"/>
      <c r="AN41" s="140"/>
      <c r="AO41" s="140"/>
      <c r="AP41" s="140"/>
    </row>
    <row r="42" spans="1:42" s="48" customFormat="1" x14ac:dyDescent="0.2">
      <c r="A42" s="209"/>
      <c r="B42" s="8"/>
      <c r="C42" s="8"/>
      <c r="D42" s="8"/>
      <c r="E42" s="8"/>
      <c r="F42" s="8"/>
      <c r="G42" s="8"/>
      <c r="H42" s="8"/>
      <c r="I42" s="8"/>
      <c r="J42" s="37"/>
      <c r="K42" s="19">
        <v>0</v>
      </c>
      <c r="L42" s="198" t="s">
        <v>128</v>
      </c>
      <c r="M42" s="198" t="s">
        <v>128</v>
      </c>
      <c r="N42" s="197" t="s">
        <v>128</v>
      </c>
      <c r="O42" s="195">
        <v>1</v>
      </c>
      <c r="P42" s="45" t="s">
        <v>128</v>
      </c>
      <c r="Q42" s="45" t="s">
        <v>128</v>
      </c>
      <c r="R42" s="45" t="s">
        <v>128</v>
      </c>
      <c r="S42" s="45" t="s">
        <v>128</v>
      </c>
      <c r="T42" s="45" t="s">
        <v>128</v>
      </c>
      <c r="U42" s="45" t="s">
        <v>128</v>
      </c>
      <c r="V42" s="45" t="s">
        <v>128</v>
      </c>
      <c r="W42" s="45" t="s">
        <v>128</v>
      </c>
      <c r="X42" s="45" t="s">
        <v>128</v>
      </c>
      <c r="Y42" s="45" t="s">
        <v>128</v>
      </c>
      <c r="Z42" s="45" t="s">
        <v>128</v>
      </c>
      <c r="AA42" s="45" t="s">
        <v>128</v>
      </c>
      <c r="AB42" s="45" t="s">
        <v>128</v>
      </c>
      <c r="AC42" s="107" t="s">
        <v>128</v>
      </c>
      <c r="AD42" s="107" t="s">
        <v>128</v>
      </c>
      <c r="AE42" s="107" t="s">
        <v>128</v>
      </c>
      <c r="AF42" s="107" t="s">
        <v>128</v>
      </c>
      <c r="AG42" s="107" t="s">
        <v>128</v>
      </c>
      <c r="AH42" s="107" t="s">
        <v>128</v>
      </c>
      <c r="AI42" s="228"/>
      <c r="AJ42" s="140"/>
      <c r="AK42" s="228"/>
      <c r="AL42" s="228"/>
      <c r="AM42" s="228"/>
      <c r="AN42" s="140"/>
      <c r="AO42" s="228"/>
      <c r="AP42" s="228"/>
    </row>
    <row r="43" spans="1:42" s="48" customFormat="1" x14ac:dyDescent="0.15">
      <c r="A43" s="22"/>
      <c r="B43" s="22"/>
      <c r="C43" s="22"/>
      <c r="D43" s="22"/>
      <c r="E43" s="22"/>
      <c r="F43" s="22"/>
      <c r="G43" s="22"/>
      <c r="H43" s="22"/>
      <c r="I43" s="22"/>
      <c r="J43" s="36"/>
      <c r="K43" s="19">
        <v>0</v>
      </c>
      <c r="L43" s="198" t="s">
        <v>128</v>
      </c>
      <c r="M43" s="198" t="s">
        <v>128</v>
      </c>
      <c r="N43" s="197" t="s">
        <v>128</v>
      </c>
      <c r="O43" s="195">
        <v>1</v>
      </c>
      <c r="P43" s="45" t="s">
        <v>128</v>
      </c>
      <c r="Q43" s="45" t="s">
        <v>128</v>
      </c>
      <c r="R43" s="45" t="s">
        <v>128</v>
      </c>
      <c r="S43" s="45" t="s">
        <v>128</v>
      </c>
      <c r="T43" s="45" t="s">
        <v>128</v>
      </c>
      <c r="U43" s="45" t="s">
        <v>128</v>
      </c>
      <c r="V43" s="45" t="s">
        <v>128</v>
      </c>
      <c r="W43" s="45" t="s">
        <v>128</v>
      </c>
      <c r="X43" s="45" t="s">
        <v>128</v>
      </c>
      <c r="Y43" s="45" t="s">
        <v>128</v>
      </c>
      <c r="Z43" s="45" t="s">
        <v>128</v>
      </c>
      <c r="AA43" s="45" t="s">
        <v>128</v>
      </c>
      <c r="AB43" s="45" t="s">
        <v>128</v>
      </c>
      <c r="AC43" s="107" t="s">
        <v>128</v>
      </c>
      <c r="AD43" s="107" t="s">
        <v>128</v>
      </c>
      <c r="AE43" s="107" t="s">
        <v>128</v>
      </c>
      <c r="AF43" s="107" t="s">
        <v>128</v>
      </c>
      <c r="AG43" s="107" t="s">
        <v>128</v>
      </c>
      <c r="AH43" s="107" t="s">
        <v>128</v>
      </c>
      <c r="AI43" s="280"/>
      <c r="AJ43" s="274"/>
      <c r="AK43" s="307"/>
      <c r="AL43" s="308"/>
      <c r="AM43" s="273"/>
      <c r="AN43" s="274"/>
      <c r="AO43" s="274"/>
      <c r="AP43" s="274"/>
    </row>
    <row r="44" spans="1:42" s="48" customFormat="1" x14ac:dyDescent="0.2">
      <c r="A44" s="209"/>
      <c r="B44" s="8"/>
      <c r="C44" s="8"/>
      <c r="D44" s="8"/>
      <c r="E44" s="8"/>
      <c r="F44" s="8"/>
      <c r="G44" s="8"/>
      <c r="H44" s="8"/>
      <c r="I44" s="8"/>
      <c r="J44" s="37"/>
      <c r="K44" s="19">
        <v>0</v>
      </c>
      <c r="L44" s="198" t="s">
        <v>128</v>
      </c>
      <c r="M44" s="198" t="s">
        <v>128</v>
      </c>
      <c r="N44" s="197" t="s">
        <v>128</v>
      </c>
      <c r="O44" s="195">
        <v>1</v>
      </c>
      <c r="P44" s="45" t="s">
        <v>128</v>
      </c>
      <c r="Q44" s="45" t="s">
        <v>128</v>
      </c>
      <c r="R44" s="45" t="s">
        <v>128</v>
      </c>
      <c r="S44" s="45" t="s">
        <v>128</v>
      </c>
      <c r="T44" s="45" t="s">
        <v>128</v>
      </c>
      <c r="U44" s="45" t="s">
        <v>128</v>
      </c>
      <c r="V44" s="45" t="s">
        <v>128</v>
      </c>
      <c r="W44" s="45" t="s">
        <v>128</v>
      </c>
      <c r="X44" s="45" t="s">
        <v>128</v>
      </c>
      <c r="Y44" s="45" t="s">
        <v>128</v>
      </c>
      <c r="Z44" s="45" t="s">
        <v>128</v>
      </c>
      <c r="AA44" s="45" t="s">
        <v>128</v>
      </c>
      <c r="AB44" s="45" t="s">
        <v>128</v>
      </c>
      <c r="AC44" s="107" t="s">
        <v>128</v>
      </c>
      <c r="AD44" s="107" t="s">
        <v>128</v>
      </c>
      <c r="AE44" s="107" t="s">
        <v>128</v>
      </c>
      <c r="AF44" s="107" t="s">
        <v>128</v>
      </c>
      <c r="AG44" s="107" t="s">
        <v>128</v>
      </c>
      <c r="AH44" s="107" t="s">
        <v>128</v>
      </c>
      <c r="AI44" s="228"/>
      <c r="AJ44" s="228"/>
      <c r="AK44" s="228"/>
      <c r="AL44" s="228"/>
      <c r="AM44" s="228"/>
      <c r="AN44" s="228"/>
      <c r="AO44" s="228"/>
      <c r="AP44" s="228"/>
    </row>
    <row r="45" spans="1:42" s="48" customFormat="1" x14ac:dyDescent="0.2">
      <c r="A45" s="22"/>
      <c r="B45" s="22"/>
      <c r="C45" s="22"/>
      <c r="D45" s="22"/>
      <c r="E45" s="22"/>
      <c r="F45" s="22"/>
      <c r="G45" s="22"/>
      <c r="H45" s="22"/>
      <c r="I45" s="22"/>
      <c r="J45" s="36"/>
      <c r="K45" s="19">
        <v>0</v>
      </c>
      <c r="L45" s="198" t="s">
        <v>128</v>
      </c>
      <c r="M45" s="198" t="s">
        <v>128</v>
      </c>
      <c r="N45" s="197" t="s">
        <v>128</v>
      </c>
      <c r="O45" s="195">
        <v>1</v>
      </c>
      <c r="P45" s="45" t="s">
        <v>128</v>
      </c>
      <c r="Q45" s="45" t="s">
        <v>128</v>
      </c>
      <c r="R45" s="45" t="s">
        <v>128</v>
      </c>
      <c r="S45" s="45" t="s">
        <v>128</v>
      </c>
      <c r="T45" s="45" t="s">
        <v>128</v>
      </c>
      <c r="U45" s="45" t="s">
        <v>128</v>
      </c>
      <c r="V45" s="45" t="s">
        <v>128</v>
      </c>
      <c r="W45" s="45" t="s">
        <v>128</v>
      </c>
      <c r="X45" s="45" t="s">
        <v>128</v>
      </c>
      <c r="Y45" s="45" t="s">
        <v>128</v>
      </c>
      <c r="Z45" s="45" t="s">
        <v>128</v>
      </c>
      <c r="AA45" s="45" t="s">
        <v>128</v>
      </c>
      <c r="AB45" s="45" t="s">
        <v>128</v>
      </c>
      <c r="AC45" s="107" t="s">
        <v>128</v>
      </c>
      <c r="AD45" s="107" t="s">
        <v>128</v>
      </c>
      <c r="AE45" s="107" t="s">
        <v>128</v>
      </c>
      <c r="AF45" s="107" t="s">
        <v>128</v>
      </c>
      <c r="AG45" s="107" t="s">
        <v>128</v>
      </c>
      <c r="AH45" s="107" t="s">
        <v>128</v>
      </c>
      <c r="AI45" s="228"/>
      <c r="AJ45" s="228"/>
      <c r="AK45" s="228"/>
      <c r="AL45" s="228"/>
      <c r="AM45" s="228"/>
      <c r="AN45" s="228"/>
      <c r="AO45" s="228"/>
      <c r="AP45" s="228"/>
    </row>
    <row r="46" spans="1:42" s="48" customFormat="1" x14ac:dyDescent="0.2">
      <c r="A46" s="209"/>
      <c r="B46" s="8"/>
      <c r="C46" s="8"/>
      <c r="D46" s="8"/>
      <c r="E46" s="8"/>
      <c r="F46" s="8"/>
      <c r="G46" s="8"/>
      <c r="H46" s="8"/>
      <c r="I46" s="8"/>
      <c r="J46" s="37"/>
      <c r="K46" s="19">
        <v>0</v>
      </c>
      <c r="L46" s="198" t="s">
        <v>128</v>
      </c>
      <c r="M46" s="198" t="s">
        <v>128</v>
      </c>
      <c r="N46" s="197" t="s">
        <v>128</v>
      </c>
      <c r="O46" s="195">
        <v>1</v>
      </c>
      <c r="P46" s="45" t="s">
        <v>128</v>
      </c>
      <c r="Q46" s="45" t="s">
        <v>128</v>
      </c>
      <c r="R46" s="45" t="s">
        <v>128</v>
      </c>
      <c r="S46" s="45" t="s">
        <v>128</v>
      </c>
      <c r="T46" s="45" t="s">
        <v>128</v>
      </c>
      <c r="U46" s="45" t="s">
        <v>128</v>
      </c>
      <c r="V46" s="45" t="s">
        <v>128</v>
      </c>
      <c r="W46" s="45" t="s">
        <v>128</v>
      </c>
      <c r="X46" s="45" t="s">
        <v>128</v>
      </c>
      <c r="Y46" s="45" t="s">
        <v>128</v>
      </c>
      <c r="Z46" s="45" t="s">
        <v>128</v>
      </c>
      <c r="AA46" s="45" t="s">
        <v>128</v>
      </c>
      <c r="AB46" s="45" t="s">
        <v>128</v>
      </c>
      <c r="AC46" s="107" t="s">
        <v>128</v>
      </c>
      <c r="AD46" s="107" t="s">
        <v>128</v>
      </c>
      <c r="AE46" s="107" t="s">
        <v>128</v>
      </c>
      <c r="AF46" s="107" t="s">
        <v>128</v>
      </c>
      <c r="AG46" s="107" t="s">
        <v>128</v>
      </c>
      <c r="AH46" s="107" t="s">
        <v>128</v>
      </c>
      <c r="AI46" s="228"/>
      <c r="AJ46" s="228"/>
      <c r="AK46" s="228"/>
      <c r="AL46" s="228"/>
      <c r="AM46" s="228"/>
      <c r="AN46" s="228"/>
      <c r="AO46" s="228"/>
      <c r="AP46" s="228"/>
    </row>
    <row r="47" spans="1:42" s="48" customFormat="1" x14ac:dyDescent="0.2">
      <c r="A47" s="22"/>
      <c r="B47" s="22"/>
      <c r="C47" s="22"/>
      <c r="D47" s="22"/>
      <c r="E47" s="22"/>
      <c r="F47" s="22"/>
      <c r="G47" s="22"/>
      <c r="H47" s="22"/>
      <c r="I47" s="22"/>
      <c r="J47" s="36"/>
      <c r="K47" s="19">
        <v>0</v>
      </c>
      <c r="L47" s="198" t="s">
        <v>128</v>
      </c>
      <c r="M47" s="198" t="s">
        <v>128</v>
      </c>
      <c r="N47" s="197" t="s">
        <v>128</v>
      </c>
      <c r="O47" s="195">
        <v>1</v>
      </c>
      <c r="P47" s="45" t="s">
        <v>128</v>
      </c>
      <c r="Q47" s="45" t="s">
        <v>128</v>
      </c>
      <c r="R47" s="45" t="s">
        <v>128</v>
      </c>
      <c r="S47" s="45" t="s">
        <v>128</v>
      </c>
      <c r="T47" s="45" t="s">
        <v>128</v>
      </c>
      <c r="U47" s="45" t="s">
        <v>128</v>
      </c>
      <c r="V47" s="45" t="s">
        <v>128</v>
      </c>
      <c r="W47" s="45" t="s">
        <v>128</v>
      </c>
      <c r="X47" s="45" t="s">
        <v>128</v>
      </c>
      <c r="Y47" s="45" t="s">
        <v>128</v>
      </c>
      <c r="Z47" s="45" t="s">
        <v>128</v>
      </c>
      <c r="AA47" s="45" t="s">
        <v>128</v>
      </c>
      <c r="AB47" s="45" t="s">
        <v>128</v>
      </c>
      <c r="AC47" s="107" t="s">
        <v>128</v>
      </c>
      <c r="AD47" s="107" t="s">
        <v>128</v>
      </c>
      <c r="AE47" s="107" t="s">
        <v>128</v>
      </c>
      <c r="AF47" s="107" t="s">
        <v>128</v>
      </c>
      <c r="AG47" s="107" t="s">
        <v>128</v>
      </c>
      <c r="AH47" s="107" t="s">
        <v>128</v>
      </c>
      <c r="AI47" s="228"/>
      <c r="AJ47" s="228"/>
      <c r="AK47" s="228"/>
      <c r="AL47" s="228"/>
      <c r="AM47" s="228"/>
      <c r="AN47" s="228"/>
      <c r="AO47" s="228"/>
      <c r="AP47" s="228"/>
    </row>
    <row r="48" spans="1:42" s="48" customFormat="1" x14ac:dyDescent="0.2">
      <c r="A48" s="209"/>
      <c r="B48" s="8"/>
      <c r="C48" s="8"/>
      <c r="D48" s="8"/>
      <c r="E48" s="8"/>
      <c r="F48" s="8"/>
      <c r="G48" s="8"/>
      <c r="H48" s="8"/>
      <c r="I48" s="8"/>
      <c r="J48" s="37"/>
      <c r="K48" s="19">
        <v>0</v>
      </c>
      <c r="L48" s="198" t="s">
        <v>128</v>
      </c>
      <c r="M48" s="198" t="s">
        <v>128</v>
      </c>
      <c r="N48" s="197" t="s">
        <v>128</v>
      </c>
      <c r="O48" s="195">
        <v>1</v>
      </c>
      <c r="P48" s="45" t="s">
        <v>128</v>
      </c>
      <c r="Q48" s="45" t="s">
        <v>128</v>
      </c>
      <c r="R48" s="45" t="s">
        <v>128</v>
      </c>
      <c r="S48" s="45" t="s">
        <v>128</v>
      </c>
      <c r="T48" s="45" t="s">
        <v>128</v>
      </c>
      <c r="U48" s="45" t="s">
        <v>128</v>
      </c>
      <c r="V48" s="45" t="s">
        <v>128</v>
      </c>
      <c r="W48" s="45" t="s">
        <v>128</v>
      </c>
      <c r="X48" s="45" t="s">
        <v>128</v>
      </c>
      <c r="Y48" s="45" t="s">
        <v>128</v>
      </c>
      <c r="Z48" s="45" t="s">
        <v>128</v>
      </c>
      <c r="AA48" s="45" t="s">
        <v>128</v>
      </c>
      <c r="AB48" s="45" t="s">
        <v>128</v>
      </c>
      <c r="AC48" s="107" t="s">
        <v>128</v>
      </c>
      <c r="AD48" s="107" t="s">
        <v>128</v>
      </c>
      <c r="AE48" s="107" t="s">
        <v>128</v>
      </c>
      <c r="AF48" s="107" t="s">
        <v>128</v>
      </c>
      <c r="AG48" s="107" t="s">
        <v>128</v>
      </c>
      <c r="AH48" s="107" t="s">
        <v>128</v>
      </c>
      <c r="AI48" s="228"/>
      <c r="AJ48" s="228"/>
      <c r="AK48" s="228"/>
      <c r="AL48" s="228"/>
      <c r="AM48" s="228"/>
      <c r="AN48" s="228"/>
      <c r="AO48" s="228"/>
      <c r="AP48" s="228"/>
    </row>
    <row r="49" spans="1:42" s="48" customFormat="1" x14ac:dyDescent="0.2">
      <c r="A49" s="22"/>
      <c r="B49" s="22"/>
      <c r="C49" s="22"/>
      <c r="D49" s="22"/>
      <c r="E49" s="22"/>
      <c r="F49" s="22"/>
      <c r="G49" s="22"/>
      <c r="H49" s="22"/>
      <c r="I49" s="22"/>
      <c r="J49" s="36"/>
      <c r="K49" s="19">
        <v>0</v>
      </c>
      <c r="L49" s="198" t="s">
        <v>128</v>
      </c>
      <c r="M49" s="198" t="s">
        <v>128</v>
      </c>
      <c r="N49" s="197" t="s">
        <v>128</v>
      </c>
      <c r="O49" s="195">
        <v>1</v>
      </c>
      <c r="P49" s="45" t="s">
        <v>128</v>
      </c>
      <c r="Q49" s="45" t="s">
        <v>128</v>
      </c>
      <c r="R49" s="45" t="s">
        <v>128</v>
      </c>
      <c r="S49" s="45" t="s">
        <v>128</v>
      </c>
      <c r="T49" s="45" t="s">
        <v>128</v>
      </c>
      <c r="U49" s="45" t="s">
        <v>128</v>
      </c>
      <c r="V49" s="45" t="s">
        <v>128</v>
      </c>
      <c r="W49" s="45" t="s">
        <v>128</v>
      </c>
      <c r="X49" s="45" t="s">
        <v>128</v>
      </c>
      <c r="Y49" s="45" t="s">
        <v>128</v>
      </c>
      <c r="Z49" s="45" t="s">
        <v>128</v>
      </c>
      <c r="AA49" s="45" t="s">
        <v>128</v>
      </c>
      <c r="AB49" s="45" t="s">
        <v>128</v>
      </c>
      <c r="AC49" s="107" t="s">
        <v>128</v>
      </c>
      <c r="AD49" s="107" t="s">
        <v>128</v>
      </c>
      <c r="AE49" s="107" t="s">
        <v>128</v>
      </c>
      <c r="AF49" s="107" t="s">
        <v>128</v>
      </c>
      <c r="AG49" s="107" t="s">
        <v>128</v>
      </c>
      <c r="AH49" s="107" t="s">
        <v>128</v>
      </c>
      <c r="AI49" s="228"/>
      <c r="AJ49" s="228"/>
      <c r="AK49" s="228"/>
      <c r="AL49" s="228"/>
      <c r="AM49" s="228"/>
      <c r="AN49" s="228"/>
      <c r="AO49" s="228"/>
      <c r="AP49" s="228"/>
    </row>
    <row r="50" spans="1:42" s="48" customFormat="1" x14ac:dyDescent="0.2">
      <c r="A50" s="209"/>
      <c r="B50" s="8"/>
      <c r="C50" s="8"/>
      <c r="D50" s="8"/>
      <c r="E50" s="8"/>
      <c r="F50" s="8"/>
      <c r="G50" s="8"/>
      <c r="H50" s="8"/>
      <c r="I50" s="8"/>
      <c r="J50" s="37"/>
      <c r="K50" s="19">
        <v>0</v>
      </c>
      <c r="L50" s="198" t="s">
        <v>128</v>
      </c>
      <c r="M50" s="198" t="s">
        <v>128</v>
      </c>
      <c r="N50" s="197" t="s">
        <v>128</v>
      </c>
      <c r="O50" s="195">
        <v>1</v>
      </c>
      <c r="P50" s="45" t="s">
        <v>128</v>
      </c>
      <c r="Q50" s="45" t="s">
        <v>128</v>
      </c>
      <c r="R50" s="45" t="s">
        <v>128</v>
      </c>
      <c r="S50" s="45" t="s">
        <v>128</v>
      </c>
      <c r="T50" s="45" t="s">
        <v>128</v>
      </c>
      <c r="U50" s="45" t="s">
        <v>128</v>
      </c>
      <c r="V50" s="45" t="s">
        <v>128</v>
      </c>
      <c r="W50" s="45" t="s">
        <v>128</v>
      </c>
      <c r="X50" s="45" t="s">
        <v>128</v>
      </c>
      <c r="Y50" s="45" t="s">
        <v>128</v>
      </c>
      <c r="Z50" s="45" t="s">
        <v>128</v>
      </c>
      <c r="AA50" s="45" t="s">
        <v>128</v>
      </c>
      <c r="AB50" s="45" t="s">
        <v>128</v>
      </c>
      <c r="AC50" s="107" t="s">
        <v>128</v>
      </c>
      <c r="AD50" s="107" t="s">
        <v>128</v>
      </c>
      <c r="AE50" s="107" t="s">
        <v>128</v>
      </c>
      <c r="AF50" s="107" t="s">
        <v>128</v>
      </c>
      <c r="AG50" s="107" t="s">
        <v>128</v>
      </c>
      <c r="AH50" s="107" t="s">
        <v>128</v>
      </c>
      <c r="AI50" s="228"/>
      <c r="AJ50" s="228"/>
      <c r="AK50" s="228"/>
      <c r="AL50" s="228"/>
      <c r="AM50" s="228"/>
      <c r="AN50" s="228"/>
      <c r="AO50" s="228"/>
      <c r="AP50" s="228"/>
    </row>
    <row r="51" spans="1:42" s="48" customFormat="1" x14ac:dyDescent="0.2">
      <c r="A51" s="22"/>
      <c r="B51" s="22"/>
      <c r="C51" s="22"/>
      <c r="D51" s="22"/>
      <c r="E51" s="22"/>
      <c r="F51" s="22"/>
      <c r="G51" s="22"/>
      <c r="H51" s="22"/>
      <c r="I51" s="22"/>
      <c r="J51" s="36"/>
      <c r="K51" s="19">
        <v>0</v>
      </c>
      <c r="L51" s="198" t="s">
        <v>128</v>
      </c>
      <c r="M51" s="198" t="s">
        <v>128</v>
      </c>
      <c r="N51" s="197" t="s">
        <v>128</v>
      </c>
      <c r="O51" s="195">
        <v>1</v>
      </c>
      <c r="P51" s="45" t="s">
        <v>128</v>
      </c>
      <c r="Q51" s="45" t="s">
        <v>128</v>
      </c>
      <c r="R51" s="45" t="s">
        <v>128</v>
      </c>
      <c r="S51" s="45" t="s">
        <v>128</v>
      </c>
      <c r="T51" s="45" t="s">
        <v>128</v>
      </c>
      <c r="U51" s="45" t="s">
        <v>128</v>
      </c>
      <c r="V51" s="45" t="s">
        <v>128</v>
      </c>
      <c r="W51" s="45" t="s">
        <v>128</v>
      </c>
      <c r="X51" s="45" t="s">
        <v>128</v>
      </c>
      <c r="Y51" s="45" t="s">
        <v>128</v>
      </c>
      <c r="Z51" s="45" t="s">
        <v>128</v>
      </c>
      <c r="AA51" s="45" t="s">
        <v>128</v>
      </c>
      <c r="AB51" s="45" t="s">
        <v>128</v>
      </c>
      <c r="AC51" s="107" t="s">
        <v>128</v>
      </c>
      <c r="AD51" s="107" t="s">
        <v>128</v>
      </c>
      <c r="AE51" s="107" t="s">
        <v>128</v>
      </c>
      <c r="AF51" s="107" t="s">
        <v>128</v>
      </c>
      <c r="AG51" s="107" t="s">
        <v>128</v>
      </c>
      <c r="AH51" s="107" t="s">
        <v>128</v>
      </c>
      <c r="AI51" s="228"/>
      <c r="AJ51" s="228"/>
      <c r="AK51" s="228"/>
      <c r="AL51" s="228"/>
      <c r="AM51" s="228"/>
      <c r="AN51" s="228"/>
      <c r="AO51" s="228"/>
      <c r="AP51" s="228"/>
    </row>
    <row r="52" spans="1:42" s="48" customFormat="1" x14ac:dyDescent="0.2">
      <c r="A52" s="209"/>
      <c r="B52" s="8"/>
      <c r="C52" s="8"/>
      <c r="D52" s="8"/>
      <c r="E52" s="8"/>
      <c r="F52" s="8"/>
      <c r="G52" s="8"/>
      <c r="H52" s="8"/>
      <c r="I52" s="8"/>
      <c r="J52" s="37"/>
      <c r="K52" s="19">
        <v>0</v>
      </c>
      <c r="L52" s="198" t="s">
        <v>128</v>
      </c>
      <c r="M52" s="198" t="s">
        <v>128</v>
      </c>
      <c r="N52" s="197" t="s">
        <v>128</v>
      </c>
      <c r="O52" s="195">
        <v>1</v>
      </c>
      <c r="P52" s="45" t="s">
        <v>128</v>
      </c>
      <c r="Q52" s="45" t="s">
        <v>128</v>
      </c>
      <c r="R52" s="45" t="s">
        <v>128</v>
      </c>
      <c r="S52" s="45" t="s">
        <v>128</v>
      </c>
      <c r="T52" s="45" t="s">
        <v>128</v>
      </c>
      <c r="U52" s="45" t="s">
        <v>128</v>
      </c>
      <c r="V52" s="45" t="s">
        <v>128</v>
      </c>
      <c r="W52" s="45" t="s">
        <v>128</v>
      </c>
      <c r="X52" s="45" t="s">
        <v>128</v>
      </c>
      <c r="Y52" s="45" t="s">
        <v>128</v>
      </c>
      <c r="Z52" s="45" t="s">
        <v>128</v>
      </c>
      <c r="AA52" s="45" t="s">
        <v>128</v>
      </c>
      <c r="AB52" s="45" t="s">
        <v>128</v>
      </c>
      <c r="AC52" s="107" t="s">
        <v>128</v>
      </c>
      <c r="AD52" s="107" t="s">
        <v>128</v>
      </c>
      <c r="AE52" s="107" t="s">
        <v>128</v>
      </c>
      <c r="AF52" s="107" t="s">
        <v>128</v>
      </c>
      <c r="AG52" s="107" t="s">
        <v>128</v>
      </c>
      <c r="AH52" s="107" t="s">
        <v>128</v>
      </c>
      <c r="AI52" s="228"/>
      <c r="AJ52" s="228"/>
      <c r="AK52" s="228"/>
      <c r="AL52" s="228"/>
      <c r="AM52" s="228"/>
      <c r="AN52" s="228"/>
      <c r="AO52" s="228"/>
      <c r="AP52" s="228"/>
    </row>
    <row r="53" spans="1:42" s="48" customFormat="1" x14ac:dyDescent="0.2">
      <c r="A53" s="22"/>
      <c r="B53" s="22"/>
      <c r="C53" s="22"/>
      <c r="D53" s="22"/>
      <c r="E53" s="22"/>
      <c r="F53" s="22"/>
      <c r="G53" s="22"/>
      <c r="H53" s="22"/>
      <c r="I53" s="22"/>
      <c r="J53" s="36"/>
      <c r="K53" s="19">
        <v>0</v>
      </c>
      <c r="L53" s="198" t="s">
        <v>128</v>
      </c>
      <c r="M53" s="198" t="s">
        <v>128</v>
      </c>
      <c r="N53" s="197" t="s">
        <v>128</v>
      </c>
      <c r="O53" s="195">
        <v>1</v>
      </c>
      <c r="P53" s="45" t="s">
        <v>128</v>
      </c>
      <c r="Q53" s="45" t="s">
        <v>128</v>
      </c>
      <c r="R53" s="45" t="s">
        <v>128</v>
      </c>
      <c r="S53" s="45" t="s">
        <v>128</v>
      </c>
      <c r="T53" s="45" t="s">
        <v>128</v>
      </c>
      <c r="U53" s="45" t="s">
        <v>128</v>
      </c>
      <c r="V53" s="45" t="s">
        <v>128</v>
      </c>
      <c r="W53" s="45" t="s">
        <v>128</v>
      </c>
      <c r="X53" s="45" t="s">
        <v>128</v>
      </c>
      <c r="Y53" s="45" t="s">
        <v>128</v>
      </c>
      <c r="Z53" s="45" t="s">
        <v>128</v>
      </c>
      <c r="AA53" s="45" t="s">
        <v>128</v>
      </c>
      <c r="AB53" s="45" t="s">
        <v>128</v>
      </c>
      <c r="AC53" s="107" t="s">
        <v>128</v>
      </c>
      <c r="AD53" s="107" t="s">
        <v>128</v>
      </c>
      <c r="AE53" s="107" t="s">
        <v>128</v>
      </c>
      <c r="AF53" s="107" t="s">
        <v>128</v>
      </c>
      <c r="AG53" s="107" t="s">
        <v>128</v>
      </c>
      <c r="AH53" s="107" t="s">
        <v>128</v>
      </c>
      <c r="AI53" s="228"/>
      <c r="AJ53" s="228"/>
      <c r="AK53" s="228"/>
      <c r="AL53" s="228"/>
      <c r="AM53" s="228"/>
      <c r="AN53" s="228"/>
      <c r="AO53" s="228"/>
      <c r="AP53" s="228"/>
    </row>
    <row r="54" spans="1:42" s="48" customFormat="1" x14ac:dyDescent="0.2">
      <c r="A54" s="209"/>
      <c r="B54" s="8"/>
      <c r="C54" s="8"/>
      <c r="D54" s="8"/>
      <c r="E54" s="8"/>
      <c r="F54" s="8"/>
      <c r="G54" s="8"/>
      <c r="H54" s="8"/>
      <c r="I54" s="8"/>
      <c r="J54" s="37"/>
      <c r="K54" s="19">
        <v>0</v>
      </c>
      <c r="L54" s="198" t="s">
        <v>128</v>
      </c>
      <c r="M54" s="198" t="s">
        <v>128</v>
      </c>
      <c r="N54" s="197" t="s">
        <v>128</v>
      </c>
      <c r="O54" s="195">
        <v>1</v>
      </c>
      <c r="P54" s="45" t="s">
        <v>128</v>
      </c>
      <c r="Q54" s="45" t="s">
        <v>128</v>
      </c>
      <c r="R54" s="45" t="s">
        <v>128</v>
      </c>
      <c r="S54" s="45" t="s">
        <v>128</v>
      </c>
      <c r="T54" s="45" t="s">
        <v>128</v>
      </c>
      <c r="U54" s="45" t="s">
        <v>128</v>
      </c>
      <c r="V54" s="45" t="s">
        <v>128</v>
      </c>
      <c r="W54" s="45" t="s">
        <v>128</v>
      </c>
      <c r="X54" s="45" t="s">
        <v>128</v>
      </c>
      <c r="Y54" s="45" t="s">
        <v>128</v>
      </c>
      <c r="Z54" s="45" t="s">
        <v>128</v>
      </c>
      <c r="AA54" s="45" t="s">
        <v>128</v>
      </c>
      <c r="AB54" s="45" t="s">
        <v>128</v>
      </c>
      <c r="AC54" s="107" t="s">
        <v>128</v>
      </c>
      <c r="AD54" s="107" t="s">
        <v>128</v>
      </c>
      <c r="AE54" s="107" t="s">
        <v>128</v>
      </c>
      <c r="AF54" s="107" t="s">
        <v>128</v>
      </c>
      <c r="AG54" s="107" t="s">
        <v>128</v>
      </c>
      <c r="AH54" s="107" t="s">
        <v>128</v>
      </c>
      <c r="AI54" s="228"/>
      <c r="AJ54" s="228"/>
      <c r="AK54" s="228"/>
      <c r="AL54" s="228"/>
      <c r="AM54" s="228"/>
      <c r="AN54" s="228"/>
      <c r="AO54" s="228"/>
      <c r="AP54" s="228"/>
    </row>
    <row r="55" spans="1:42" s="48" customFormat="1" x14ac:dyDescent="0.2">
      <c r="A55" s="22"/>
      <c r="B55" s="22"/>
      <c r="C55" s="22"/>
      <c r="D55" s="22"/>
      <c r="E55" s="22"/>
      <c r="F55" s="22"/>
      <c r="G55" s="22"/>
      <c r="H55" s="22"/>
      <c r="I55" s="22"/>
      <c r="J55" s="36"/>
      <c r="K55" s="19">
        <v>0</v>
      </c>
      <c r="L55" s="198" t="s">
        <v>128</v>
      </c>
      <c r="M55" s="198" t="s">
        <v>128</v>
      </c>
      <c r="N55" s="197" t="s">
        <v>128</v>
      </c>
      <c r="O55" s="195">
        <v>1</v>
      </c>
      <c r="P55" s="45" t="s">
        <v>128</v>
      </c>
      <c r="Q55" s="45" t="s">
        <v>128</v>
      </c>
      <c r="R55" s="45" t="s">
        <v>128</v>
      </c>
      <c r="S55" s="45" t="s">
        <v>128</v>
      </c>
      <c r="T55" s="45" t="s">
        <v>128</v>
      </c>
      <c r="U55" s="45" t="s">
        <v>128</v>
      </c>
      <c r="V55" s="45" t="s">
        <v>128</v>
      </c>
      <c r="W55" s="45" t="s">
        <v>128</v>
      </c>
      <c r="X55" s="45" t="s">
        <v>128</v>
      </c>
      <c r="Y55" s="45" t="s">
        <v>128</v>
      </c>
      <c r="Z55" s="45" t="s">
        <v>128</v>
      </c>
      <c r="AA55" s="45" t="s">
        <v>128</v>
      </c>
      <c r="AB55" s="45" t="s">
        <v>128</v>
      </c>
      <c r="AC55" s="107" t="s">
        <v>128</v>
      </c>
      <c r="AD55" s="107" t="s">
        <v>128</v>
      </c>
      <c r="AE55" s="107" t="s">
        <v>128</v>
      </c>
      <c r="AF55" s="107" t="s">
        <v>128</v>
      </c>
      <c r="AG55" s="107" t="s">
        <v>128</v>
      </c>
      <c r="AH55" s="107" t="s">
        <v>128</v>
      </c>
      <c r="AI55" s="228"/>
      <c r="AJ55" s="228"/>
      <c r="AK55" s="228"/>
      <c r="AL55" s="228"/>
      <c r="AM55" s="228"/>
      <c r="AN55" s="228"/>
      <c r="AO55" s="228"/>
      <c r="AP55" s="228"/>
    </row>
    <row r="56" spans="1:42" s="48" customFormat="1" x14ac:dyDescent="0.2">
      <c r="A56" s="209"/>
      <c r="B56" s="8"/>
      <c r="C56" s="8"/>
      <c r="D56" s="8"/>
      <c r="E56" s="8"/>
      <c r="F56" s="8"/>
      <c r="G56" s="8"/>
      <c r="H56" s="8"/>
      <c r="I56" s="8"/>
      <c r="J56" s="37"/>
      <c r="K56" s="19">
        <v>0</v>
      </c>
      <c r="L56" s="198" t="s">
        <v>128</v>
      </c>
      <c r="M56" s="198" t="s">
        <v>128</v>
      </c>
      <c r="N56" s="197" t="s">
        <v>128</v>
      </c>
      <c r="O56" s="195">
        <v>1</v>
      </c>
      <c r="P56" s="45" t="s">
        <v>128</v>
      </c>
      <c r="Q56" s="45" t="s">
        <v>128</v>
      </c>
      <c r="R56" s="45" t="s">
        <v>128</v>
      </c>
      <c r="S56" s="45" t="s">
        <v>128</v>
      </c>
      <c r="T56" s="45" t="s">
        <v>128</v>
      </c>
      <c r="U56" s="45" t="s">
        <v>128</v>
      </c>
      <c r="V56" s="45" t="s">
        <v>128</v>
      </c>
      <c r="W56" s="45" t="s">
        <v>128</v>
      </c>
      <c r="X56" s="45" t="s">
        <v>128</v>
      </c>
      <c r="Y56" s="45" t="s">
        <v>128</v>
      </c>
      <c r="Z56" s="45" t="s">
        <v>128</v>
      </c>
      <c r="AA56" s="45" t="s">
        <v>128</v>
      </c>
      <c r="AB56" s="45" t="s">
        <v>128</v>
      </c>
      <c r="AC56" s="107" t="s">
        <v>128</v>
      </c>
      <c r="AD56" s="107" t="s">
        <v>128</v>
      </c>
      <c r="AE56" s="107" t="s">
        <v>128</v>
      </c>
      <c r="AF56" s="107" t="s">
        <v>128</v>
      </c>
      <c r="AG56" s="107" t="s">
        <v>128</v>
      </c>
      <c r="AH56" s="107" t="s">
        <v>128</v>
      </c>
      <c r="AI56" s="228"/>
      <c r="AJ56" s="228"/>
      <c r="AK56" s="228"/>
      <c r="AL56" s="228"/>
      <c r="AM56" s="228"/>
      <c r="AN56" s="228"/>
      <c r="AO56" s="228"/>
      <c r="AP56" s="228"/>
    </row>
    <row r="57" spans="1:42" s="48" customFormat="1" x14ac:dyDescent="0.2">
      <c r="A57" s="22"/>
      <c r="B57" s="22"/>
      <c r="C57" s="22"/>
      <c r="D57" s="22"/>
      <c r="E57" s="22"/>
      <c r="F57" s="22"/>
      <c r="G57" s="22"/>
      <c r="H57" s="22"/>
      <c r="I57" s="22"/>
      <c r="J57" s="36"/>
      <c r="K57" s="19">
        <v>0</v>
      </c>
      <c r="L57" s="198" t="s">
        <v>128</v>
      </c>
      <c r="M57" s="198" t="s">
        <v>128</v>
      </c>
      <c r="N57" s="197" t="s">
        <v>128</v>
      </c>
      <c r="O57" s="195">
        <v>1</v>
      </c>
      <c r="P57" s="45" t="s">
        <v>128</v>
      </c>
      <c r="Q57" s="45" t="s">
        <v>128</v>
      </c>
      <c r="R57" s="45" t="s">
        <v>128</v>
      </c>
      <c r="S57" s="45" t="s">
        <v>128</v>
      </c>
      <c r="T57" s="45" t="s">
        <v>128</v>
      </c>
      <c r="U57" s="45" t="s">
        <v>128</v>
      </c>
      <c r="V57" s="45" t="s">
        <v>128</v>
      </c>
      <c r="W57" s="45" t="s">
        <v>128</v>
      </c>
      <c r="X57" s="45" t="s">
        <v>128</v>
      </c>
      <c r="Y57" s="45" t="s">
        <v>128</v>
      </c>
      <c r="Z57" s="45" t="s">
        <v>128</v>
      </c>
      <c r="AA57" s="45" t="s">
        <v>128</v>
      </c>
      <c r="AB57" s="45" t="s">
        <v>128</v>
      </c>
      <c r="AC57" s="107" t="s">
        <v>128</v>
      </c>
      <c r="AD57" s="107" t="s">
        <v>128</v>
      </c>
      <c r="AE57" s="107" t="s">
        <v>128</v>
      </c>
      <c r="AF57" s="107" t="s">
        <v>128</v>
      </c>
      <c r="AG57" s="107" t="s">
        <v>128</v>
      </c>
      <c r="AH57" s="107" t="s">
        <v>128</v>
      </c>
      <c r="AI57" s="228"/>
      <c r="AJ57" s="228"/>
      <c r="AK57" s="228"/>
      <c r="AL57" s="228"/>
      <c r="AM57" s="228"/>
      <c r="AN57" s="228"/>
      <c r="AO57" s="228"/>
      <c r="AP57" s="228"/>
    </row>
    <row r="58" spans="1:42" s="48" customFormat="1" x14ac:dyDescent="0.2">
      <c r="A58" s="209"/>
      <c r="B58" s="8"/>
      <c r="C58" s="8"/>
      <c r="D58" s="8"/>
      <c r="E58" s="8"/>
      <c r="F58" s="8"/>
      <c r="G58" s="8"/>
      <c r="H58" s="8"/>
      <c r="I58" s="8"/>
      <c r="J58" s="37"/>
      <c r="K58" s="19">
        <v>0</v>
      </c>
      <c r="L58" s="198" t="s">
        <v>128</v>
      </c>
      <c r="M58" s="198" t="s">
        <v>128</v>
      </c>
      <c r="N58" s="197" t="s">
        <v>128</v>
      </c>
      <c r="O58" s="195">
        <v>1</v>
      </c>
      <c r="P58" s="45" t="s">
        <v>128</v>
      </c>
      <c r="Q58" s="45" t="s">
        <v>128</v>
      </c>
      <c r="R58" s="45" t="s">
        <v>128</v>
      </c>
      <c r="S58" s="45" t="s">
        <v>128</v>
      </c>
      <c r="T58" s="45" t="s">
        <v>128</v>
      </c>
      <c r="U58" s="45" t="s">
        <v>128</v>
      </c>
      <c r="V58" s="45" t="s">
        <v>128</v>
      </c>
      <c r="W58" s="45" t="s">
        <v>128</v>
      </c>
      <c r="X58" s="45" t="s">
        <v>128</v>
      </c>
      <c r="Y58" s="45" t="s">
        <v>128</v>
      </c>
      <c r="Z58" s="45" t="s">
        <v>128</v>
      </c>
      <c r="AA58" s="45" t="s">
        <v>128</v>
      </c>
      <c r="AB58" s="45" t="s">
        <v>128</v>
      </c>
      <c r="AC58" s="107" t="s">
        <v>128</v>
      </c>
      <c r="AD58" s="107" t="s">
        <v>128</v>
      </c>
      <c r="AE58" s="107" t="s">
        <v>128</v>
      </c>
      <c r="AF58" s="107" t="s">
        <v>128</v>
      </c>
      <c r="AG58" s="107" t="s">
        <v>128</v>
      </c>
      <c r="AH58" s="107" t="s">
        <v>128</v>
      </c>
      <c r="AI58" s="228"/>
      <c r="AJ58" s="228"/>
      <c r="AK58" s="228"/>
      <c r="AL58" s="228"/>
      <c r="AM58" s="228"/>
      <c r="AN58" s="228"/>
      <c r="AO58" s="228"/>
      <c r="AP58" s="228"/>
    </row>
    <row r="59" spans="1:42" s="48" customFormat="1" x14ac:dyDescent="0.2">
      <c r="A59" s="22"/>
      <c r="B59" s="22"/>
      <c r="C59" s="22"/>
      <c r="D59" s="22"/>
      <c r="E59" s="22"/>
      <c r="F59" s="22"/>
      <c r="G59" s="22"/>
      <c r="H59" s="22"/>
      <c r="I59" s="22"/>
      <c r="J59" s="36"/>
      <c r="K59" s="19">
        <v>0</v>
      </c>
      <c r="L59" s="198" t="s">
        <v>128</v>
      </c>
      <c r="M59" s="198" t="s">
        <v>128</v>
      </c>
      <c r="N59" s="197" t="s">
        <v>128</v>
      </c>
      <c r="O59" s="195">
        <v>1</v>
      </c>
      <c r="P59" s="45" t="s">
        <v>128</v>
      </c>
      <c r="Q59" s="45" t="s">
        <v>128</v>
      </c>
      <c r="R59" s="45" t="s">
        <v>128</v>
      </c>
      <c r="S59" s="45" t="s">
        <v>128</v>
      </c>
      <c r="T59" s="45" t="s">
        <v>128</v>
      </c>
      <c r="U59" s="45" t="s">
        <v>128</v>
      </c>
      <c r="V59" s="45" t="s">
        <v>128</v>
      </c>
      <c r="W59" s="45" t="s">
        <v>128</v>
      </c>
      <c r="X59" s="45" t="s">
        <v>128</v>
      </c>
      <c r="Y59" s="45" t="s">
        <v>128</v>
      </c>
      <c r="Z59" s="45" t="s">
        <v>128</v>
      </c>
      <c r="AA59" s="45" t="s">
        <v>128</v>
      </c>
      <c r="AB59" s="45" t="s">
        <v>128</v>
      </c>
      <c r="AC59" s="107" t="s">
        <v>128</v>
      </c>
      <c r="AD59" s="107" t="s">
        <v>128</v>
      </c>
      <c r="AE59" s="107" t="s">
        <v>128</v>
      </c>
      <c r="AF59" s="107" t="s">
        <v>128</v>
      </c>
      <c r="AG59" s="107" t="s">
        <v>128</v>
      </c>
      <c r="AH59" s="107" t="s">
        <v>128</v>
      </c>
      <c r="AI59" s="228"/>
      <c r="AJ59" s="228"/>
      <c r="AK59" s="228"/>
      <c r="AL59" s="228"/>
      <c r="AM59" s="228"/>
      <c r="AN59" s="228"/>
      <c r="AO59" s="228"/>
      <c r="AP59" s="228"/>
    </row>
    <row r="60" spans="1:42" s="48" customFormat="1" x14ac:dyDescent="0.2">
      <c r="A60" s="209"/>
      <c r="B60" s="8"/>
      <c r="C60" s="8"/>
      <c r="D60" s="8"/>
      <c r="E60" s="8"/>
      <c r="F60" s="8"/>
      <c r="G60" s="8"/>
      <c r="H60" s="8"/>
      <c r="I60" s="8"/>
      <c r="J60" s="37"/>
      <c r="K60" s="19">
        <v>0</v>
      </c>
      <c r="L60" s="198" t="s">
        <v>128</v>
      </c>
      <c r="M60" s="198" t="s">
        <v>128</v>
      </c>
      <c r="N60" s="197" t="s">
        <v>128</v>
      </c>
      <c r="O60" s="195">
        <v>1</v>
      </c>
      <c r="P60" s="45" t="s">
        <v>128</v>
      </c>
      <c r="Q60" s="45" t="s">
        <v>128</v>
      </c>
      <c r="R60" s="45" t="s">
        <v>128</v>
      </c>
      <c r="S60" s="45" t="s">
        <v>128</v>
      </c>
      <c r="T60" s="45" t="s">
        <v>128</v>
      </c>
      <c r="U60" s="45" t="s">
        <v>128</v>
      </c>
      <c r="V60" s="45" t="s">
        <v>128</v>
      </c>
      <c r="W60" s="45" t="s">
        <v>128</v>
      </c>
      <c r="X60" s="45" t="s">
        <v>128</v>
      </c>
      <c r="Y60" s="45" t="s">
        <v>128</v>
      </c>
      <c r="Z60" s="45" t="s">
        <v>128</v>
      </c>
      <c r="AA60" s="45" t="s">
        <v>128</v>
      </c>
      <c r="AB60" s="45" t="s">
        <v>128</v>
      </c>
      <c r="AC60" s="107" t="s">
        <v>128</v>
      </c>
      <c r="AD60" s="107" t="s">
        <v>128</v>
      </c>
      <c r="AE60" s="107" t="s">
        <v>128</v>
      </c>
      <c r="AF60" s="107" t="s">
        <v>128</v>
      </c>
      <c r="AG60" s="107" t="s">
        <v>128</v>
      </c>
      <c r="AH60" s="107" t="s">
        <v>128</v>
      </c>
      <c r="AI60" s="228"/>
      <c r="AJ60" s="228"/>
      <c r="AK60" s="228"/>
      <c r="AL60" s="228"/>
      <c r="AM60" s="228"/>
      <c r="AN60" s="228"/>
      <c r="AO60" s="228"/>
      <c r="AP60" s="228"/>
    </row>
    <row r="61" spans="1:42" s="48" customFormat="1" x14ac:dyDescent="0.2">
      <c r="A61" s="22"/>
      <c r="B61" s="22"/>
      <c r="C61" s="22"/>
      <c r="D61" s="22"/>
      <c r="E61" s="22"/>
      <c r="F61" s="22"/>
      <c r="G61" s="22"/>
      <c r="H61" s="22"/>
      <c r="I61" s="22"/>
      <c r="J61" s="36"/>
      <c r="K61" s="19">
        <v>0</v>
      </c>
      <c r="L61" s="198" t="s">
        <v>128</v>
      </c>
      <c r="M61" s="198" t="s">
        <v>128</v>
      </c>
      <c r="N61" s="197" t="s">
        <v>128</v>
      </c>
      <c r="O61" s="195">
        <v>1</v>
      </c>
      <c r="P61" s="45" t="s">
        <v>128</v>
      </c>
      <c r="Q61" s="45" t="s">
        <v>128</v>
      </c>
      <c r="R61" s="45" t="s">
        <v>128</v>
      </c>
      <c r="S61" s="45" t="s">
        <v>128</v>
      </c>
      <c r="T61" s="45" t="s">
        <v>128</v>
      </c>
      <c r="U61" s="45" t="s">
        <v>128</v>
      </c>
      <c r="V61" s="45" t="s">
        <v>128</v>
      </c>
      <c r="W61" s="45" t="s">
        <v>128</v>
      </c>
      <c r="X61" s="45" t="s">
        <v>128</v>
      </c>
      <c r="Y61" s="45" t="s">
        <v>128</v>
      </c>
      <c r="Z61" s="45" t="s">
        <v>128</v>
      </c>
      <c r="AA61" s="45" t="s">
        <v>128</v>
      </c>
      <c r="AB61" s="45" t="s">
        <v>128</v>
      </c>
      <c r="AC61" s="107" t="s">
        <v>128</v>
      </c>
      <c r="AD61" s="107" t="s">
        <v>128</v>
      </c>
      <c r="AE61" s="107" t="s">
        <v>128</v>
      </c>
      <c r="AF61" s="107" t="s">
        <v>128</v>
      </c>
      <c r="AG61" s="107" t="s">
        <v>128</v>
      </c>
      <c r="AH61" s="107" t="s">
        <v>128</v>
      </c>
      <c r="AI61" s="228"/>
      <c r="AJ61" s="228"/>
      <c r="AK61" s="228"/>
      <c r="AL61" s="228"/>
      <c r="AM61" s="228"/>
      <c r="AN61" s="228"/>
      <c r="AO61" s="228"/>
      <c r="AP61" s="228"/>
    </row>
    <row r="62" spans="1:42" x14ac:dyDescent="0.2">
      <c r="A62" s="209"/>
      <c r="C62" s="8"/>
      <c r="D62" s="8"/>
      <c r="E62" s="8"/>
      <c r="F62" s="8"/>
      <c r="G62" s="8"/>
      <c r="H62" s="8"/>
      <c r="I62" s="8"/>
      <c r="J62" s="37"/>
      <c r="K62" s="19"/>
      <c r="L62" s="33"/>
      <c r="M62" s="19"/>
      <c r="N62"/>
      <c r="O62"/>
      <c r="P62"/>
      <c r="Q62"/>
      <c r="R62"/>
      <c r="S62"/>
      <c r="T62"/>
      <c r="U62"/>
      <c r="V62"/>
      <c r="W62"/>
      <c r="X62"/>
      <c r="Y62"/>
      <c r="Z62"/>
      <c r="AA62"/>
      <c r="AB62"/>
      <c r="AC62"/>
    </row>
    <row r="63" spans="1:42" s="8" customFormat="1" x14ac:dyDescent="0.2">
      <c r="C63" s="366" t="s">
        <v>83</v>
      </c>
      <c r="D63" s="366"/>
      <c r="E63" s="43" t="s">
        <v>4</v>
      </c>
      <c r="F63" s="1"/>
      <c r="G63" s="1"/>
      <c r="H63" s="285" t="s">
        <v>741</v>
      </c>
      <c r="I63" s="30">
        <f>SUM(O2:O61)</f>
        <v>60</v>
      </c>
      <c r="J63" s="20">
        <f>SUM(J2:J61)</f>
        <v>0</v>
      </c>
      <c r="K63" s="24">
        <f>SUM(P63:AH63)</f>
        <v>1</v>
      </c>
      <c r="L63" s="1"/>
      <c r="M63" s="1"/>
      <c r="N63" s="21"/>
      <c r="P63" s="271">
        <v>0.03</v>
      </c>
      <c r="Q63" s="209"/>
      <c r="R63" s="271">
        <v>0.1</v>
      </c>
      <c r="S63" s="209"/>
      <c r="T63" s="436">
        <v>0.3</v>
      </c>
      <c r="U63" s="438"/>
      <c r="V63" s="438"/>
      <c r="W63" s="436">
        <v>0.3</v>
      </c>
      <c r="X63" s="438"/>
      <c r="Y63" s="438"/>
      <c r="Z63" s="436">
        <v>0.1</v>
      </c>
      <c r="AA63" s="438"/>
      <c r="AB63" s="438"/>
      <c r="AC63" s="436">
        <v>0.12</v>
      </c>
      <c r="AD63" s="438"/>
      <c r="AE63" s="438"/>
      <c r="AF63" s="436">
        <v>0.05</v>
      </c>
      <c r="AG63" s="438"/>
      <c r="AH63" s="438"/>
    </row>
    <row r="64" spans="1:42" x14ac:dyDescent="0.2">
      <c r="C64" s="23" t="s">
        <v>24</v>
      </c>
      <c r="D64" s="8">
        <f t="shared" ref="D64:D70" si="0">SUMIF($E$2:$E$61,C64,$O$2:$O$61)</f>
        <v>0</v>
      </c>
      <c r="E64" s="23" t="s">
        <v>29</v>
      </c>
      <c r="F64" s="8">
        <f>SUMIF($C$2:$C$61,E64,$O$2:$O$61)</f>
        <v>0</v>
      </c>
      <c r="M64" s="360" t="s">
        <v>406</v>
      </c>
      <c r="N64" s="360"/>
      <c r="O64" s="360"/>
    </row>
    <row r="65" spans="1:32" s="8" customFormat="1" x14ac:dyDescent="0.2">
      <c r="C65" s="23" t="s">
        <v>66</v>
      </c>
      <c r="D65" s="8">
        <f t="shared" si="0"/>
        <v>0</v>
      </c>
      <c r="E65" s="23" t="s">
        <v>22</v>
      </c>
      <c r="F65" s="8">
        <f t="shared" ref="F65:F66" si="1">SUMIF($C$2:$C$61,E65,$O$2:$O$61)</f>
        <v>0</v>
      </c>
      <c r="G65" s="1"/>
      <c r="H65" s="348" t="s">
        <v>75</v>
      </c>
      <c r="I65" s="348"/>
      <c r="J65" s="20">
        <f>SUMIF(K2:K61,K65,J2:J61)</f>
        <v>0</v>
      </c>
      <c r="K65" s="24">
        <v>1</v>
      </c>
      <c r="L65" s="1"/>
      <c r="M65" s="48"/>
      <c r="N65" s="43">
        <f>SUMIF($K$2:$K$61,K65,$O$2:$O$61)</f>
        <v>0</v>
      </c>
      <c r="O65" s="43"/>
      <c r="P65" s="1"/>
      <c r="Q65" s="1"/>
      <c r="R65" s="1"/>
      <c r="S65" s="1"/>
      <c r="T65" s="1"/>
      <c r="U65" s="1"/>
      <c r="V65" s="1"/>
      <c r="W65" s="1"/>
      <c r="X65" s="1"/>
      <c r="Y65" s="1"/>
      <c r="Z65" s="1"/>
      <c r="AA65" s="1"/>
      <c r="AB65" s="1"/>
      <c r="AC65" s="1"/>
      <c r="AD65" s="43"/>
      <c r="AE65" s="43"/>
      <c r="AF65" s="43"/>
    </row>
    <row r="66" spans="1:32" s="8" customFormat="1" x14ac:dyDescent="0.2">
      <c r="C66" s="1" t="s">
        <v>34</v>
      </c>
      <c r="D66" s="8">
        <f t="shared" si="0"/>
        <v>0</v>
      </c>
      <c r="E66" s="1" t="s">
        <v>735</v>
      </c>
      <c r="F66" s="8">
        <f t="shared" si="1"/>
        <v>0</v>
      </c>
      <c r="G66" s="1"/>
      <c r="H66" s="1" t="s">
        <v>76</v>
      </c>
      <c r="I66" s="39" t="s">
        <v>734</v>
      </c>
      <c r="J66" s="20">
        <f>SUMIF($L$2:$L$61,K66,$J$2:$J$61)</f>
        <v>0</v>
      </c>
      <c r="K66" s="25">
        <v>1</v>
      </c>
      <c r="L66" s="1"/>
      <c r="M66" s="1"/>
      <c r="N66" s="21"/>
      <c r="P66" s="1"/>
      <c r="Q66" s="1"/>
      <c r="R66" s="1"/>
      <c r="S66" s="1"/>
      <c r="T66" s="1"/>
      <c r="U66" s="1"/>
      <c r="V66" s="1"/>
      <c r="W66" s="1"/>
      <c r="X66" s="1"/>
      <c r="Y66" s="1"/>
      <c r="Z66" s="1"/>
      <c r="AA66" s="1"/>
      <c r="AB66" s="1"/>
      <c r="AC66" s="1"/>
      <c r="AD66" s="43"/>
      <c r="AE66" s="43"/>
      <c r="AF66" s="43"/>
    </row>
    <row r="67" spans="1:32" s="8" customFormat="1" x14ac:dyDescent="0.2">
      <c r="C67" s="23" t="s">
        <v>31</v>
      </c>
      <c r="D67" s="8">
        <f t="shared" si="0"/>
        <v>0</v>
      </c>
      <c r="E67" s="1"/>
      <c r="F67" s="1"/>
      <c r="G67" s="1"/>
      <c r="H67" s="1" t="s">
        <v>76</v>
      </c>
      <c r="I67" s="39" t="s">
        <v>742</v>
      </c>
      <c r="J67" s="20">
        <f>SUMIF($L$2:$L$61,K67,$J$2:$J$61)</f>
        <v>0</v>
      </c>
      <c r="K67" s="25">
        <v>2</v>
      </c>
      <c r="L67" s="1"/>
      <c r="M67" s="1"/>
      <c r="N67" s="21"/>
      <c r="P67" s="1"/>
      <c r="Q67" s="1"/>
      <c r="R67" s="1"/>
      <c r="S67" s="1"/>
      <c r="T67" s="1"/>
      <c r="U67" s="1"/>
      <c r="V67" s="1"/>
      <c r="W67" s="1"/>
      <c r="X67" s="1"/>
      <c r="Y67" s="1"/>
      <c r="Z67" s="1"/>
      <c r="AA67" s="1"/>
      <c r="AB67" s="1"/>
      <c r="AC67" s="1"/>
      <c r="AD67" s="43"/>
      <c r="AE67" s="43"/>
      <c r="AF67" s="43"/>
    </row>
    <row r="68" spans="1:32" s="8" customFormat="1" x14ac:dyDescent="0.2">
      <c r="C68" s="23" t="s">
        <v>85</v>
      </c>
      <c r="D68" s="8">
        <f t="shared" si="0"/>
        <v>0</v>
      </c>
      <c r="E68" s="1"/>
      <c r="F68" s="1"/>
      <c r="G68" s="1"/>
      <c r="H68" s="1" t="s">
        <v>76</v>
      </c>
      <c r="I68" s="39" t="s">
        <v>743</v>
      </c>
      <c r="J68" s="20">
        <f>SUMIF($L$2:$L$61,K68,$J$2:$J$61)</f>
        <v>0</v>
      </c>
      <c r="K68" s="25">
        <v>3</v>
      </c>
      <c r="L68" s="1"/>
      <c r="M68" s="1"/>
      <c r="N68" s="21"/>
      <c r="P68" s="1"/>
      <c r="Q68" s="1"/>
      <c r="R68" s="1"/>
      <c r="S68" s="1"/>
      <c r="T68" s="1"/>
      <c r="U68" s="1"/>
      <c r="V68" s="1"/>
      <c r="W68" s="1"/>
      <c r="X68" s="1"/>
      <c r="Y68" s="1"/>
      <c r="Z68" s="1"/>
      <c r="AA68" s="1"/>
      <c r="AB68" s="1"/>
      <c r="AC68" s="1"/>
      <c r="AD68" s="43"/>
      <c r="AE68" s="43"/>
      <c r="AF68" s="43"/>
    </row>
    <row r="69" spans="1:32" s="8" customFormat="1" x14ac:dyDescent="0.2">
      <c r="C69" s="23" t="s">
        <v>46</v>
      </c>
      <c r="D69" s="8">
        <f t="shared" si="0"/>
        <v>0</v>
      </c>
      <c r="E69" s="1"/>
      <c r="F69" s="1"/>
      <c r="G69" s="1"/>
      <c r="H69" s="1" t="s">
        <v>76</v>
      </c>
      <c r="I69" s="39" t="s">
        <v>744</v>
      </c>
      <c r="J69" s="20">
        <f>SUMIF($L$2:$L$61,K69,$J$2:$J$61)</f>
        <v>0</v>
      </c>
      <c r="K69" s="25">
        <v>4</v>
      </c>
      <c r="L69" s="1"/>
      <c r="M69" s="1"/>
      <c r="N69" s="21"/>
      <c r="P69" s="1"/>
      <c r="Q69" s="1"/>
      <c r="R69" s="1"/>
      <c r="S69" s="1"/>
      <c r="T69" s="1"/>
      <c r="U69" s="1"/>
      <c r="V69" s="1"/>
      <c r="W69" s="1"/>
      <c r="X69" s="1"/>
      <c r="Y69" s="1"/>
      <c r="Z69" s="1"/>
      <c r="AA69" s="1"/>
      <c r="AB69" s="1"/>
      <c r="AC69" s="1"/>
      <c r="AD69" s="43"/>
      <c r="AE69" s="43"/>
      <c r="AF69" s="43"/>
    </row>
    <row r="70" spans="1:32" x14ac:dyDescent="0.2">
      <c r="C70" s="23" t="s">
        <v>38</v>
      </c>
      <c r="D70" s="8">
        <f t="shared" si="0"/>
        <v>0</v>
      </c>
      <c r="H70" s="1" t="s">
        <v>76</v>
      </c>
      <c r="I70" s="39" t="s">
        <v>745</v>
      </c>
      <c r="J70" s="20">
        <f>SUMIF($L$2:$L$61,K70,$J$2:$J$61)</f>
        <v>0</v>
      </c>
      <c r="K70" s="25">
        <v>5</v>
      </c>
    </row>
    <row r="72" spans="1:32" x14ac:dyDescent="0.2">
      <c r="C72" s="23"/>
      <c r="D72" s="8"/>
    </row>
    <row r="73" spans="1:32" x14ac:dyDescent="0.2">
      <c r="L73" s="33"/>
    </row>
    <row r="74" spans="1:32" x14ac:dyDescent="0.2">
      <c r="C74" s="3" t="s">
        <v>157</v>
      </c>
      <c r="D74" s="8">
        <f>SUM(D64:D73)</f>
        <v>0</v>
      </c>
      <c r="E74" s="3" t="s">
        <v>157</v>
      </c>
      <c r="F74" s="8">
        <f>SUM(F64:F73)</f>
        <v>0</v>
      </c>
    </row>
    <row r="75" spans="1:32" s="57" customFormat="1" ht="29.25" customHeight="1" x14ac:dyDescent="0.2">
      <c r="A75" s="383" t="s">
        <v>158</v>
      </c>
      <c r="B75" s="383"/>
      <c r="C75" s="383"/>
      <c r="I75" s="58" t="s">
        <v>159</v>
      </c>
      <c r="J75" s="58" t="s">
        <v>160</v>
      </c>
      <c r="N75" s="59"/>
      <c r="O75" s="7"/>
      <c r="AD75" s="60"/>
      <c r="AE75" s="60"/>
      <c r="AF75" s="60"/>
    </row>
    <row r="76" spans="1:32" x14ac:dyDescent="0.2">
      <c r="A76" s="286">
        <v>44896</v>
      </c>
      <c r="B76" s="287" t="s">
        <v>163</v>
      </c>
      <c r="C76" s="353"/>
      <c r="D76" s="353"/>
      <c r="E76" s="353"/>
      <c r="F76" s="353"/>
      <c r="G76" s="353"/>
      <c r="H76" s="353"/>
      <c r="I76" s="51"/>
      <c r="J76" s="51"/>
    </row>
    <row r="77" spans="1:32" x14ac:dyDescent="0.2">
      <c r="A77" s="49">
        <f>+A76+1</f>
        <v>44897</v>
      </c>
      <c r="B77" s="50" t="s">
        <v>164</v>
      </c>
      <c r="C77" s="353"/>
      <c r="D77" s="353"/>
      <c r="E77" s="353"/>
      <c r="F77" s="353"/>
      <c r="G77" s="353"/>
      <c r="H77" s="353"/>
      <c r="I77" s="51"/>
      <c r="J77" s="51"/>
    </row>
    <row r="78" spans="1:32" x14ac:dyDescent="0.2">
      <c r="A78" s="49">
        <f t="shared" ref="A78:A106" si="2">+A77+1</f>
        <v>44898</v>
      </c>
      <c r="B78" s="50" t="s">
        <v>165</v>
      </c>
      <c r="C78" s="353"/>
      <c r="D78" s="353"/>
      <c r="E78" s="353"/>
      <c r="F78" s="353"/>
      <c r="G78" s="353"/>
      <c r="H78" s="353"/>
      <c r="I78" s="51"/>
      <c r="J78" s="51"/>
    </row>
    <row r="79" spans="1:32" x14ac:dyDescent="0.2">
      <c r="A79" s="49">
        <f t="shared" si="2"/>
        <v>44899</v>
      </c>
      <c r="B79" s="50" t="s">
        <v>166</v>
      </c>
      <c r="C79" s="353"/>
      <c r="D79" s="353"/>
      <c r="E79" s="353"/>
      <c r="F79" s="353"/>
      <c r="G79" s="353"/>
      <c r="H79" s="353"/>
      <c r="I79" s="51"/>
      <c r="J79" s="51"/>
    </row>
    <row r="80" spans="1:32" x14ac:dyDescent="0.2">
      <c r="A80" s="49">
        <f t="shared" si="2"/>
        <v>44900</v>
      </c>
      <c r="B80" s="50" t="s">
        <v>167</v>
      </c>
      <c r="C80" s="353"/>
      <c r="D80" s="353"/>
      <c r="E80" s="353"/>
      <c r="F80" s="353"/>
      <c r="G80" s="353"/>
      <c r="H80" s="353"/>
      <c r="I80" s="51"/>
      <c r="J80" s="51"/>
    </row>
    <row r="81" spans="1:10" x14ac:dyDescent="0.2">
      <c r="A81" s="49">
        <f t="shared" si="2"/>
        <v>44901</v>
      </c>
      <c r="B81" s="50" t="s">
        <v>161</v>
      </c>
      <c r="C81" s="353"/>
      <c r="D81" s="353"/>
      <c r="E81" s="353"/>
      <c r="F81" s="353"/>
      <c r="G81" s="353"/>
      <c r="H81" s="353"/>
      <c r="I81" s="51"/>
      <c r="J81" s="51"/>
    </row>
    <row r="82" spans="1:10" x14ac:dyDescent="0.2">
      <c r="A82" s="49">
        <f t="shared" si="2"/>
        <v>44902</v>
      </c>
      <c r="B82" s="50" t="s">
        <v>162</v>
      </c>
      <c r="C82" s="353"/>
      <c r="D82" s="353"/>
      <c r="E82" s="353"/>
      <c r="F82" s="353"/>
      <c r="G82" s="353"/>
      <c r="H82" s="353"/>
      <c r="I82" s="51"/>
      <c r="J82" s="51"/>
    </row>
    <row r="83" spans="1:10" x14ac:dyDescent="0.2">
      <c r="A83" s="61">
        <f t="shared" si="2"/>
        <v>44903</v>
      </c>
      <c r="B83" s="62" t="s">
        <v>163</v>
      </c>
      <c r="C83" s="429"/>
      <c r="D83" s="429"/>
      <c r="E83" s="429"/>
      <c r="F83" s="429"/>
      <c r="G83" s="429"/>
      <c r="H83" s="429"/>
      <c r="I83" s="63"/>
      <c r="J83" s="63"/>
    </row>
    <row r="84" spans="1:10" x14ac:dyDescent="0.2">
      <c r="A84" s="49">
        <f t="shared" si="2"/>
        <v>44904</v>
      </c>
      <c r="B84" s="50" t="s">
        <v>164</v>
      </c>
      <c r="C84" s="353"/>
      <c r="D84" s="353"/>
      <c r="E84" s="353"/>
      <c r="F84" s="353"/>
      <c r="G84" s="353"/>
      <c r="H84" s="353"/>
      <c r="I84" s="51"/>
      <c r="J84" s="51"/>
    </row>
    <row r="85" spans="1:10" x14ac:dyDescent="0.2">
      <c r="A85" s="49">
        <f t="shared" si="2"/>
        <v>44905</v>
      </c>
      <c r="B85" s="50" t="s">
        <v>165</v>
      </c>
      <c r="C85" s="353"/>
      <c r="D85" s="353"/>
      <c r="E85" s="353"/>
      <c r="F85" s="353"/>
      <c r="G85" s="353"/>
      <c r="H85" s="353"/>
      <c r="I85" s="51"/>
      <c r="J85" s="51"/>
    </row>
    <row r="86" spans="1:10" x14ac:dyDescent="0.2">
      <c r="A86" s="49">
        <f t="shared" si="2"/>
        <v>44906</v>
      </c>
      <c r="B86" s="50" t="s">
        <v>166</v>
      </c>
      <c r="C86" s="353"/>
      <c r="D86" s="353"/>
      <c r="E86" s="353"/>
      <c r="F86" s="353"/>
      <c r="G86" s="353"/>
      <c r="H86" s="353"/>
      <c r="I86" s="51"/>
      <c r="J86" s="51"/>
    </row>
    <row r="87" spans="1:10" x14ac:dyDescent="0.2">
      <c r="A87" s="49">
        <f t="shared" si="2"/>
        <v>44907</v>
      </c>
      <c r="B87" s="50" t="s">
        <v>167</v>
      </c>
      <c r="C87" s="353"/>
      <c r="D87" s="353"/>
      <c r="E87" s="353"/>
      <c r="F87" s="353"/>
      <c r="G87" s="353"/>
      <c r="H87" s="353"/>
      <c r="I87" s="51"/>
      <c r="J87" s="51"/>
    </row>
    <row r="88" spans="1:10" x14ac:dyDescent="0.2">
      <c r="A88" s="49">
        <f t="shared" si="2"/>
        <v>44908</v>
      </c>
      <c r="B88" s="50" t="s">
        <v>161</v>
      </c>
      <c r="C88" s="353"/>
      <c r="D88" s="353"/>
      <c r="E88" s="353"/>
      <c r="F88" s="353"/>
      <c r="G88" s="353"/>
      <c r="H88" s="353"/>
      <c r="I88" s="51"/>
      <c r="J88" s="51"/>
    </row>
    <row r="89" spans="1:10" x14ac:dyDescent="0.2">
      <c r="A89" s="49">
        <f t="shared" si="2"/>
        <v>44909</v>
      </c>
      <c r="B89" s="50" t="s">
        <v>162</v>
      </c>
      <c r="C89" s="353"/>
      <c r="D89" s="353"/>
      <c r="E89" s="353"/>
      <c r="F89" s="353"/>
      <c r="G89" s="353"/>
      <c r="H89" s="353"/>
      <c r="I89" s="51"/>
      <c r="J89" s="51"/>
    </row>
    <row r="90" spans="1:10" x14ac:dyDescent="0.2">
      <c r="A90" s="49">
        <f t="shared" si="2"/>
        <v>44910</v>
      </c>
      <c r="B90" s="50" t="s">
        <v>163</v>
      </c>
      <c r="C90" s="353"/>
      <c r="D90" s="353"/>
      <c r="E90" s="353"/>
      <c r="F90" s="353"/>
      <c r="G90" s="353"/>
      <c r="H90" s="353"/>
      <c r="I90" s="51"/>
      <c r="J90" s="51"/>
    </row>
    <row r="91" spans="1:10" x14ac:dyDescent="0.2">
      <c r="A91" s="49">
        <f t="shared" si="2"/>
        <v>44911</v>
      </c>
      <c r="B91" s="50" t="s">
        <v>164</v>
      </c>
      <c r="C91" s="353"/>
      <c r="D91" s="353"/>
      <c r="E91" s="353"/>
      <c r="F91" s="353"/>
      <c r="G91" s="353"/>
      <c r="H91" s="353"/>
      <c r="I91" s="51"/>
      <c r="J91" s="51"/>
    </row>
    <row r="92" spans="1:10" x14ac:dyDescent="0.2">
      <c r="A92" s="49">
        <f t="shared" si="2"/>
        <v>44912</v>
      </c>
      <c r="B92" s="50" t="s">
        <v>165</v>
      </c>
      <c r="C92" s="353"/>
      <c r="D92" s="353"/>
      <c r="E92" s="353"/>
      <c r="F92" s="353"/>
      <c r="G92" s="353"/>
      <c r="H92" s="353"/>
      <c r="I92" s="51"/>
      <c r="J92" s="51"/>
    </row>
    <row r="93" spans="1:10" x14ac:dyDescent="0.2">
      <c r="A93" s="49">
        <f t="shared" si="2"/>
        <v>44913</v>
      </c>
      <c r="B93" s="50" t="s">
        <v>166</v>
      </c>
      <c r="C93" s="353"/>
      <c r="D93" s="353"/>
      <c r="E93" s="353"/>
      <c r="F93" s="353"/>
      <c r="G93" s="353"/>
      <c r="H93" s="353"/>
      <c r="I93" s="51"/>
      <c r="J93" s="51"/>
    </row>
    <row r="94" spans="1:10" x14ac:dyDescent="0.2">
      <c r="A94" s="49">
        <f t="shared" si="2"/>
        <v>44914</v>
      </c>
      <c r="B94" s="50" t="s">
        <v>167</v>
      </c>
      <c r="C94" s="353"/>
      <c r="D94" s="353"/>
      <c r="E94" s="353"/>
      <c r="F94" s="353"/>
      <c r="G94" s="353"/>
      <c r="H94" s="353"/>
      <c r="I94" s="51"/>
      <c r="J94" s="51"/>
    </row>
    <row r="95" spans="1:10" x14ac:dyDescent="0.2">
      <c r="A95" s="49">
        <f t="shared" si="2"/>
        <v>44915</v>
      </c>
      <c r="B95" s="50" t="s">
        <v>161</v>
      </c>
      <c r="C95" s="353"/>
      <c r="D95" s="353"/>
      <c r="E95" s="353"/>
      <c r="F95" s="353"/>
      <c r="G95" s="353"/>
      <c r="H95" s="353"/>
      <c r="I95" s="51"/>
      <c r="J95" s="51"/>
    </row>
    <row r="96" spans="1:10" x14ac:dyDescent="0.2">
      <c r="A96" s="49">
        <f t="shared" si="2"/>
        <v>44916</v>
      </c>
      <c r="B96" s="50" t="s">
        <v>162</v>
      </c>
      <c r="C96" s="353"/>
      <c r="D96" s="353"/>
      <c r="E96" s="353"/>
      <c r="F96" s="353"/>
      <c r="G96" s="353"/>
      <c r="H96" s="353"/>
      <c r="I96" s="51"/>
      <c r="J96" s="51"/>
    </row>
    <row r="97" spans="1:21" x14ac:dyDescent="0.2">
      <c r="A97" s="49">
        <f t="shared" si="2"/>
        <v>44917</v>
      </c>
      <c r="B97" s="50" t="s">
        <v>163</v>
      </c>
      <c r="C97" s="353"/>
      <c r="D97" s="353"/>
      <c r="E97" s="353"/>
      <c r="F97" s="353"/>
      <c r="G97" s="353"/>
      <c r="H97" s="353"/>
      <c r="I97" s="51"/>
      <c r="J97" s="51"/>
    </row>
    <row r="98" spans="1:21" x14ac:dyDescent="0.2">
      <c r="A98" s="49">
        <f t="shared" si="2"/>
        <v>44918</v>
      </c>
      <c r="B98" s="50" t="s">
        <v>164</v>
      </c>
      <c r="C98" s="353"/>
      <c r="D98" s="353"/>
      <c r="E98" s="353"/>
      <c r="F98" s="353"/>
      <c r="G98" s="353"/>
      <c r="H98" s="353"/>
      <c r="I98" s="51"/>
      <c r="J98" s="51"/>
    </row>
    <row r="99" spans="1:21" x14ac:dyDescent="0.2">
      <c r="A99" s="49">
        <f t="shared" si="2"/>
        <v>44919</v>
      </c>
      <c r="B99" s="50" t="s">
        <v>165</v>
      </c>
      <c r="C99" s="353"/>
      <c r="D99" s="353"/>
      <c r="E99" s="353"/>
      <c r="F99" s="353"/>
      <c r="G99" s="353"/>
      <c r="H99" s="353"/>
      <c r="I99" s="51"/>
      <c r="J99" s="51"/>
    </row>
    <row r="100" spans="1:21" x14ac:dyDescent="0.2">
      <c r="A100" s="61">
        <f t="shared" si="2"/>
        <v>44920</v>
      </c>
      <c r="B100" s="62" t="s">
        <v>166</v>
      </c>
      <c r="C100" s="429"/>
      <c r="D100" s="429"/>
      <c r="E100" s="429"/>
      <c r="F100" s="429"/>
      <c r="G100" s="429"/>
      <c r="H100" s="429"/>
      <c r="I100" s="63"/>
      <c r="J100" s="63"/>
    </row>
    <row r="101" spans="1:21" x14ac:dyDescent="0.2">
      <c r="A101" s="49">
        <f t="shared" si="2"/>
        <v>44921</v>
      </c>
      <c r="B101" s="50" t="s">
        <v>167</v>
      </c>
      <c r="C101" s="353"/>
      <c r="D101" s="353"/>
      <c r="E101" s="353"/>
      <c r="F101" s="353"/>
      <c r="G101" s="353"/>
      <c r="H101" s="353"/>
      <c r="I101" s="51"/>
      <c r="J101" s="51"/>
    </row>
    <row r="102" spans="1:21" x14ac:dyDescent="0.2">
      <c r="A102" s="49">
        <f t="shared" si="2"/>
        <v>44922</v>
      </c>
      <c r="B102" s="50" t="s">
        <v>161</v>
      </c>
      <c r="C102" s="353"/>
      <c r="D102" s="353"/>
      <c r="E102" s="353"/>
      <c r="F102" s="353"/>
      <c r="G102" s="353"/>
      <c r="H102" s="353"/>
      <c r="I102" s="51"/>
      <c r="J102" s="51"/>
    </row>
    <row r="103" spans="1:21" x14ac:dyDescent="0.2">
      <c r="A103" s="49">
        <f t="shared" si="2"/>
        <v>44923</v>
      </c>
      <c r="B103" s="50" t="s">
        <v>162</v>
      </c>
      <c r="C103" s="353"/>
      <c r="D103" s="353"/>
      <c r="E103" s="353"/>
      <c r="F103" s="353"/>
      <c r="G103" s="353"/>
      <c r="H103" s="353"/>
      <c r="I103" s="51"/>
      <c r="J103" s="51"/>
    </row>
    <row r="104" spans="1:21" x14ac:dyDescent="0.2">
      <c r="A104" s="49">
        <f t="shared" si="2"/>
        <v>44924</v>
      </c>
      <c r="B104" s="50" t="s">
        <v>163</v>
      </c>
      <c r="C104" s="353"/>
      <c r="D104" s="353"/>
      <c r="E104" s="353"/>
      <c r="F104" s="353"/>
      <c r="G104" s="353"/>
      <c r="H104" s="353"/>
      <c r="I104" s="51"/>
      <c r="J104" s="51"/>
    </row>
    <row r="105" spans="1:21" x14ac:dyDescent="0.2">
      <c r="A105" s="49">
        <f t="shared" si="2"/>
        <v>44925</v>
      </c>
      <c r="B105" s="50" t="s">
        <v>164</v>
      </c>
      <c r="C105" s="353"/>
      <c r="D105" s="353"/>
      <c r="E105" s="353"/>
      <c r="F105" s="353"/>
      <c r="G105" s="353"/>
      <c r="H105" s="353"/>
      <c r="I105" s="51"/>
      <c r="J105" s="51"/>
    </row>
    <row r="106" spans="1:21" x14ac:dyDescent="0.2">
      <c r="A106" s="49">
        <f t="shared" si="2"/>
        <v>44926</v>
      </c>
      <c r="B106" s="50" t="s">
        <v>165</v>
      </c>
      <c r="C106" s="353"/>
      <c r="D106" s="353"/>
      <c r="E106" s="353"/>
      <c r="F106" s="353"/>
      <c r="G106" s="353"/>
      <c r="H106" s="353"/>
      <c r="I106" s="51"/>
      <c r="J106" s="51"/>
    </row>
    <row r="107" spans="1:21" x14ac:dyDescent="0.2">
      <c r="A107" s="32"/>
      <c r="I107" s="8"/>
      <c r="J107" s="8"/>
      <c r="R107" s="21"/>
      <c r="S107" s="21"/>
      <c r="T107" s="8"/>
      <c r="U107" s="8"/>
    </row>
    <row r="108" spans="1:21" x14ac:dyDescent="0.2">
      <c r="A108" s="367" t="s">
        <v>207</v>
      </c>
      <c r="B108" s="368"/>
      <c r="C108" s="368"/>
      <c r="D108" s="368"/>
      <c r="I108" s="8"/>
      <c r="J108" s="8"/>
      <c r="R108" s="21"/>
      <c r="S108" s="21"/>
      <c r="T108" s="8"/>
      <c r="U108" s="8"/>
    </row>
    <row r="109" spans="1:21" x14ac:dyDescent="0.2">
      <c r="A109" s="52">
        <f>COUNTIF($I$76:$I$109,B109)</f>
        <v>0</v>
      </c>
      <c r="B109" s="53" t="s">
        <v>208</v>
      </c>
      <c r="C109" s="370" t="s">
        <v>209</v>
      </c>
      <c r="D109" s="370"/>
      <c r="I109" s="8"/>
      <c r="J109" s="8"/>
      <c r="R109" s="21"/>
      <c r="S109" s="21"/>
      <c r="T109" s="8"/>
      <c r="U109" s="8"/>
    </row>
    <row r="110" spans="1:21" x14ac:dyDescent="0.2">
      <c r="A110" s="52">
        <f t="shared" ref="A110:A119" si="3">COUNTIF($I$76:$I$109,B110)</f>
        <v>0</v>
      </c>
      <c r="B110" s="53" t="s">
        <v>172</v>
      </c>
      <c r="C110" s="370" t="s">
        <v>210</v>
      </c>
      <c r="D110" s="370"/>
      <c r="I110" s="8"/>
      <c r="J110" s="8"/>
      <c r="R110" s="21"/>
      <c r="S110" s="21"/>
      <c r="T110" s="8"/>
      <c r="U110" s="8"/>
    </row>
    <row r="111" spans="1:21" x14ac:dyDescent="0.2">
      <c r="A111" s="52">
        <f t="shared" si="3"/>
        <v>0</v>
      </c>
      <c r="B111" s="53" t="s">
        <v>169</v>
      </c>
      <c r="C111" s="370" t="s">
        <v>211</v>
      </c>
      <c r="D111" s="370"/>
      <c r="I111" s="8"/>
      <c r="J111" s="8"/>
      <c r="R111" s="21"/>
      <c r="S111" s="21"/>
      <c r="T111" s="8"/>
      <c r="U111" s="8"/>
    </row>
    <row r="112" spans="1:21" x14ac:dyDescent="0.2">
      <c r="A112" s="52">
        <f t="shared" si="3"/>
        <v>0</v>
      </c>
      <c r="B112" s="53" t="s">
        <v>181</v>
      </c>
      <c r="C112" s="370" t="s">
        <v>212</v>
      </c>
      <c r="D112" s="370"/>
      <c r="I112" s="8"/>
      <c r="J112" s="8"/>
      <c r="R112" s="21"/>
      <c r="S112" s="21"/>
      <c r="T112" s="8"/>
      <c r="U112" s="8"/>
    </row>
    <row r="113" spans="1:21" x14ac:dyDescent="0.2">
      <c r="A113" s="52">
        <f t="shared" si="3"/>
        <v>0</v>
      </c>
      <c r="B113" s="53" t="s">
        <v>183</v>
      </c>
      <c r="C113" s="370" t="s">
        <v>213</v>
      </c>
      <c r="D113" s="370"/>
      <c r="I113" s="8"/>
      <c r="J113" s="8"/>
      <c r="R113" s="21"/>
      <c r="S113" s="21"/>
      <c r="T113" s="8"/>
      <c r="U113" s="8"/>
    </row>
    <row r="114" spans="1:21" x14ac:dyDescent="0.2">
      <c r="A114" s="52">
        <f t="shared" si="3"/>
        <v>0</v>
      </c>
      <c r="B114" s="53" t="s">
        <v>214</v>
      </c>
      <c r="C114" s="370" t="s">
        <v>215</v>
      </c>
      <c r="D114" s="370"/>
      <c r="I114" s="8"/>
      <c r="J114" s="8"/>
      <c r="R114" s="21"/>
      <c r="S114" s="21"/>
      <c r="T114" s="8"/>
      <c r="U114" s="8"/>
    </row>
    <row r="115" spans="1:21" x14ac:dyDescent="0.2">
      <c r="A115" s="52">
        <f t="shared" si="3"/>
        <v>0</v>
      </c>
      <c r="B115" s="53" t="s">
        <v>216</v>
      </c>
      <c r="C115" s="370" t="s">
        <v>217</v>
      </c>
      <c r="D115" s="370"/>
      <c r="I115" s="8"/>
      <c r="J115" s="8"/>
      <c r="R115" s="21"/>
      <c r="S115" s="21"/>
      <c r="T115" s="8"/>
      <c r="U115" s="8"/>
    </row>
    <row r="116" spans="1:21" x14ac:dyDescent="0.2">
      <c r="A116" s="52">
        <f t="shared" si="3"/>
        <v>0</v>
      </c>
      <c r="B116" s="53" t="s">
        <v>218</v>
      </c>
      <c r="C116" s="371" t="s">
        <v>219</v>
      </c>
      <c r="D116" s="372"/>
      <c r="I116" s="8"/>
      <c r="J116" s="8"/>
      <c r="R116" s="21"/>
      <c r="S116" s="21"/>
      <c r="T116" s="8"/>
      <c r="U116" s="8"/>
    </row>
    <row r="117" spans="1:21" x14ac:dyDescent="0.2">
      <c r="A117" s="52">
        <f t="shared" si="3"/>
        <v>0</v>
      </c>
      <c r="B117" s="53" t="s">
        <v>220</v>
      </c>
      <c r="C117" s="370" t="s">
        <v>221</v>
      </c>
      <c r="D117" s="370"/>
      <c r="I117" s="8"/>
      <c r="J117" s="8"/>
    </row>
    <row r="118" spans="1:21" x14ac:dyDescent="0.2">
      <c r="A118" s="52">
        <f>COUNTIF($I$76:$I$109,B118)</f>
        <v>0</v>
      </c>
      <c r="B118" s="53" t="s">
        <v>178</v>
      </c>
      <c r="C118" s="370" t="s">
        <v>222</v>
      </c>
      <c r="D118" s="370"/>
      <c r="I118" s="8"/>
      <c r="J118" s="8"/>
    </row>
    <row r="119" spans="1:21" x14ac:dyDescent="0.2">
      <c r="A119" s="52">
        <f t="shared" si="3"/>
        <v>0</v>
      </c>
      <c r="B119" s="53" t="s">
        <v>223</v>
      </c>
      <c r="C119" s="370" t="s">
        <v>224</v>
      </c>
      <c r="D119" s="370"/>
      <c r="I119" s="8"/>
      <c r="J119" s="8"/>
    </row>
    <row r="120" spans="1:21" x14ac:dyDescent="0.2">
      <c r="A120" s="54"/>
      <c r="B120" s="55"/>
      <c r="C120" s="56"/>
      <c r="D120" s="56"/>
      <c r="I120" s="8"/>
      <c r="J120" s="8"/>
    </row>
    <row r="121" spans="1:21" x14ac:dyDescent="0.2">
      <c r="A121" s="54"/>
      <c r="B121" s="55"/>
      <c r="C121" s="56"/>
      <c r="D121" s="56"/>
      <c r="I121" s="8"/>
      <c r="J121" s="8"/>
    </row>
    <row r="122" spans="1:21" x14ac:dyDescent="0.2">
      <c r="A122" s="54"/>
      <c r="B122" s="55"/>
      <c r="C122" s="56"/>
      <c r="D122" s="56"/>
      <c r="I122" s="8"/>
      <c r="J122" s="8"/>
    </row>
    <row r="123" spans="1:21" x14ac:dyDescent="0.2">
      <c r="A123" s="54"/>
      <c r="B123" s="55"/>
      <c r="C123" s="56"/>
      <c r="D123" s="56"/>
      <c r="I123" s="8"/>
      <c r="J123" s="8"/>
    </row>
    <row r="124" spans="1:21" x14ac:dyDescent="0.2">
      <c r="A124" s="32"/>
      <c r="I124" s="8"/>
      <c r="J124" s="8"/>
    </row>
    <row r="125" spans="1:21" x14ac:dyDescent="0.2">
      <c r="A125" s="367" t="s">
        <v>225</v>
      </c>
      <c r="B125" s="368"/>
      <c r="C125" s="368"/>
      <c r="D125" s="368"/>
      <c r="I125" s="8"/>
      <c r="J125" s="8"/>
    </row>
    <row r="126" spans="1:21" x14ac:dyDescent="0.2">
      <c r="A126" s="52">
        <f>COUNTIF($J$76:$J$109,B126)</f>
        <v>0</v>
      </c>
      <c r="B126" s="52" t="s">
        <v>170</v>
      </c>
      <c r="C126" s="356" t="s">
        <v>226</v>
      </c>
      <c r="D126" s="356"/>
      <c r="I126" s="8"/>
      <c r="J126" s="8"/>
    </row>
    <row r="127" spans="1:21" x14ac:dyDescent="0.2">
      <c r="A127" s="52">
        <f t="shared" ref="A127:A138" si="4">COUNTIF($J$76:$J$109,B127)</f>
        <v>0</v>
      </c>
      <c r="B127" s="52" t="s">
        <v>191</v>
      </c>
      <c r="C127" s="356" t="s">
        <v>227</v>
      </c>
      <c r="D127" s="356"/>
      <c r="I127" s="8"/>
      <c r="J127" s="8"/>
    </row>
    <row r="128" spans="1:21" x14ac:dyDescent="0.2">
      <c r="A128" s="52">
        <f t="shared" si="4"/>
        <v>0</v>
      </c>
      <c r="B128" s="52" t="s">
        <v>179</v>
      </c>
      <c r="C128" s="356" t="s">
        <v>228</v>
      </c>
      <c r="D128" s="356"/>
      <c r="I128" s="8"/>
      <c r="J128" s="8"/>
    </row>
    <row r="129" spans="1:10" x14ac:dyDescent="0.2">
      <c r="A129" s="52">
        <f t="shared" si="4"/>
        <v>0</v>
      </c>
      <c r="B129" s="52" t="s">
        <v>229</v>
      </c>
      <c r="C129" s="356" t="s">
        <v>230</v>
      </c>
      <c r="D129" s="356"/>
      <c r="I129" s="8"/>
      <c r="J129" s="8"/>
    </row>
    <row r="130" spans="1:10" x14ac:dyDescent="0.2">
      <c r="A130" s="52">
        <f t="shared" si="4"/>
        <v>0</v>
      </c>
      <c r="B130" s="52" t="s">
        <v>174</v>
      </c>
      <c r="C130" s="356" t="s">
        <v>231</v>
      </c>
      <c r="D130" s="356"/>
      <c r="I130" s="8"/>
      <c r="J130" s="8"/>
    </row>
    <row r="131" spans="1:10" x14ac:dyDescent="0.2">
      <c r="A131" s="52">
        <f t="shared" si="4"/>
        <v>0</v>
      </c>
      <c r="B131" s="52" t="s">
        <v>232</v>
      </c>
      <c r="C131" s="356" t="s">
        <v>233</v>
      </c>
      <c r="D131" s="356"/>
      <c r="I131" s="8"/>
      <c r="J131" s="8"/>
    </row>
    <row r="132" spans="1:10" x14ac:dyDescent="0.2">
      <c r="A132" s="52">
        <f t="shared" si="4"/>
        <v>0</v>
      </c>
      <c r="B132" s="52" t="s">
        <v>187</v>
      </c>
      <c r="C132" s="356" t="s">
        <v>234</v>
      </c>
      <c r="D132" s="356"/>
      <c r="I132" s="8"/>
      <c r="J132" s="8"/>
    </row>
    <row r="133" spans="1:10" x14ac:dyDescent="0.2">
      <c r="A133" s="52">
        <f t="shared" si="4"/>
        <v>0</v>
      </c>
      <c r="B133" s="52" t="s">
        <v>235</v>
      </c>
      <c r="C133" s="356" t="s">
        <v>236</v>
      </c>
      <c r="D133" s="356"/>
      <c r="I133" s="8"/>
      <c r="J133" s="8"/>
    </row>
    <row r="134" spans="1:10" x14ac:dyDescent="0.2">
      <c r="A134" s="52">
        <f t="shared" si="4"/>
        <v>0</v>
      </c>
      <c r="B134" s="52" t="s">
        <v>185</v>
      </c>
      <c r="C134" s="356" t="s">
        <v>237</v>
      </c>
      <c r="D134" s="356"/>
      <c r="I134" s="8"/>
      <c r="J134" s="8"/>
    </row>
    <row r="135" spans="1:10" x14ac:dyDescent="0.2">
      <c r="A135" s="52">
        <f t="shared" si="4"/>
        <v>0</v>
      </c>
      <c r="B135" s="52" t="s">
        <v>238</v>
      </c>
      <c r="C135" s="356" t="s">
        <v>239</v>
      </c>
      <c r="D135" s="356"/>
      <c r="I135" s="8"/>
      <c r="J135" s="8"/>
    </row>
    <row r="136" spans="1:10" x14ac:dyDescent="0.2">
      <c r="A136" s="52">
        <f>COUNTIF($J$76:$J$109,B136)</f>
        <v>0</v>
      </c>
      <c r="B136" s="52" t="s">
        <v>240</v>
      </c>
      <c r="C136" s="356" t="s">
        <v>241</v>
      </c>
      <c r="D136" s="356"/>
      <c r="I136" s="8"/>
      <c r="J136" s="8"/>
    </row>
    <row r="137" spans="1:10" x14ac:dyDescent="0.2">
      <c r="A137" s="52">
        <f>COUNTIF($J$76:$J$109,B137)</f>
        <v>0</v>
      </c>
      <c r="B137" s="52" t="s">
        <v>242</v>
      </c>
      <c r="C137" s="356" t="s">
        <v>243</v>
      </c>
      <c r="D137" s="356"/>
      <c r="I137" s="8"/>
      <c r="J137" s="8"/>
    </row>
    <row r="138" spans="1:10" x14ac:dyDescent="0.2">
      <c r="A138" s="52">
        <f t="shared" si="4"/>
        <v>0</v>
      </c>
      <c r="B138" s="52" t="s">
        <v>244</v>
      </c>
      <c r="C138" s="356" t="s">
        <v>245</v>
      </c>
      <c r="D138" s="356"/>
      <c r="I138" s="8"/>
      <c r="J138" s="8"/>
    </row>
    <row r="139" spans="1:10" x14ac:dyDescent="0.2">
      <c r="A139" s="32"/>
      <c r="I139" s="8"/>
      <c r="J139" s="8"/>
    </row>
    <row r="140" spans="1:10" x14ac:dyDescent="0.2">
      <c r="A140" s="32"/>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ht="19" x14ac:dyDescent="0.2">
      <c r="A145" s="32"/>
      <c r="C145" s="349" t="s">
        <v>86</v>
      </c>
      <c r="D145" s="350"/>
      <c r="E145" s="350"/>
      <c r="F145" s="350"/>
      <c r="G145" s="351"/>
      <c r="I145" s="8"/>
      <c r="J145" s="8"/>
    </row>
    <row r="146" spans="1:10" ht="32" x14ac:dyDescent="0.2">
      <c r="A146" s="32"/>
      <c r="C146" s="68" t="s">
        <v>87</v>
      </c>
      <c r="D146" s="64" t="s">
        <v>88</v>
      </c>
      <c r="E146" s="64" t="s">
        <v>89</v>
      </c>
      <c r="F146" s="64" t="s">
        <v>90</v>
      </c>
      <c r="G146" s="66" t="s">
        <v>91</v>
      </c>
      <c r="I146" s="8"/>
      <c r="J146" s="8"/>
    </row>
    <row r="147" spans="1:10" x14ac:dyDescent="0.2">
      <c r="A147" s="32"/>
      <c r="C147" s="65"/>
      <c r="D147" s="65"/>
      <c r="E147" s="65"/>
      <c r="F147" s="65"/>
      <c r="G147" s="67">
        <f>SUM(B147:F147)</f>
        <v>0</v>
      </c>
      <c r="I147" s="8"/>
      <c r="J147" s="8"/>
    </row>
    <row r="148" spans="1:10" x14ac:dyDescent="0.2">
      <c r="A148" s="32"/>
      <c r="G148"/>
      <c r="I148" s="8"/>
      <c r="J148" s="8"/>
    </row>
    <row r="149" spans="1:10" x14ac:dyDescent="0.2">
      <c r="A149" s="32"/>
      <c r="I149" s="8"/>
      <c r="J149" s="8"/>
    </row>
    <row r="150" spans="1:10" x14ac:dyDescent="0.2">
      <c r="A150" s="32"/>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row>
    <row r="224" spans="1:10" x14ac:dyDescent="0.2">
      <c r="A224" s="32"/>
    </row>
    <row r="225" spans="1:1" x14ac:dyDescent="0.2">
      <c r="A225" s="32"/>
    </row>
    <row r="226" spans="1:1" x14ac:dyDescent="0.2">
      <c r="A226" s="32"/>
    </row>
    <row r="227" spans="1:1" x14ac:dyDescent="0.2">
      <c r="A227" s="32"/>
    </row>
    <row r="228" spans="1:1" x14ac:dyDescent="0.2">
      <c r="A228" s="32"/>
    </row>
    <row r="229" spans="1:1" x14ac:dyDescent="0.2">
      <c r="A229" s="32"/>
    </row>
    <row r="230" spans="1:1" x14ac:dyDescent="0.2">
      <c r="A230" s="32"/>
    </row>
    <row r="231" spans="1:1" x14ac:dyDescent="0.2">
      <c r="A231" s="32"/>
    </row>
    <row r="232" spans="1:1" x14ac:dyDescent="0.2">
      <c r="A232" s="32"/>
    </row>
    <row r="233" spans="1:1" x14ac:dyDescent="0.2">
      <c r="A233" s="32"/>
    </row>
    <row r="234" spans="1:1" x14ac:dyDescent="0.2">
      <c r="A234" s="32"/>
    </row>
    <row r="235" spans="1:1" x14ac:dyDescent="0.2">
      <c r="A235" s="32"/>
    </row>
    <row r="236" spans="1:1" x14ac:dyDescent="0.2">
      <c r="A236" s="32"/>
    </row>
    <row r="237" spans="1:1" x14ac:dyDescent="0.2">
      <c r="A237" s="32"/>
    </row>
    <row r="238" spans="1:1" x14ac:dyDescent="0.2">
      <c r="A238" s="32"/>
    </row>
    <row r="239" spans="1:1" x14ac:dyDescent="0.2">
      <c r="A239" s="32"/>
    </row>
    <row r="240" spans="1:1" x14ac:dyDescent="0.2">
      <c r="A240" s="32"/>
    </row>
    <row r="241" spans="1:1" x14ac:dyDescent="0.2">
      <c r="A241" s="32"/>
    </row>
    <row r="242" spans="1:1" x14ac:dyDescent="0.2">
      <c r="A242" s="32"/>
    </row>
    <row r="243" spans="1:1" x14ac:dyDescent="0.2">
      <c r="A243" s="32"/>
    </row>
    <row r="244" spans="1:1" x14ac:dyDescent="0.2">
      <c r="A244" s="32"/>
    </row>
    <row r="245" spans="1:1" x14ac:dyDescent="0.2">
      <c r="A245" s="32"/>
    </row>
    <row r="246" spans="1:1" x14ac:dyDescent="0.2">
      <c r="A246" s="32"/>
    </row>
    <row r="247" spans="1:1" x14ac:dyDescent="0.2">
      <c r="A247" s="32"/>
    </row>
    <row r="248" spans="1:1" x14ac:dyDescent="0.2">
      <c r="A248" s="32"/>
    </row>
  </sheetData>
  <autoFilter ref="A1:AH1" xr:uid="{00000000-0001-0000-0800-000000000000}"/>
  <mergeCells count="67">
    <mergeCell ref="AC63:AE63"/>
    <mergeCell ref="AF63:AH63"/>
    <mergeCell ref="C78:H78"/>
    <mergeCell ref="C63:D63"/>
    <mergeCell ref="T63:V63"/>
    <mergeCell ref="W63:Y63"/>
    <mergeCell ref="Z63:AB63"/>
    <mergeCell ref="M64:O64"/>
    <mergeCell ref="H65:I65"/>
    <mergeCell ref="A75:C75"/>
    <mergeCell ref="C76:H76"/>
    <mergeCell ref="C77:H77"/>
    <mergeCell ref="C90:H90"/>
    <mergeCell ref="C79:H79"/>
    <mergeCell ref="C80:H80"/>
    <mergeCell ref="C81:H81"/>
    <mergeCell ref="C82:H82"/>
    <mergeCell ref="C83:H83"/>
    <mergeCell ref="C84:H84"/>
    <mergeCell ref="C85:H85"/>
    <mergeCell ref="C86:H86"/>
    <mergeCell ref="C87:H87"/>
    <mergeCell ref="C88:H88"/>
    <mergeCell ref="C89:H89"/>
    <mergeCell ref="C102:H102"/>
    <mergeCell ref="C91:H91"/>
    <mergeCell ref="C92:H92"/>
    <mergeCell ref="C93:H93"/>
    <mergeCell ref="C94:H94"/>
    <mergeCell ref="C95:H95"/>
    <mergeCell ref="C96:H96"/>
    <mergeCell ref="C97:H97"/>
    <mergeCell ref="C98:H98"/>
    <mergeCell ref="C99:H99"/>
    <mergeCell ref="C100:H100"/>
    <mergeCell ref="C101:H101"/>
    <mergeCell ref="C115:D115"/>
    <mergeCell ref="C103:H103"/>
    <mergeCell ref="C104:H104"/>
    <mergeCell ref="C105:H105"/>
    <mergeCell ref="C106:H106"/>
    <mergeCell ref="A108:D108"/>
    <mergeCell ref="C109:D109"/>
    <mergeCell ref="C110:D110"/>
    <mergeCell ref="C111:D111"/>
    <mergeCell ref="C112:D112"/>
    <mergeCell ref="C113:D113"/>
    <mergeCell ref="C114:D114"/>
    <mergeCell ref="C132:D132"/>
    <mergeCell ref="C116:D116"/>
    <mergeCell ref="C117:D117"/>
    <mergeCell ref="C118:D118"/>
    <mergeCell ref="C119:D119"/>
    <mergeCell ref="A125:D125"/>
    <mergeCell ref="C126:D126"/>
    <mergeCell ref="C127:D127"/>
    <mergeCell ref="C128:D128"/>
    <mergeCell ref="C129:D129"/>
    <mergeCell ref="C130:D130"/>
    <mergeCell ref="C131:D131"/>
    <mergeCell ref="C145:G145"/>
    <mergeCell ref="C133:D133"/>
    <mergeCell ref="C134:D134"/>
    <mergeCell ref="C135:D135"/>
    <mergeCell ref="C136:D136"/>
    <mergeCell ref="C137:D137"/>
    <mergeCell ref="C138:D138"/>
  </mergeCells>
  <dataValidations count="2">
    <dataValidation type="list" allowBlank="1" showInputMessage="1" showErrorMessage="1" sqref="J76:J106" xr:uid="{901FB6FA-F3D1-4424-8B9D-64F9A25594B5}">
      <formula1>$B$125:$B$138</formula1>
    </dataValidation>
    <dataValidation type="list" allowBlank="1" showInputMessage="1" showErrorMessage="1" sqref="I76:I106" xr:uid="{C05F9305-C552-41A5-B071-2193622BB67F}">
      <formula1>$B$109:$B$119</formula1>
    </dataValidation>
  </dataValidation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1EA3D-8A0F-4D28-B240-2B1221825FC5}">
  <sheetPr codeName="Hoja21"/>
  <dimension ref="A1:AP248"/>
  <sheetViews>
    <sheetView zoomScale="85" zoomScaleNormal="85" workbookViewId="0">
      <pane xSplit="11" ySplit="1" topLeftCell="L2"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13.5" style="1" customWidth="1"/>
    <col min="23" max="23" width="4.6640625" style="1" customWidth="1"/>
    <col min="24" max="24" width="13.5" style="1" customWidth="1"/>
    <col min="25" max="25" width="4.6640625" style="1" customWidth="1"/>
    <col min="26" max="26" width="13.5" style="1" customWidth="1"/>
    <col min="27" max="27" width="4.6640625" style="1" customWidth="1"/>
    <col min="28" max="28" width="13.5" style="1" customWidth="1"/>
    <col min="29" max="29" width="13" style="1" bestFit="1" customWidth="1"/>
    <col min="30" max="30" width="4.6640625" style="48" customWidth="1"/>
    <col min="31" max="31" width="11.5" style="48" bestFit="1" customWidth="1"/>
    <col min="32" max="32" width="16.6640625" style="48" bestFit="1" customWidth="1"/>
    <col min="33" max="33" width="4.6640625" style="1" customWidth="1"/>
    <col min="34" max="34" width="11.5" style="1" bestFit="1" customWidth="1"/>
    <col min="35" max="38" width="9.1640625" style="1"/>
    <col min="39" max="39" width="15.5" style="1" bestFit="1" customWidth="1"/>
    <col min="40" max="16384" width="11.5" style="1"/>
  </cols>
  <sheetData>
    <row r="1" spans="1:42"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125</v>
      </c>
      <c r="AO1" s="304" t="s">
        <v>255</v>
      </c>
      <c r="AP1" s="304" t="s">
        <v>257</v>
      </c>
    </row>
    <row r="2" spans="1:42" s="48" customFormat="1" x14ac:dyDescent="0.2">
      <c r="A2" s="209"/>
      <c r="B2" s="8"/>
      <c r="C2" s="8"/>
      <c r="D2" s="8"/>
      <c r="E2" s="8"/>
      <c r="F2" s="8"/>
      <c r="G2" s="8"/>
      <c r="H2" s="8"/>
      <c r="I2" s="8"/>
      <c r="J2" s="37"/>
      <c r="K2" s="19">
        <v>0</v>
      </c>
      <c r="L2" s="198" t="s">
        <v>128</v>
      </c>
      <c r="M2" s="198" t="s">
        <v>128</v>
      </c>
      <c r="N2" s="197" t="s">
        <v>128</v>
      </c>
      <c r="O2" s="195">
        <v>1</v>
      </c>
      <c r="P2" s="45" t="s">
        <v>128</v>
      </c>
      <c r="Q2" s="45" t="s">
        <v>128</v>
      </c>
      <c r="R2" s="45" t="s">
        <v>128</v>
      </c>
      <c r="S2" s="45" t="s">
        <v>128</v>
      </c>
      <c r="T2" s="45" t="s">
        <v>128</v>
      </c>
      <c r="U2" s="45" t="s">
        <v>128</v>
      </c>
      <c r="V2" s="45" t="s">
        <v>128</v>
      </c>
      <c r="W2" s="45" t="s">
        <v>128</v>
      </c>
      <c r="X2" s="45" t="s">
        <v>128</v>
      </c>
      <c r="Y2" s="45" t="s">
        <v>128</v>
      </c>
      <c r="Z2" s="45" t="s">
        <v>128</v>
      </c>
      <c r="AA2" s="45" t="s">
        <v>128</v>
      </c>
      <c r="AB2" s="45" t="s">
        <v>128</v>
      </c>
      <c r="AC2" s="107" t="s">
        <v>128</v>
      </c>
      <c r="AD2" s="107" t="s">
        <v>128</v>
      </c>
      <c r="AE2" s="107" t="s">
        <v>128</v>
      </c>
      <c r="AF2" s="107" t="s">
        <v>128</v>
      </c>
      <c r="AG2" s="107" t="s">
        <v>128</v>
      </c>
      <c r="AH2" s="107" t="s">
        <v>128</v>
      </c>
      <c r="AI2" s="228"/>
      <c r="AJ2" s="228"/>
      <c r="AK2" s="228"/>
      <c r="AL2" s="228"/>
      <c r="AM2" s="228"/>
      <c r="AN2" s="228"/>
      <c r="AO2" s="140"/>
      <c r="AP2" s="140"/>
    </row>
    <row r="3" spans="1:42" s="48" customFormat="1" x14ac:dyDescent="0.2">
      <c r="A3" s="22"/>
      <c r="B3" s="22"/>
      <c r="C3" s="22"/>
      <c r="D3" s="22"/>
      <c r="E3" s="22"/>
      <c r="F3" s="22"/>
      <c r="G3" s="22"/>
      <c r="H3" s="22"/>
      <c r="I3" s="22"/>
      <c r="J3" s="36"/>
      <c r="K3" s="19">
        <v>0</v>
      </c>
      <c r="L3" s="198" t="s">
        <v>128</v>
      </c>
      <c r="M3" s="198" t="s">
        <v>128</v>
      </c>
      <c r="N3" s="197" t="s">
        <v>128</v>
      </c>
      <c r="O3" s="195">
        <v>1</v>
      </c>
      <c r="P3" s="45" t="s">
        <v>128</v>
      </c>
      <c r="Q3" s="45" t="s">
        <v>128</v>
      </c>
      <c r="R3" s="45" t="s">
        <v>128</v>
      </c>
      <c r="S3" s="45" t="s">
        <v>128</v>
      </c>
      <c r="T3" s="45" t="s">
        <v>128</v>
      </c>
      <c r="U3" s="45" t="s">
        <v>128</v>
      </c>
      <c r="V3" s="45" t="s">
        <v>128</v>
      </c>
      <c r="W3" s="45" t="s">
        <v>128</v>
      </c>
      <c r="X3" s="45" t="s">
        <v>128</v>
      </c>
      <c r="Y3" s="45" t="s">
        <v>128</v>
      </c>
      <c r="Z3" s="45" t="s">
        <v>128</v>
      </c>
      <c r="AA3" s="45" t="s">
        <v>128</v>
      </c>
      <c r="AB3" s="45" t="s">
        <v>128</v>
      </c>
      <c r="AC3" s="107" t="s">
        <v>128</v>
      </c>
      <c r="AD3" s="107" t="s">
        <v>128</v>
      </c>
      <c r="AE3" s="107" t="s">
        <v>128</v>
      </c>
      <c r="AF3" s="107" t="s">
        <v>128</v>
      </c>
      <c r="AG3" s="107" t="s">
        <v>128</v>
      </c>
      <c r="AH3" s="107" t="s">
        <v>128</v>
      </c>
      <c r="AI3" s="228"/>
      <c r="AJ3" s="228"/>
      <c r="AK3" s="228"/>
      <c r="AL3" s="228"/>
      <c r="AM3" s="228"/>
      <c r="AN3" s="228"/>
      <c r="AO3" s="140"/>
      <c r="AP3" s="140"/>
    </row>
    <row r="4" spans="1:42" s="48" customFormat="1" x14ac:dyDescent="0.2">
      <c r="A4" s="209"/>
      <c r="B4" s="8"/>
      <c r="C4" s="8"/>
      <c r="D4" s="8"/>
      <c r="E4" s="8"/>
      <c r="F4" s="8"/>
      <c r="G4" s="8"/>
      <c r="H4" s="8"/>
      <c r="I4" s="8"/>
      <c r="J4" s="37"/>
      <c r="K4" s="19">
        <v>0</v>
      </c>
      <c r="L4" s="198" t="s">
        <v>128</v>
      </c>
      <c r="M4" s="198" t="s">
        <v>128</v>
      </c>
      <c r="N4" s="197" t="s">
        <v>128</v>
      </c>
      <c r="O4" s="195">
        <v>1</v>
      </c>
      <c r="P4" s="45" t="s">
        <v>128</v>
      </c>
      <c r="Q4" s="45" t="s">
        <v>128</v>
      </c>
      <c r="R4" s="45" t="s">
        <v>128</v>
      </c>
      <c r="S4" s="45" t="s">
        <v>128</v>
      </c>
      <c r="T4" s="45" t="s">
        <v>128</v>
      </c>
      <c r="U4" s="45" t="s">
        <v>128</v>
      </c>
      <c r="V4" s="45" t="s">
        <v>128</v>
      </c>
      <c r="W4" s="45" t="s">
        <v>128</v>
      </c>
      <c r="X4" s="45" t="s">
        <v>128</v>
      </c>
      <c r="Y4" s="45" t="s">
        <v>128</v>
      </c>
      <c r="Z4" s="45" t="s">
        <v>128</v>
      </c>
      <c r="AA4" s="45" t="s">
        <v>128</v>
      </c>
      <c r="AB4" s="45" t="s">
        <v>128</v>
      </c>
      <c r="AC4" s="107" t="s">
        <v>128</v>
      </c>
      <c r="AD4" s="107" t="s">
        <v>128</v>
      </c>
      <c r="AE4" s="107" t="s">
        <v>128</v>
      </c>
      <c r="AF4" s="107" t="s">
        <v>128</v>
      </c>
      <c r="AG4" s="107" t="s">
        <v>128</v>
      </c>
      <c r="AH4" s="107" t="s">
        <v>128</v>
      </c>
      <c r="AI4" s="228"/>
      <c r="AJ4" s="228"/>
      <c r="AK4" s="228"/>
      <c r="AL4" s="228"/>
      <c r="AM4" s="228"/>
      <c r="AN4" s="228"/>
      <c r="AO4" s="140"/>
      <c r="AP4" s="140"/>
    </row>
    <row r="5" spans="1:42" s="48" customFormat="1" x14ac:dyDescent="0.2">
      <c r="A5" s="22"/>
      <c r="B5" s="22"/>
      <c r="C5" s="22"/>
      <c r="D5" s="22"/>
      <c r="E5" s="22"/>
      <c r="F5" s="22"/>
      <c r="G5" s="22"/>
      <c r="H5" s="22"/>
      <c r="I5" s="22"/>
      <c r="J5" s="36"/>
      <c r="K5" s="19">
        <v>0</v>
      </c>
      <c r="L5" s="198" t="s">
        <v>128</v>
      </c>
      <c r="M5" s="198" t="s">
        <v>128</v>
      </c>
      <c r="N5" s="197" t="s">
        <v>128</v>
      </c>
      <c r="O5" s="195">
        <v>1</v>
      </c>
      <c r="P5" s="45" t="s">
        <v>128</v>
      </c>
      <c r="Q5" s="45" t="s">
        <v>128</v>
      </c>
      <c r="R5" s="45" t="s">
        <v>128</v>
      </c>
      <c r="S5" s="45" t="s">
        <v>128</v>
      </c>
      <c r="T5" s="45" t="s">
        <v>128</v>
      </c>
      <c r="U5" s="45" t="s">
        <v>128</v>
      </c>
      <c r="V5" s="45" t="s">
        <v>128</v>
      </c>
      <c r="W5" s="45" t="s">
        <v>128</v>
      </c>
      <c r="X5" s="45" t="s">
        <v>128</v>
      </c>
      <c r="Y5" s="45" t="s">
        <v>128</v>
      </c>
      <c r="Z5" s="45" t="s">
        <v>128</v>
      </c>
      <c r="AA5" s="45" t="s">
        <v>128</v>
      </c>
      <c r="AB5" s="45" t="s">
        <v>128</v>
      </c>
      <c r="AC5" s="107" t="s">
        <v>128</v>
      </c>
      <c r="AD5" s="107" t="s">
        <v>128</v>
      </c>
      <c r="AE5" s="107" t="s">
        <v>128</v>
      </c>
      <c r="AF5" s="107" t="s">
        <v>128</v>
      </c>
      <c r="AG5" s="107" t="s">
        <v>128</v>
      </c>
      <c r="AH5" s="107" t="s">
        <v>128</v>
      </c>
      <c r="AI5" s="228"/>
      <c r="AJ5" s="228"/>
      <c r="AK5" s="228"/>
      <c r="AL5" s="228"/>
      <c r="AM5" s="228"/>
      <c r="AN5" s="228"/>
      <c r="AO5" s="140"/>
      <c r="AP5" s="140"/>
    </row>
    <row r="6" spans="1:42" s="48" customFormat="1" x14ac:dyDescent="0.2">
      <c r="A6" s="209"/>
      <c r="B6" s="8"/>
      <c r="C6" s="8"/>
      <c r="D6" s="8"/>
      <c r="E6" s="8"/>
      <c r="F6" s="8"/>
      <c r="G6" s="8"/>
      <c r="H6" s="8"/>
      <c r="I6" s="8"/>
      <c r="J6" s="37"/>
      <c r="K6" s="19">
        <v>0</v>
      </c>
      <c r="L6" s="198" t="s">
        <v>128</v>
      </c>
      <c r="M6" s="198" t="s">
        <v>128</v>
      </c>
      <c r="N6" s="197" t="s">
        <v>128</v>
      </c>
      <c r="O6" s="195">
        <v>1</v>
      </c>
      <c r="P6" s="45" t="s">
        <v>128</v>
      </c>
      <c r="Q6" s="45" t="s">
        <v>128</v>
      </c>
      <c r="R6" s="45" t="s">
        <v>128</v>
      </c>
      <c r="S6" s="45" t="s">
        <v>128</v>
      </c>
      <c r="T6" s="45" t="s">
        <v>128</v>
      </c>
      <c r="U6" s="45" t="s">
        <v>128</v>
      </c>
      <c r="V6" s="45" t="s">
        <v>128</v>
      </c>
      <c r="W6" s="45" t="s">
        <v>128</v>
      </c>
      <c r="X6" s="45" t="s">
        <v>128</v>
      </c>
      <c r="Y6" s="45" t="s">
        <v>128</v>
      </c>
      <c r="Z6" s="45" t="s">
        <v>128</v>
      </c>
      <c r="AA6" s="45" t="s">
        <v>128</v>
      </c>
      <c r="AB6" s="45" t="s">
        <v>128</v>
      </c>
      <c r="AC6" s="107" t="s">
        <v>128</v>
      </c>
      <c r="AD6" s="107" t="s">
        <v>128</v>
      </c>
      <c r="AE6" s="107" t="s">
        <v>128</v>
      </c>
      <c r="AF6" s="107" t="s">
        <v>128</v>
      </c>
      <c r="AG6" s="107" t="s">
        <v>128</v>
      </c>
      <c r="AH6" s="107" t="s">
        <v>128</v>
      </c>
      <c r="AI6" s="228"/>
      <c r="AJ6" s="228"/>
      <c r="AK6" s="228"/>
      <c r="AL6" s="228"/>
      <c r="AM6" s="228"/>
      <c r="AN6" s="228"/>
      <c r="AO6" s="140"/>
      <c r="AP6" s="140"/>
    </row>
    <row r="7" spans="1:42" s="48" customFormat="1" x14ac:dyDescent="0.2">
      <c r="A7" s="22"/>
      <c r="B7" s="22"/>
      <c r="C7" s="22"/>
      <c r="D7" s="22"/>
      <c r="E7" s="22"/>
      <c r="F7" s="22"/>
      <c r="G7" s="22"/>
      <c r="H7" s="22"/>
      <c r="I7" s="22"/>
      <c r="J7" s="36"/>
      <c r="K7" s="19">
        <v>0</v>
      </c>
      <c r="L7" s="198" t="s">
        <v>128</v>
      </c>
      <c r="M7" s="198" t="s">
        <v>128</v>
      </c>
      <c r="N7" s="197" t="s">
        <v>128</v>
      </c>
      <c r="O7" s="195">
        <v>1</v>
      </c>
      <c r="P7" s="45" t="s">
        <v>128</v>
      </c>
      <c r="Q7" s="45" t="s">
        <v>128</v>
      </c>
      <c r="R7" s="45" t="s">
        <v>128</v>
      </c>
      <c r="S7" s="45" t="s">
        <v>128</v>
      </c>
      <c r="T7" s="45" t="s">
        <v>128</v>
      </c>
      <c r="U7" s="45" t="s">
        <v>128</v>
      </c>
      <c r="V7" s="45" t="s">
        <v>128</v>
      </c>
      <c r="W7" s="45" t="s">
        <v>128</v>
      </c>
      <c r="X7" s="45" t="s">
        <v>128</v>
      </c>
      <c r="Y7" s="45" t="s">
        <v>128</v>
      </c>
      <c r="Z7" s="45" t="s">
        <v>128</v>
      </c>
      <c r="AA7" s="45" t="s">
        <v>128</v>
      </c>
      <c r="AB7" s="45" t="s">
        <v>128</v>
      </c>
      <c r="AC7" s="107" t="s">
        <v>128</v>
      </c>
      <c r="AD7" s="107" t="s">
        <v>128</v>
      </c>
      <c r="AE7" s="107" t="s">
        <v>128</v>
      </c>
      <c r="AF7" s="107" t="s">
        <v>128</v>
      </c>
      <c r="AG7" s="107" t="s">
        <v>128</v>
      </c>
      <c r="AH7" s="107" t="s">
        <v>128</v>
      </c>
      <c r="AI7" s="228"/>
      <c r="AJ7" s="228"/>
      <c r="AK7" s="228"/>
      <c r="AL7" s="228"/>
      <c r="AM7" s="228"/>
      <c r="AN7" s="228"/>
      <c r="AO7" s="140"/>
      <c r="AP7" s="140"/>
    </row>
    <row r="8" spans="1:42" s="48" customFormat="1" x14ac:dyDescent="0.2">
      <c r="A8" s="209"/>
      <c r="B8" s="8"/>
      <c r="C8" s="8"/>
      <c r="D8" s="8"/>
      <c r="E8" s="8"/>
      <c r="F8" s="8"/>
      <c r="G8" s="8"/>
      <c r="H8" s="8"/>
      <c r="I8" s="8"/>
      <c r="J8" s="37"/>
      <c r="K8" s="19">
        <v>0</v>
      </c>
      <c r="L8" s="198" t="s">
        <v>128</v>
      </c>
      <c r="M8" s="198" t="s">
        <v>128</v>
      </c>
      <c r="N8" s="197" t="s">
        <v>128</v>
      </c>
      <c r="O8" s="195">
        <v>1</v>
      </c>
      <c r="P8" s="45" t="s">
        <v>128</v>
      </c>
      <c r="Q8" s="45" t="s">
        <v>128</v>
      </c>
      <c r="R8" s="45" t="s">
        <v>128</v>
      </c>
      <c r="S8" s="45" t="s">
        <v>128</v>
      </c>
      <c r="T8" s="45" t="s">
        <v>128</v>
      </c>
      <c r="U8" s="45" t="s">
        <v>128</v>
      </c>
      <c r="V8" s="45" t="s">
        <v>128</v>
      </c>
      <c r="W8" s="45" t="s">
        <v>128</v>
      </c>
      <c r="X8" s="45" t="s">
        <v>128</v>
      </c>
      <c r="Y8" s="45" t="s">
        <v>128</v>
      </c>
      <c r="Z8" s="45" t="s">
        <v>128</v>
      </c>
      <c r="AA8" s="45" t="s">
        <v>128</v>
      </c>
      <c r="AB8" s="45" t="s">
        <v>128</v>
      </c>
      <c r="AC8" s="107" t="s">
        <v>128</v>
      </c>
      <c r="AD8" s="107" t="s">
        <v>128</v>
      </c>
      <c r="AE8" s="107" t="s">
        <v>128</v>
      </c>
      <c r="AF8" s="107" t="s">
        <v>128</v>
      </c>
      <c r="AG8" s="107" t="s">
        <v>128</v>
      </c>
      <c r="AH8" s="107" t="s">
        <v>128</v>
      </c>
      <c r="AI8" s="228"/>
      <c r="AJ8" s="228"/>
      <c r="AK8" s="228"/>
      <c r="AL8" s="228"/>
      <c r="AM8" s="228"/>
      <c r="AN8" s="228"/>
      <c r="AO8" s="140"/>
      <c r="AP8" s="140"/>
    </row>
    <row r="9" spans="1:42" s="48" customFormat="1" x14ac:dyDescent="0.2">
      <c r="A9" s="22"/>
      <c r="B9" s="22"/>
      <c r="C9" s="22"/>
      <c r="D9" s="22"/>
      <c r="E9" s="22"/>
      <c r="F9" s="22"/>
      <c r="G9" s="22"/>
      <c r="H9" s="22"/>
      <c r="I9" s="22"/>
      <c r="J9" s="36"/>
      <c r="K9" s="19">
        <v>0</v>
      </c>
      <c r="L9" s="198" t="s">
        <v>128</v>
      </c>
      <c r="M9" s="198" t="s">
        <v>128</v>
      </c>
      <c r="N9" s="197" t="s">
        <v>128</v>
      </c>
      <c r="O9" s="195">
        <v>1</v>
      </c>
      <c r="P9" s="45" t="s">
        <v>128</v>
      </c>
      <c r="Q9" s="45" t="s">
        <v>128</v>
      </c>
      <c r="R9" s="45" t="s">
        <v>128</v>
      </c>
      <c r="S9" s="45" t="s">
        <v>128</v>
      </c>
      <c r="T9" s="45" t="s">
        <v>128</v>
      </c>
      <c r="U9" s="45" t="s">
        <v>128</v>
      </c>
      <c r="V9" s="45" t="s">
        <v>128</v>
      </c>
      <c r="W9" s="45" t="s">
        <v>128</v>
      </c>
      <c r="X9" s="45" t="s">
        <v>128</v>
      </c>
      <c r="Y9" s="45" t="s">
        <v>128</v>
      </c>
      <c r="Z9" s="45" t="s">
        <v>128</v>
      </c>
      <c r="AA9" s="45" t="s">
        <v>128</v>
      </c>
      <c r="AB9" s="45" t="s">
        <v>128</v>
      </c>
      <c r="AC9" s="107" t="s">
        <v>128</v>
      </c>
      <c r="AD9" s="107" t="s">
        <v>128</v>
      </c>
      <c r="AE9" s="107" t="s">
        <v>128</v>
      </c>
      <c r="AF9" s="107" t="s">
        <v>128</v>
      </c>
      <c r="AG9" s="107" t="s">
        <v>128</v>
      </c>
      <c r="AH9" s="107" t="s">
        <v>128</v>
      </c>
      <c r="AI9" s="228"/>
      <c r="AJ9" s="228"/>
      <c r="AK9" s="228"/>
      <c r="AL9" s="228"/>
      <c r="AM9" s="228"/>
      <c r="AN9" s="228"/>
      <c r="AO9" s="140"/>
      <c r="AP9" s="140"/>
    </row>
    <row r="10" spans="1:42" s="48" customFormat="1" x14ac:dyDescent="0.2">
      <c r="A10" s="209"/>
      <c r="B10" s="8"/>
      <c r="C10" s="8"/>
      <c r="D10" s="8"/>
      <c r="E10" s="8"/>
      <c r="F10" s="8"/>
      <c r="G10" s="8"/>
      <c r="H10" s="8"/>
      <c r="I10" s="8"/>
      <c r="J10" s="37"/>
      <c r="K10" s="19">
        <v>0</v>
      </c>
      <c r="L10" s="198" t="s">
        <v>128</v>
      </c>
      <c r="M10" s="198" t="s">
        <v>128</v>
      </c>
      <c r="N10" s="197" t="s">
        <v>128</v>
      </c>
      <c r="O10" s="195">
        <v>1</v>
      </c>
      <c r="P10" s="45" t="s">
        <v>128</v>
      </c>
      <c r="Q10" s="45" t="s">
        <v>128</v>
      </c>
      <c r="R10" s="45" t="s">
        <v>128</v>
      </c>
      <c r="S10" s="45" t="s">
        <v>128</v>
      </c>
      <c r="T10" s="45" t="s">
        <v>128</v>
      </c>
      <c r="U10" s="45" t="s">
        <v>128</v>
      </c>
      <c r="V10" s="45" t="s">
        <v>128</v>
      </c>
      <c r="W10" s="45" t="s">
        <v>128</v>
      </c>
      <c r="X10" s="45" t="s">
        <v>128</v>
      </c>
      <c r="Y10" s="45" t="s">
        <v>128</v>
      </c>
      <c r="Z10" s="45" t="s">
        <v>128</v>
      </c>
      <c r="AA10" s="45" t="s">
        <v>128</v>
      </c>
      <c r="AB10" s="45" t="s">
        <v>128</v>
      </c>
      <c r="AC10" s="107" t="s">
        <v>128</v>
      </c>
      <c r="AD10" s="107" t="s">
        <v>128</v>
      </c>
      <c r="AE10" s="107" t="s">
        <v>128</v>
      </c>
      <c r="AF10" s="107" t="s">
        <v>128</v>
      </c>
      <c r="AG10" s="107" t="s">
        <v>128</v>
      </c>
      <c r="AH10" s="107" t="s">
        <v>128</v>
      </c>
      <c r="AI10" s="228"/>
      <c r="AJ10" s="228"/>
      <c r="AK10" s="228"/>
      <c r="AL10" s="228"/>
      <c r="AM10" s="228"/>
      <c r="AN10" s="228"/>
      <c r="AO10" s="140"/>
      <c r="AP10" s="140"/>
    </row>
    <row r="11" spans="1:42" s="48" customFormat="1" x14ac:dyDescent="0.2">
      <c r="A11" s="22"/>
      <c r="B11" s="22"/>
      <c r="C11" s="22"/>
      <c r="D11" s="22"/>
      <c r="E11" s="22"/>
      <c r="F11" s="22"/>
      <c r="G11" s="22"/>
      <c r="H11" s="22"/>
      <c r="I11" s="22"/>
      <c r="J11" s="36"/>
      <c r="K11" s="19">
        <v>0</v>
      </c>
      <c r="L11" s="198" t="s">
        <v>128</v>
      </c>
      <c r="M11" s="198" t="s">
        <v>128</v>
      </c>
      <c r="N11" s="197" t="s">
        <v>128</v>
      </c>
      <c r="O11" s="195">
        <v>1</v>
      </c>
      <c r="P11" s="45" t="s">
        <v>128</v>
      </c>
      <c r="Q11" s="45" t="s">
        <v>128</v>
      </c>
      <c r="R11" s="45" t="s">
        <v>128</v>
      </c>
      <c r="S11" s="45" t="s">
        <v>128</v>
      </c>
      <c r="T11" s="45" t="s">
        <v>128</v>
      </c>
      <c r="U11" s="45" t="s">
        <v>128</v>
      </c>
      <c r="V11" s="45" t="s">
        <v>128</v>
      </c>
      <c r="W11" s="45" t="s">
        <v>128</v>
      </c>
      <c r="X11" s="45" t="s">
        <v>128</v>
      </c>
      <c r="Y11" s="45" t="s">
        <v>128</v>
      </c>
      <c r="Z11" s="45" t="s">
        <v>128</v>
      </c>
      <c r="AA11" s="45" t="s">
        <v>128</v>
      </c>
      <c r="AB11" s="45" t="s">
        <v>128</v>
      </c>
      <c r="AC11" s="107" t="s">
        <v>128</v>
      </c>
      <c r="AD11" s="107" t="s">
        <v>128</v>
      </c>
      <c r="AE11" s="107" t="s">
        <v>128</v>
      </c>
      <c r="AF11" s="107" t="s">
        <v>128</v>
      </c>
      <c r="AG11" s="107" t="s">
        <v>128</v>
      </c>
      <c r="AH11" s="107" t="s">
        <v>128</v>
      </c>
      <c r="AI11" s="228"/>
      <c r="AJ11" s="228"/>
      <c r="AK11" s="228"/>
      <c r="AL11" s="228"/>
      <c r="AM11" s="228"/>
      <c r="AN11" s="228"/>
      <c r="AO11" s="140"/>
      <c r="AP11" s="140"/>
    </row>
    <row r="12" spans="1:42" s="48" customFormat="1" x14ac:dyDescent="0.2">
      <c r="A12" s="209"/>
      <c r="B12" s="8"/>
      <c r="C12" s="8"/>
      <c r="D12" s="8"/>
      <c r="E12" s="8"/>
      <c r="F12" s="8"/>
      <c r="G12" s="8"/>
      <c r="H12" s="8"/>
      <c r="I12" s="8"/>
      <c r="J12" s="37"/>
      <c r="K12" s="19">
        <v>0</v>
      </c>
      <c r="L12" s="198" t="s">
        <v>128</v>
      </c>
      <c r="M12" s="198" t="s">
        <v>128</v>
      </c>
      <c r="N12" s="197" t="s">
        <v>128</v>
      </c>
      <c r="O12" s="195">
        <v>1</v>
      </c>
      <c r="P12" s="45" t="s">
        <v>128</v>
      </c>
      <c r="Q12" s="45" t="s">
        <v>128</v>
      </c>
      <c r="R12" s="45" t="s">
        <v>128</v>
      </c>
      <c r="S12" s="45" t="s">
        <v>128</v>
      </c>
      <c r="T12" s="45" t="s">
        <v>128</v>
      </c>
      <c r="U12" s="45" t="s">
        <v>128</v>
      </c>
      <c r="V12" s="45" t="s">
        <v>128</v>
      </c>
      <c r="W12" s="45" t="s">
        <v>128</v>
      </c>
      <c r="X12" s="45" t="s">
        <v>128</v>
      </c>
      <c r="Y12" s="45" t="s">
        <v>128</v>
      </c>
      <c r="Z12" s="45" t="s">
        <v>128</v>
      </c>
      <c r="AA12" s="45" t="s">
        <v>128</v>
      </c>
      <c r="AB12" s="45" t="s">
        <v>128</v>
      </c>
      <c r="AC12" s="107" t="s">
        <v>128</v>
      </c>
      <c r="AD12" s="107" t="s">
        <v>128</v>
      </c>
      <c r="AE12" s="107" t="s">
        <v>128</v>
      </c>
      <c r="AF12" s="107" t="s">
        <v>128</v>
      </c>
      <c r="AG12" s="107" t="s">
        <v>128</v>
      </c>
      <c r="AH12" s="107" t="s">
        <v>128</v>
      </c>
      <c r="AI12" s="228"/>
      <c r="AJ12" s="228"/>
      <c r="AK12" s="228"/>
      <c r="AL12" s="228"/>
      <c r="AM12" s="228"/>
      <c r="AN12" s="228"/>
      <c r="AO12" s="140"/>
      <c r="AP12" s="140"/>
    </row>
    <row r="13" spans="1:42" s="48" customFormat="1" x14ac:dyDescent="0.2">
      <c r="A13" s="22"/>
      <c r="B13" s="22"/>
      <c r="C13" s="22"/>
      <c r="D13" s="22"/>
      <c r="E13" s="22"/>
      <c r="F13" s="22"/>
      <c r="G13" s="22"/>
      <c r="H13" s="22"/>
      <c r="I13" s="22"/>
      <c r="J13" s="36"/>
      <c r="K13" s="19">
        <v>0</v>
      </c>
      <c r="L13" s="198" t="s">
        <v>128</v>
      </c>
      <c r="M13" s="198" t="s">
        <v>128</v>
      </c>
      <c r="N13" s="197" t="s">
        <v>128</v>
      </c>
      <c r="O13" s="195">
        <v>1</v>
      </c>
      <c r="P13" s="45" t="s">
        <v>128</v>
      </c>
      <c r="Q13" s="45" t="s">
        <v>128</v>
      </c>
      <c r="R13" s="45" t="s">
        <v>128</v>
      </c>
      <c r="S13" s="45" t="s">
        <v>128</v>
      </c>
      <c r="T13" s="45" t="s">
        <v>128</v>
      </c>
      <c r="U13" s="45" t="s">
        <v>128</v>
      </c>
      <c r="V13" s="45" t="s">
        <v>128</v>
      </c>
      <c r="W13" s="45" t="s">
        <v>128</v>
      </c>
      <c r="X13" s="45" t="s">
        <v>128</v>
      </c>
      <c r="Y13" s="45" t="s">
        <v>128</v>
      </c>
      <c r="Z13" s="45" t="s">
        <v>128</v>
      </c>
      <c r="AA13" s="45" t="s">
        <v>128</v>
      </c>
      <c r="AB13" s="45" t="s">
        <v>128</v>
      </c>
      <c r="AC13" s="107" t="s">
        <v>128</v>
      </c>
      <c r="AD13" s="107" t="s">
        <v>128</v>
      </c>
      <c r="AE13" s="107" t="s">
        <v>128</v>
      </c>
      <c r="AF13" s="107" t="s">
        <v>128</v>
      </c>
      <c r="AG13" s="107" t="s">
        <v>128</v>
      </c>
      <c r="AH13" s="107" t="s">
        <v>128</v>
      </c>
      <c r="AI13" s="228"/>
      <c r="AJ13" s="228"/>
      <c r="AK13" s="228"/>
      <c r="AL13" s="228"/>
      <c r="AM13" s="228"/>
      <c r="AN13" s="228"/>
      <c r="AO13" s="140"/>
      <c r="AP13" s="140"/>
    </row>
    <row r="14" spans="1:42" s="48" customFormat="1" x14ac:dyDescent="0.2">
      <c r="A14" s="209"/>
      <c r="B14" s="8"/>
      <c r="C14" s="8"/>
      <c r="D14" s="8"/>
      <c r="E14" s="8"/>
      <c r="F14" s="8"/>
      <c r="G14" s="8"/>
      <c r="H14" s="8"/>
      <c r="I14" s="8"/>
      <c r="J14" s="37"/>
      <c r="K14" s="19">
        <v>0</v>
      </c>
      <c r="L14" s="198" t="s">
        <v>128</v>
      </c>
      <c r="M14" s="198" t="s">
        <v>128</v>
      </c>
      <c r="N14" s="197" t="s">
        <v>128</v>
      </c>
      <c r="O14" s="195">
        <v>1</v>
      </c>
      <c r="P14" s="45" t="s">
        <v>128</v>
      </c>
      <c r="Q14" s="45" t="s">
        <v>128</v>
      </c>
      <c r="R14" s="45" t="s">
        <v>128</v>
      </c>
      <c r="S14" s="45" t="s">
        <v>128</v>
      </c>
      <c r="T14" s="45" t="s">
        <v>128</v>
      </c>
      <c r="U14" s="45" t="s">
        <v>128</v>
      </c>
      <c r="V14" s="45" t="s">
        <v>128</v>
      </c>
      <c r="W14" s="45" t="s">
        <v>128</v>
      </c>
      <c r="X14" s="45" t="s">
        <v>128</v>
      </c>
      <c r="Y14" s="45" t="s">
        <v>128</v>
      </c>
      <c r="Z14" s="45" t="s">
        <v>128</v>
      </c>
      <c r="AA14" s="45" t="s">
        <v>128</v>
      </c>
      <c r="AB14" s="45" t="s">
        <v>128</v>
      </c>
      <c r="AC14" s="107" t="s">
        <v>128</v>
      </c>
      <c r="AD14" s="107" t="s">
        <v>128</v>
      </c>
      <c r="AE14" s="107" t="s">
        <v>128</v>
      </c>
      <c r="AF14" s="107" t="s">
        <v>128</v>
      </c>
      <c r="AG14" s="107" t="s">
        <v>128</v>
      </c>
      <c r="AH14" s="107" t="s">
        <v>128</v>
      </c>
      <c r="AI14" s="228"/>
      <c r="AJ14" s="228"/>
      <c r="AK14" s="228"/>
      <c r="AL14" s="228"/>
      <c r="AM14" s="228"/>
      <c r="AN14" s="228"/>
      <c r="AO14" s="140"/>
      <c r="AP14" s="140"/>
    </row>
    <row r="15" spans="1:42" s="48" customFormat="1" x14ac:dyDescent="0.2">
      <c r="A15" s="22"/>
      <c r="B15" s="22"/>
      <c r="C15" s="22"/>
      <c r="D15" s="22"/>
      <c r="E15" s="22"/>
      <c r="F15" s="22"/>
      <c r="G15" s="22"/>
      <c r="H15" s="22"/>
      <c r="I15" s="22"/>
      <c r="J15" s="36"/>
      <c r="K15" s="19">
        <v>0</v>
      </c>
      <c r="L15" s="198" t="s">
        <v>128</v>
      </c>
      <c r="M15" s="198" t="s">
        <v>128</v>
      </c>
      <c r="N15" s="197" t="s">
        <v>128</v>
      </c>
      <c r="O15" s="195">
        <v>1</v>
      </c>
      <c r="P15" s="45" t="s">
        <v>128</v>
      </c>
      <c r="Q15" s="45" t="s">
        <v>128</v>
      </c>
      <c r="R15" s="45" t="s">
        <v>128</v>
      </c>
      <c r="S15" s="45" t="s">
        <v>128</v>
      </c>
      <c r="T15" s="45" t="s">
        <v>128</v>
      </c>
      <c r="U15" s="45" t="s">
        <v>128</v>
      </c>
      <c r="V15" s="45" t="s">
        <v>128</v>
      </c>
      <c r="W15" s="45" t="s">
        <v>128</v>
      </c>
      <c r="X15" s="45" t="s">
        <v>128</v>
      </c>
      <c r="Y15" s="45" t="s">
        <v>128</v>
      </c>
      <c r="Z15" s="45" t="s">
        <v>128</v>
      </c>
      <c r="AA15" s="45" t="s">
        <v>128</v>
      </c>
      <c r="AB15" s="45" t="s">
        <v>128</v>
      </c>
      <c r="AC15" s="107" t="s">
        <v>128</v>
      </c>
      <c r="AD15" s="107" t="s">
        <v>128</v>
      </c>
      <c r="AE15" s="107" t="s">
        <v>128</v>
      </c>
      <c r="AF15" s="107" t="s">
        <v>128</v>
      </c>
      <c r="AG15" s="107" t="s">
        <v>128</v>
      </c>
      <c r="AH15" s="107" t="s">
        <v>128</v>
      </c>
      <c r="AI15" s="228"/>
      <c r="AJ15" s="228"/>
      <c r="AK15" s="228"/>
      <c r="AL15" s="228"/>
      <c r="AM15" s="228"/>
      <c r="AN15" s="228"/>
      <c r="AO15" s="140"/>
      <c r="AP15" s="140"/>
    </row>
    <row r="16" spans="1:42" s="48" customFormat="1" x14ac:dyDescent="0.2">
      <c r="A16" s="209"/>
      <c r="B16" s="8"/>
      <c r="C16" s="8"/>
      <c r="D16" s="8"/>
      <c r="E16" s="8"/>
      <c r="F16" s="8"/>
      <c r="G16" s="8"/>
      <c r="H16" s="8"/>
      <c r="I16" s="8"/>
      <c r="J16" s="37"/>
      <c r="K16" s="19">
        <v>0</v>
      </c>
      <c r="L16" s="198" t="s">
        <v>128</v>
      </c>
      <c r="M16" s="198" t="s">
        <v>128</v>
      </c>
      <c r="N16" s="197" t="s">
        <v>128</v>
      </c>
      <c r="O16" s="195">
        <v>1</v>
      </c>
      <c r="P16" s="45" t="s">
        <v>128</v>
      </c>
      <c r="Q16" s="45" t="s">
        <v>128</v>
      </c>
      <c r="R16" s="45" t="s">
        <v>128</v>
      </c>
      <c r="S16" s="45" t="s">
        <v>128</v>
      </c>
      <c r="T16" s="45" t="s">
        <v>128</v>
      </c>
      <c r="U16" s="45" t="s">
        <v>128</v>
      </c>
      <c r="V16" s="45" t="s">
        <v>128</v>
      </c>
      <c r="W16" s="45" t="s">
        <v>128</v>
      </c>
      <c r="X16" s="45" t="s">
        <v>128</v>
      </c>
      <c r="Y16" s="45" t="s">
        <v>128</v>
      </c>
      <c r="Z16" s="45" t="s">
        <v>128</v>
      </c>
      <c r="AA16" s="45" t="s">
        <v>128</v>
      </c>
      <c r="AB16" s="45" t="s">
        <v>128</v>
      </c>
      <c r="AC16" s="107" t="s">
        <v>128</v>
      </c>
      <c r="AD16" s="107" t="s">
        <v>128</v>
      </c>
      <c r="AE16" s="107" t="s">
        <v>128</v>
      </c>
      <c r="AF16" s="107" t="s">
        <v>128</v>
      </c>
      <c r="AG16" s="107" t="s">
        <v>128</v>
      </c>
      <c r="AH16" s="107" t="s">
        <v>128</v>
      </c>
      <c r="AI16" s="228"/>
      <c r="AJ16" s="228"/>
      <c r="AK16" s="228"/>
      <c r="AL16" s="228"/>
      <c r="AM16" s="228"/>
      <c r="AN16" s="228"/>
      <c r="AO16" s="140"/>
      <c r="AP16" s="140"/>
    </row>
    <row r="17" spans="1:42" s="48" customFormat="1" x14ac:dyDescent="0.2">
      <c r="A17" s="22"/>
      <c r="B17" s="22"/>
      <c r="C17" s="22"/>
      <c r="D17" s="22"/>
      <c r="E17" s="22"/>
      <c r="F17" s="22"/>
      <c r="G17" s="22"/>
      <c r="H17" s="22"/>
      <c r="I17" s="22"/>
      <c r="J17" s="36"/>
      <c r="K17" s="19">
        <v>0</v>
      </c>
      <c r="L17" s="198" t="s">
        <v>128</v>
      </c>
      <c r="M17" s="198" t="s">
        <v>128</v>
      </c>
      <c r="N17" s="197" t="s">
        <v>128</v>
      </c>
      <c r="O17" s="195">
        <v>1</v>
      </c>
      <c r="P17" s="45" t="s">
        <v>128</v>
      </c>
      <c r="Q17" s="45" t="s">
        <v>128</v>
      </c>
      <c r="R17" s="45" t="s">
        <v>128</v>
      </c>
      <c r="S17" s="45" t="s">
        <v>128</v>
      </c>
      <c r="T17" s="45" t="s">
        <v>128</v>
      </c>
      <c r="U17" s="45" t="s">
        <v>128</v>
      </c>
      <c r="V17" s="45" t="s">
        <v>128</v>
      </c>
      <c r="W17" s="45" t="s">
        <v>128</v>
      </c>
      <c r="X17" s="45" t="s">
        <v>128</v>
      </c>
      <c r="Y17" s="45" t="s">
        <v>128</v>
      </c>
      <c r="Z17" s="45" t="s">
        <v>128</v>
      </c>
      <c r="AA17" s="45" t="s">
        <v>128</v>
      </c>
      <c r="AB17" s="45" t="s">
        <v>128</v>
      </c>
      <c r="AC17" s="107" t="s">
        <v>128</v>
      </c>
      <c r="AD17" s="107" t="s">
        <v>128</v>
      </c>
      <c r="AE17" s="107" t="s">
        <v>128</v>
      </c>
      <c r="AF17" s="107" t="s">
        <v>128</v>
      </c>
      <c r="AG17" s="107" t="s">
        <v>128</v>
      </c>
      <c r="AH17" s="107" t="s">
        <v>128</v>
      </c>
      <c r="AI17" s="228"/>
      <c r="AJ17" s="228"/>
      <c r="AK17" s="228"/>
      <c r="AL17" s="228"/>
      <c r="AM17" s="228"/>
      <c r="AN17" s="228"/>
      <c r="AO17" s="140"/>
      <c r="AP17" s="140"/>
    </row>
    <row r="18" spans="1:42" s="48" customFormat="1" x14ac:dyDescent="0.2">
      <c r="A18" s="209"/>
      <c r="B18" s="8"/>
      <c r="C18" s="8"/>
      <c r="D18" s="8"/>
      <c r="E18" s="8"/>
      <c r="F18" s="8"/>
      <c r="G18" s="8"/>
      <c r="H18" s="8"/>
      <c r="I18" s="8"/>
      <c r="J18" s="37"/>
      <c r="K18" s="19">
        <v>0</v>
      </c>
      <c r="L18" s="198" t="s">
        <v>128</v>
      </c>
      <c r="M18" s="198" t="s">
        <v>128</v>
      </c>
      <c r="N18" s="197" t="s">
        <v>128</v>
      </c>
      <c r="O18" s="195">
        <v>1</v>
      </c>
      <c r="P18" s="45" t="s">
        <v>128</v>
      </c>
      <c r="Q18" s="45" t="s">
        <v>128</v>
      </c>
      <c r="R18" s="45" t="s">
        <v>128</v>
      </c>
      <c r="S18" s="45" t="s">
        <v>128</v>
      </c>
      <c r="T18" s="45" t="s">
        <v>128</v>
      </c>
      <c r="U18" s="45" t="s">
        <v>128</v>
      </c>
      <c r="V18" s="45" t="s">
        <v>128</v>
      </c>
      <c r="W18" s="45" t="s">
        <v>128</v>
      </c>
      <c r="X18" s="45" t="s">
        <v>128</v>
      </c>
      <c r="Y18" s="45" t="s">
        <v>128</v>
      </c>
      <c r="Z18" s="45" t="s">
        <v>128</v>
      </c>
      <c r="AA18" s="45" t="s">
        <v>128</v>
      </c>
      <c r="AB18" s="45" t="s">
        <v>128</v>
      </c>
      <c r="AC18" s="107" t="s">
        <v>128</v>
      </c>
      <c r="AD18" s="107" t="s">
        <v>128</v>
      </c>
      <c r="AE18" s="107" t="s">
        <v>128</v>
      </c>
      <c r="AF18" s="107" t="s">
        <v>128</v>
      </c>
      <c r="AG18" s="107" t="s">
        <v>128</v>
      </c>
      <c r="AH18" s="107" t="s">
        <v>128</v>
      </c>
      <c r="AI18" s="228"/>
      <c r="AJ18" s="228"/>
      <c r="AK18" s="228"/>
      <c r="AL18" s="228"/>
      <c r="AM18" s="228"/>
      <c r="AN18" s="228"/>
      <c r="AO18" s="279"/>
      <c r="AP18" s="140"/>
    </row>
    <row r="19" spans="1:42" s="48" customFormat="1" x14ac:dyDescent="0.2">
      <c r="A19" s="22"/>
      <c r="B19" s="22"/>
      <c r="C19" s="22"/>
      <c r="D19" s="22"/>
      <c r="E19" s="22"/>
      <c r="F19" s="22"/>
      <c r="G19" s="22"/>
      <c r="H19" s="22"/>
      <c r="I19" s="22"/>
      <c r="J19" s="36"/>
      <c r="K19" s="19">
        <v>0</v>
      </c>
      <c r="L19" s="198" t="s">
        <v>128</v>
      </c>
      <c r="M19" s="198" t="s">
        <v>128</v>
      </c>
      <c r="N19" s="197" t="s">
        <v>128</v>
      </c>
      <c r="O19" s="195">
        <v>1</v>
      </c>
      <c r="P19" s="45" t="s">
        <v>128</v>
      </c>
      <c r="Q19" s="45" t="s">
        <v>128</v>
      </c>
      <c r="R19" s="45" t="s">
        <v>128</v>
      </c>
      <c r="S19" s="45" t="s">
        <v>128</v>
      </c>
      <c r="T19" s="45" t="s">
        <v>128</v>
      </c>
      <c r="U19" s="45" t="s">
        <v>128</v>
      </c>
      <c r="V19" s="45" t="s">
        <v>128</v>
      </c>
      <c r="W19" s="45" t="s">
        <v>128</v>
      </c>
      <c r="X19" s="45" t="s">
        <v>128</v>
      </c>
      <c r="Y19" s="45" t="s">
        <v>128</v>
      </c>
      <c r="Z19" s="45" t="s">
        <v>128</v>
      </c>
      <c r="AA19" s="45" t="s">
        <v>128</v>
      </c>
      <c r="AB19" s="45" t="s">
        <v>128</v>
      </c>
      <c r="AC19" s="107" t="s">
        <v>128</v>
      </c>
      <c r="AD19" s="107" t="s">
        <v>128</v>
      </c>
      <c r="AE19" s="107" t="s">
        <v>128</v>
      </c>
      <c r="AF19" s="107" t="s">
        <v>128</v>
      </c>
      <c r="AG19" s="107" t="s">
        <v>128</v>
      </c>
      <c r="AH19" s="107" t="s">
        <v>128</v>
      </c>
      <c r="AI19" s="228"/>
      <c r="AJ19" s="228"/>
      <c r="AK19" s="228"/>
      <c r="AL19" s="228"/>
      <c r="AM19" s="228"/>
      <c r="AN19" s="228"/>
      <c r="AO19" s="279"/>
      <c r="AP19" s="140"/>
    </row>
    <row r="20" spans="1:42" s="48" customFormat="1" x14ac:dyDescent="0.2">
      <c r="A20" s="209"/>
      <c r="B20" s="8"/>
      <c r="C20" s="8"/>
      <c r="D20" s="8"/>
      <c r="E20" s="8"/>
      <c r="F20" s="8"/>
      <c r="G20" s="8"/>
      <c r="H20" s="8"/>
      <c r="I20" s="8"/>
      <c r="J20" s="37"/>
      <c r="K20" s="19">
        <v>0</v>
      </c>
      <c r="L20" s="198" t="s">
        <v>128</v>
      </c>
      <c r="M20" s="198" t="s">
        <v>128</v>
      </c>
      <c r="N20" s="197" t="s">
        <v>128</v>
      </c>
      <c r="O20" s="195">
        <v>1</v>
      </c>
      <c r="P20" s="45" t="s">
        <v>128</v>
      </c>
      <c r="Q20" s="45" t="s">
        <v>128</v>
      </c>
      <c r="R20" s="45" t="s">
        <v>128</v>
      </c>
      <c r="S20" s="45" t="s">
        <v>128</v>
      </c>
      <c r="T20" s="45" t="s">
        <v>128</v>
      </c>
      <c r="U20" s="45" t="s">
        <v>128</v>
      </c>
      <c r="V20" s="45" t="s">
        <v>128</v>
      </c>
      <c r="W20" s="45" t="s">
        <v>128</v>
      </c>
      <c r="X20" s="45" t="s">
        <v>128</v>
      </c>
      <c r="Y20" s="45" t="s">
        <v>128</v>
      </c>
      <c r="Z20" s="45" t="s">
        <v>128</v>
      </c>
      <c r="AA20" s="45" t="s">
        <v>128</v>
      </c>
      <c r="AB20" s="45" t="s">
        <v>128</v>
      </c>
      <c r="AC20" s="107" t="s">
        <v>128</v>
      </c>
      <c r="AD20" s="107" t="s">
        <v>128</v>
      </c>
      <c r="AE20" s="107" t="s">
        <v>128</v>
      </c>
      <c r="AF20" s="107" t="s">
        <v>128</v>
      </c>
      <c r="AG20" s="107" t="s">
        <v>128</v>
      </c>
      <c r="AH20" s="107" t="s">
        <v>128</v>
      </c>
      <c r="AI20" s="228"/>
      <c r="AJ20" s="228"/>
      <c r="AK20" s="228"/>
      <c r="AL20" s="228"/>
      <c r="AM20" s="228"/>
      <c r="AN20" s="228"/>
      <c r="AO20" s="279"/>
      <c r="AP20" s="140"/>
    </row>
    <row r="21" spans="1:42" s="48" customFormat="1" x14ac:dyDescent="0.2">
      <c r="A21" s="22"/>
      <c r="B21" s="22"/>
      <c r="C21" s="22"/>
      <c r="D21" s="22"/>
      <c r="E21" s="22"/>
      <c r="F21" s="22"/>
      <c r="G21" s="22"/>
      <c r="H21" s="22"/>
      <c r="I21" s="22"/>
      <c r="J21" s="36"/>
      <c r="K21" s="19">
        <v>0</v>
      </c>
      <c r="L21" s="198" t="s">
        <v>128</v>
      </c>
      <c r="M21" s="198" t="s">
        <v>128</v>
      </c>
      <c r="N21" s="197" t="s">
        <v>128</v>
      </c>
      <c r="O21" s="195">
        <v>1</v>
      </c>
      <c r="P21" s="45" t="s">
        <v>128</v>
      </c>
      <c r="Q21" s="45" t="s">
        <v>128</v>
      </c>
      <c r="R21" s="45" t="s">
        <v>128</v>
      </c>
      <c r="S21" s="45" t="s">
        <v>128</v>
      </c>
      <c r="T21" s="45" t="s">
        <v>128</v>
      </c>
      <c r="U21" s="45" t="s">
        <v>128</v>
      </c>
      <c r="V21" s="45" t="s">
        <v>128</v>
      </c>
      <c r="W21" s="45" t="s">
        <v>128</v>
      </c>
      <c r="X21" s="45" t="s">
        <v>128</v>
      </c>
      <c r="Y21" s="45" t="s">
        <v>128</v>
      </c>
      <c r="Z21" s="45" t="s">
        <v>128</v>
      </c>
      <c r="AA21" s="45" t="s">
        <v>128</v>
      </c>
      <c r="AB21" s="45" t="s">
        <v>128</v>
      </c>
      <c r="AC21" s="107" t="s">
        <v>128</v>
      </c>
      <c r="AD21" s="107" t="s">
        <v>128</v>
      </c>
      <c r="AE21" s="107" t="s">
        <v>128</v>
      </c>
      <c r="AF21" s="107" t="s">
        <v>128</v>
      </c>
      <c r="AG21" s="107" t="s">
        <v>128</v>
      </c>
      <c r="AH21" s="107" t="s">
        <v>128</v>
      </c>
      <c r="AI21" s="228"/>
      <c r="AJ21" s="228"/>
      <c r="AK21" s="228"/>
      <c r="AL21" s="228"/>
      <c r="AM21" s="228"/>
      <c r="AN21" s="228"/>
      <c r="AO21" s="140"/>
      <c r="AP21" s="140"/>
    </row>
    <row r="22" spans="1:42" s="48" customFormat="1" x14ac:dyDescent="0.2">
      <c r="A22" s="209"/>
      <c r="B22" s="8"/>
      <c r="C22" s="8"/>
      <c r="D22" s="8"/>
      <c r="E22" s="8"/>
      <c r="F22" s="8"/>
      <c r="G22" s="8"/>
      <c r="H22" s="8"/>
      <c r="I22" s="8"/>
      <c r="J22" s="37"/>
      <c r="K22" s="19">
        <v>0</v>
      </c>
      <c r="L22" s="198" t="s">
        <v>128</v>
      </c>
      <c r="M22" s="198" t="s">
        <v>128</v>
      </c>
      <c r="N22" s="197" t="s">
        <v>128</v>
      </c>
      <c r="O22" s="195">
        <v>1</v>
      </c>
      <c r="P22" s="45" t="s">
        <v>128</v>
      </c>
      <c r="Q22" s="45" t="s">
        <v>128</v>
      </c>
      <c r="R22" s="45" t="s">
        <v>128</v>
      </c>
      <c r="S22" s="45" t="s">
        <v>128</v>
      </c>
      <c r="T22" s="45" t="s">
        <v>128</v>
      </c>
      <c r="U22" s="45" t="s">
        <v>128</v>
      </c>
      <c r="V22" s="45" t="s">
        <v>128</v>
      </c>
      <c r="W22" s="45" t="s">
        <v>128</v>
      </c>
      <c r="X22" s="45" t="s">
        <v>128</v>
      </c>
      <c r="Y22" s="45" t="s">
        <v>128</v>
      </c>
      <c r="Z22" s="45" t="s">
        <v>128</v>
      </c>
      <c r="AA22" s="45" t="s">
        <v>128</v>
      </c>
      <c r="AB22" s="45" t="s">
        <v>128</v>
      </c>
      <c r="AC22" s="107" t="s">
        <v>128</v>
      </c>
      <c r="AD22" s="107" t="s">
        <v>128</v>
      </c>
      <c r="AE22" s="107" t="s">
        <v>128</v>
      </c>
      <c r="AF22" s="107" t="s">
        <v>128</v>
      </c>
      <c r="AG22" s="107" t="s">
        <v>128</v>
      </c>
      <c r="AH22" s="107" t="s">
        <v>128</v>
      </c>
      <c r="AI22" s="228"/>
      <c r="AJ22" s="228"/>
      <c r="AK22" s="228"/>
      <c r="AL22" s="228"/>
      <c r="AM22" s="228"/>
      <c r="AN22" s="228"/>
      <c r="AO22" s="140"/>
      <c r="AP22" s="140"/>
    </row>
    <row r="23" spans="1:42" s="48" customFormat="1" x14ac:dyDescent="0.2">
      <c r="A23" s="22"/>
      <c r="B23" s="22"/>
      <c r="C23" s="22"/>
      <c r="D23" s="22"/>
      <c r="E23" s="22"/>
      <c r="F23" s="22"/>
      <c r="G23" s="22"/>
      <c r="H23" s="22"/>
      <c r="I23" s="22"/>
      <c r="J23" s="36"/>
      <c r="K23" s="19">
        <v>0</v>
      </c>
      <c r="L23" s="198" t="s">
        <v>128</v>
      </c>
      <c r="M23" s="198" t="s">
        <v>128</v>
      </c>
      <c r="N23" s="197" t="s">
        <v>128</v>
      </c>
      <c r="O23" s="195">
        <v>1</v>
      </c>
      <c r="P23" s="45" t="s">
        <v>128</v>
      </c>
      <c r="Q23" s="45" t="s">
        <v>128</v>
      </c>
      <c r="R23" s="45" t="s">
        <v>128</v>
      </c>
      <c r="S23" s="45" t="s">
        <v>128</v>
      </c>
      <c r="T23" s="45" t="s">
        <v>128</v>
      </c>
      <c r="U23" s="45" t="s">
        <v>128</v>
      </c>
      <c r="V23" s="45" t="s">
        <v>128</v>
      </c>
      <c r="W23" s="45" t="s">
        <v>128</v>
      </c>
      <c r="X23" s="45" t="s">
        <v>128</v>
      </c>
      <c r="Y23" s="45" t="s">
        <v>128</v>
      </c>
      <c r="Z23" s="45" t="s">
        <v>128</v>
      </c>
      <c r="AA23" s="45" t="s">
        <v>128</v>
      </c>
      <c r="AB23" s="45" t="s">
        <v>128</v>
      </c>
      <c r="AC23" s="107" t="s">
        <v>128</v>
      </c>
      <c r="AD23" s="107" t="s">
        <v>128</v>
      </c>
      <c r="AE23" s="107" t="s">
        <v>128</v>
      </c>
      <c r="AF23" s="107" t="s">
        <v>128</v>
      </c>
      <c r="AG23" s="107" t="s">
        <v>128</v>
      </c>
      <c r="AH23" s="107" t="s">
        <v>128</v>
      </c>
      <c r="AI23" s="228"/>
      <c r="AJ23" s="228"/>
      <c r="AK23" s="228"/>
      <c r="AL23" s="228"/>
      <c r="AM23" s="228"/>
      <c r="AN23" s="228"/>
      <c r="AO23" s="140"/>
      <c r="AP23" s="140"/>
    </row>
    <row r="24" spans="1:42" s="48" customFormat="1" x14ac:dyDescent="0.2">
      <c r="A24" s="209"/>
      <c r="B24" s="8"/>
      <c r="C24" s="8"/>
      <c r="D24" s="8"/>
      <c r="E24" s="8"/>
      <c r="F24" s="8"/>
      <c r="G24" s="8"/>
      <c r="H24" s="8"/>
      <c r="I24" s="8"/>
      <c r="J24" s="37"/>
      <c r="K24" s="19">
        <v>0</v>
      </c>
      <c r="L24" s="198" t="s">
        <v>128</v>
      </c>
      <c r="M24" s="198" t="s">
        <v>128</v>
      </c>
      <c r="N24" s="197" t="s">
        <v>128</v>
      </c>
      <c r="O24" s="195">
        <v>1</v>
      </c>
      <c r="P24" s="45" t="s">
        <v>128</v>
      </c>
      <c r="Q24" s="45" t="s">
        <v>128</v>
      </c>
      <c r="R24" s="45" t="s">
        <v>128</v>
      </c>
      <c r="S24" s="45" t="s">
        <v>128</v>
      </c>
      <c r="T24" s="45" t="s">
        <v>128</v>
      </c>
      <c r="U24" s="45" t="s">
        <v>128</v>
      </c>
      <c r="V24" s="45" t="s">
        <v>128</v>
      </c>
      <c r="W24" s="45" t="s">
        <v>128</v>
      </c>
      <c r="X24" s="45" t="s">
        <v>128</v>
      </c>
      <c r="Y24" s="45" t="s">
        <v>128</v>
      </c>
      <c r="Z24" s="45" t="s">
        <v>128</v>
      </c>
      <c r="AA24" s="45" t="s">
        <v>128</v>
      </c>
      <c r="AB24" s="45" t="s">
        <v>128</v>
      </c>
      <c r="AC24" s="107" t="s">
        <v>128</v>
      </c>
      <c r="AD24" s="107" t="s">
        <v>128</v>
      </c>
      <c r="AE24" s="107" t="s">
        <v>128</v>
      </c>
      <c r="AF24" s="107" t="s">
        <v>128</v>
      </c>
      <c r="AG24" s="107" t="s">
        <v>128</v>
      </c>
      <c r="AH24" s="107" t="s">
        <v>128</v>
      </c>
      <c r="AI24" s="228"/>
      <c r="AJ24" s="228"/>
      <c r="AK24" s="228"/>
      <c r="AL24" s="228"/>
      <c r="AM24" s="228"/>
      <c r="AN24" s="228"/>
      <c r="AO24" s="140"/>
      <c r="AP24" s="140"/>
    </row>
    <row r="25" spans="1:42" s="48" customFormat="1" x14ac:dyDescent="0.2">
      <c r="A25" s="22"/>
      <c r="B25" s="22"/>
      <c r="C25" s="22"/>
      <c r="D25" s="22"/>
      <c r="E25" s="22"/>
      <c r="F25" s="22"/>
      <c r="G25" s="22"/>
      <c r="H25" s="22"/>
      <c r="I25" s="22"/>
      <c r="J25" s="36"/>
      <c r="K25" s="19">
        <v>0</v>
      </c>
      <c r="L25" s="198" t="s">
        <v>128</v>
      </c>
      <c r="M25" s="198" t="s">
        <v>128</v>
      </c>
      <c r="N25" s="197" t="s">
        <v>128</v>
      </c>
      <c r="O25" s="195">
        <v>1</v>
      </c>
      <c r="P25" s="45" t="s">
        <v>128</v>
      </c>
      <c r="Q25" s="45" t="s">
        <v>128</v>
      </c>
      <c r="R25" s="45" t="s">
        <v>128</v>
      </c>
      <c r="S25" s="45" t="s">
        <v>128</v>
      </c>
      <c r="T25" s="45" t="s">
        <v>128</v>
      </c>
      <c r="U25" s="45" t="s">
        <v>128</v>
      </c>
      <c r="V25" s="45" t="s">
        <v>128</v>
      </c>
      <c r="W25" s="45" t="s">
        <v>128</v>
      </c>
      <c r="X25" s="45" t="s">
        <v>128</v>
      </c>
      <c r="Y25" s="45" t="s">
        <v>128</v>
      </c>
      <c r="Z25" s="45" t="s">
        <v>128</v>
      </c>
      <c r="AA25" s="45" t="s">
        <v>128</v>
      </c>
      <c r="AB25" s="45" t="s">
        <v>128</v>
      </c>
      <c r="AC25" s="107" t="s">
        <v>128</v>
      </c>
      <c r="AD25" s="107" t="s">
        <v>128</v>
      </c>
      <c r="AE25" s="107" t="s">
        <v>128</v>
      </c>
      <c r="AF25" s="107" t="s">
        <v>128</v>
      </c>
      <c r="AG25" s="107" t="s">
        <v>128</v>
      </c>
      <c r="AH25" s="107" t="s">
        <v>128</v>
      </c>
      <c r="AI25" s="228"/>
      <c r="AJ25" s="228"/>
      <c r="AK25" s="228"/>
      <c r="AL25" s="228"/>
      <c r="AM25" s="228"/>
      <c r="AN25" s="228"/>
      <c r="AO25" s="140"/>
      <c r="AP25" s="140"/>
    </row>
    <row r="26" spans="1:42" s="48" customFormat="1" x14ac:dyDescent="0.2">
      <c r="A26" s="209"/>
      <c r="B26" s="8"/>
      <c r="C26" s="8"/>
      <c r="D26" s="8"/>
      <c r="E26" s="8"/>
      <c r="F26" s="8"/>
      <c r="G26" s="8"/>
      <c r="H26" s="8"/>
      <c r="I26" s="8"/>
      <c r="J26" s="37"/>
      <c r="K26" s="19">
        <v>0</v>
      </c>
      <c r="L26" s="198" t="s">
        <v>128</v>
      </c>
      <c r="M26" s="198" t="s">
        <v>128</v>
      </c>
      <c r="N26" s="197" t="s">
        <v>128</v>
      </c>
      <c r="O26" s="195">
        <v>1</v>
      </c>
      <c r="P26" s="45" t="s">
        <v>128</v>
      </c>
      <c r="Q26" s="45" t="s">
        <v>128</v>
      </c>
      <c r="R26" s="45" t="s">
        <v>128</v>
      </c>
      <c r="S26" s="45" t="s">
        <v>128</v>
      </c>
      <c r="T26" s="45" t="s">
        <v>128</v>
      </c>
      <c r="U26" s="45" t="s">
        <v>128</v>
      </c>
      <c r="V26" s="45" t="s">
        <v>128</v>
      </c>
      <c r="W26" s="45" t="s">
        <v>128</v>
      </c>
      <c r="X26" s="45" t="s">
        <v>128</v>
      </c>
      <c r="Y26" s="45" t="s">
        <v>128</v>
      </c>
      <c r="Z26" s="45" t="s">
        <v>128</v>
      </c>
      <c r="AA26" s="45" t="s">
        <v>128</v>
      </c>
      <c r="AB26" s="45" t="s">
        <v>128</v>
      </c>
      <c r="AC26" s="107" t="s">
        <v>128</v>
      </c>
      <c r="AD26" s="107" t="s">
        <v>128</v>
      </c>
      <c r="AE26" s="107" t="s">
        <v>128</v>
      </c>
      <c r="AF26" s="107" t="s">
        <v>128</v>
      </c>
      <c r="AG26" s="107" t="s">
        <v>128</v>
      </c>
      <c r="AH26" s="107" t="s">
        <v>128</v>
      </c>
      <c r="AI26" s="228"/>
      <c r="AJ26" s="228"/>
      <c r="AK26" s="228"/>
      <c r="AL26" s="228"/>
      <c r="AM26" s="228"/>
      <c r="AN26" s="228"/>
      <c r="AO26" s="140"/>
      <c r="AP26" s="140"/>
    </row>
    <row r="27" spans="1:42" s="48" customFormat="1" x14ac:dyDescent="0.2">
      <c r="A27" s="22"/>
      <c r="B27" s="22"/>
      <c r="C27" s="22"/>
      <c r="D27" s="22"/>
      <c r="E27" s="22"/>
      <c r="F27" s="22"/>
      <c r="G27" s="22"/>
      <c r="H27" s="22"/>
      <c r="I27" s="22"/>
      <c r="J27" s="36"/>
      <c r="K27" s="19">
        <v>0</v>
      </c>
      <c r="L27" s="198" t="s">
        <v>128</v>
      </c>
      <c r="M27" s="198" t="s">
        <v>128</v>
      </c>
      <c r="N27" s="197" t="s">
        <v>128</v>
      </c>
      <c r="O27" s="195">
        <v>1</v>
      </c>
      <c r="P27" s="45" t="s">
        <v>128</v>
      </c>
      <c r="Q27" s="45" t="s">
        <v>128</v>
      </c>
      <c r="R27" s="45" t="s">
        <v>128</v>
      </c>
      <c r="S27" s="45" t="s">
        <v>128</v>
      </c>
      <c r="T27" s="45" t="s">
        <v>128</v>
      </c>
      <c r="U27" s="45" t="s">
        <v>128</v>
      </c>
      <c r="V27" s="45" t="s">
        <v>128</v>
      </c>
      <c r="W27" s="45" t="s">
        <v>128</v>
      </c>
      <c r="X27" s="45" t="s">
        <v>128</v>
      </c>
      <c r="Y27" s="45" t="s">
        <v>128</v>
      </c>
      <c r="Z27" s="45" t="s">
        <v>128</v>
      </c>
      <c r="AA27" s="45" t="s">
        <v>128</v>
      </c>
      <c r="AB27" s="45" t="s">
        <v>128</v>
      </c>
      <c r="AC27" s="107" t="s">
        <v>128</v>
      </c>
      <c r="AD27" s="107" t="s">
        <v>128</v>
      </c>
      <c r="AE27" s="107" t="s">
        <v>128</v>
      </c>
      <c r="AF27" s="107" t="s">
        <v>128</v>
      </c>
      <c r="AG27" s="107" t="s">
        <v>128</v>
      </c>
      <c r="AH27" s="107" t="s">
        <v>128</v>
      </c>
      <c r="AI27" s="228"/>
      <c r="AJ27" s="228"/>
      <c r="AK27" s="228"/>
      <c r="AL27" s="228"/>
      <c r="AM27" s="228"/>
      <c r="AN27" s="228"/>
      <c r="AO27" s="140"/>
      <c r="AP27" s="140"/>
    </row>
    <row r="28" spans="1:42" s="48" customFormat="1" x14ac:dyDescent="0.2">
      <c r="A28" s="209"/>
      <c r="B28" s="8"/>
      <c r="C28" s="8"/>
      <c r="D28" s="8"/>
      <c r="E28" s="8"/>
      <c r="F28" s="8"/>
      <c r="G28" s="8"/>
      <c r="H28" s="8"/>
      <c r="I28" s="8"/>
      <c r="J28" s="37"/>
      <c r="K28" s="19">
        <v>0</v>
      </c>
      <c r="L28" s="198" t="s">
        <v>128</v>
      </c>
      <c r="M28" s="198" t="s">
        <v>128</v>
      </c>
      <c r="N28" s="197" t="s">
        <v>128</v>
      </c>
      <c r="O28" s="195">
        <v>1</v>
      </c>
      <c r="P28" s="45" t="s">
        <v>128</v>
      </c>
      <c r="Q28" s="45" t="s">
        <v>128</v>
      </c>
      <c r="R28" s="45" t="s">
        <v>128</v>
      </c>
      <c r="S28" s="45" t="s">
        <v>128</v>
      </c>
      <c r="T28" s="45" t="s">
        <v>128</v>
      </c>
      <c r="U28" s="45" t="s">
        <v>128</v>
      </c>
      <c r="V28" s="45" t="s">
        <v>128</v>
      </c>
      <c r="W28" s="45" t="s">
        <v>128</v>
      </c>
      <c r="X28" s="45" t="s">
        <v>128</v>
      </c>
      <c r="Y28" s="45" t="s">
        <v>128</v>
      </c>
      <c r="Z28" s="45" t="s">
        <v>128</v>
      </c>
      <c r="AA28" s="45" t="s">
        <v>128</v>
      </c>
      <c r="AB28" s="45" t="s">
        <v>128</v>
      </c>
      <c r="AC28" s="107" t="s">
        <v>128</v>
      </c>
      <c r="AD28" s="107" t="s">
        <v>128</v>
      </c>
      <c r="AE28" s="107" t="s">
        <v>128</v>
      </c>
      <c r="AF28" s="107" t="s">
        <v>128</v>
      </c>
      <c r="AG28" s="107" t="s">
        <v>128</v>
      </c>
      <c r="AH28" s="107" t="s">
        <v>128</v>
      </c>
      <c r="AI28" s="228"/>
      <c r="AJ28" s="228"/>
      <c r="AK28" s="228"/>
      <c r="AL28" s="228"/>
      <c r="AM28" s="228"/>
      <c r="AN28" s="228"/>
      <c r="AO28" s="140"/>
      <c r="AP28" s="140"/>
    </row>
    <row r="29" spans="1:42" s="48" customFormat="1" x14ac:dyDescent="0.2">
      <c r="A29" s="22"/>
      <c r="B29" s="22"/>
      <c r="C29" s="22"/>
      <c r="D29" s="22"/>
      <c r="E29" s="22"/>
      <c r="F29" s="22"/>
      <c r="G29" s="22"/>
      <c r="H29" s="22"/>
      <c r="I29" s="22"/>
      <c r="J29" s="36"/>
      <c r="K29" s="19">
        <v>0</v>
      </c>
      <c r="L29" s="198" t="s">
        <v>128</v>
      </c>
      <c r="M29" s="198" t="s">
        <v>128</v>
      </c>
      <c r="N29" s="197" t="s">
        <v>128</v>
      </c>
      <c r="O29" s="195">
        <v>1</v>
      </c>
      <c r="P29" s="45" t="s">
        <v>128</v>
      </c>
      <c r="Q29" s="45" t="s">
        <v>128</v>
      </c>
      <c r="R29" s="45" t="s">
        <v>128</v>
      </c>
      <c r="S29" s="45" t="s">
        <v>128</v>
      </c>
      <c r="T29" s="45" t="s">
        <v>128</v>
      </c>
      <c r="U29" s="45" t="s">
        <v>128</v>
      </c>
      <c r="V29" s="45" t="s">
        <v>128</v>
      </c>
      <c r="W29" s="45" t="s">
        <v>128</v>
      </c>
      <c r="X29" s="45" t="s">
        <v>128</v>
      </c>
      <c r="Y29" s="45" t="s">
        <v>128</v>
      </c>
      <c r="Z29" s="45" t="s">
        <v>128</v>
      </c>
      <c r="AA29" s="45" t="s">
        <v>128</v>
      </c>
      <c r="AB29" s="45" t="s">
        <v>128</v>
      </c>
      <c r="AC29" s="107" t="s">
        <v>128</v>
      </c>
      <c r="AD29" s="107" t="s">
        <v>128</v>
      </c>
      <c r="AE29" s="107" t="s">
        <v>128</v>
      </c>
      <c r="AF29" s="107" t="s">
        <v>128</v>
      </c>
      <c r="AG29" s="107" t="s">
        <v>128</v>
      </c>
      <c r="AH29" s="107" t="s">
        <v>128</v>
      </c>
      <c r="AI29" s="228"/>
      <c r="AJ29" s="228"/>
      <c r="AK29" s="228"/>
      <c r="AL29" s="228"/>
      <c r="AM29" s="228"/>
      <c r="AN29" s="228"/>
      <c r="AO29" s="140"/>
      <c r="AP29" s="140"/>
    </row>
    <row r="30" spans="1:42" s="48" customFormat="1" x14ac:dyDescent="0.2">
      <c r="A30" s="209"/>
      <c r="B30" s="8"/>
      <c r="C30" s="8"/>
      <c r="D30" s="8"/>
      <c r="E30" s="8"/>
      <c r="F30" s="8"/>
      <c r="G30" s="8"/>
      <c r="H30" s="8"/>
      <c r="I30" s="8"/>
      <c r="J30" s="37"/>
      <c r="K30" s="19">
        <v>0</v>
      </c>
      <c r="L30" s="198" t="s">
        <v>128</v>
      </c>
      <c r="M30" s="198" t="s">
        <v>128</v>
      </c>
      <c r="N30" s="197" t="s">
        <v>128</v>
      </c>
      <c r="O30" s="195">
        <v>1</v>
      </c>
      <c r="P30" s="45" t="s">
        <v>128</v>
      </c>
      <c r="Q30" s="45" t="s">
        <v>128</v>
      </c>
      <c r="R30" s="45" t="s">
        <v>128</v>
      </c>
      <c r="S30" s="45" t="s">
        <v>128</v>
      </c>
      <c r="T30" s="45" t="s">
        <v>128</v>
      </c>
      <c r="U30" s="45" t="s">
        <v>128</v>
      </c>
      <c r="V30" s="45" t="s">
        <v>128</v>
      </c>
      <c r="W30" s="45" t="s">
        <v>128</v>
      </c>
      <c r="X30" s="45" t="s">
        <v>128</v>
      </c>
      <c r="Y30" s="45" t="s">
        <v>128</v>
      </c>
      <c r="Z30" s="45" t="s">
        <v>128</v>
      </c>
      <c r="AA30" s="45" t="s">
        <v>128</v>
      </c>
      <c r="AB30" s="45" t="s">
        <v>128</v>
      </c>
      <c r="AC30" s="107" t="s">
        <v>128</v>
      </c>
      <c r="AD30" s="107" t="s">
        <v>128</v>
      </c>
      <c r="AE30" s="107" t="s">
        <v>128</v>
      </c>
      <c r="AF30" s="107" t="s">
        <v>128</v>
      </c>
      <c r="AG30" s="107" t="s">
        <v>128</v>
      </c>
      <c r="AH30" s="107" t="s">
        <v>128</v>
      </c>
      <c r="AI30" s="228"/>
      <c r="AJ30" s="228"/>
      <c r="AK30" s="228"/>
      <c r="AL30" s="228"/>
      <c r="AM30" s="228"/>
      <c r="AN30" s="228"/>
      <c r="AO30" s="140"/>
      <c r="AP30" s="140"/>
    </row>
    <row r="31" spans="1:42" s="48" customFormat="1" x14ac:dyDescent="0.2">
      <c r="A31" s="22"/>
      <c r="B31" s="22"/>
      <c r="C31" s="22"/>
      <c r="D31" s="22"/>
      <c r="E31" s="22"/>
      <c r="F31" s="22"/>
      <c r="G31" s="22"/>
      <c r="H31" s="22"/>
      <c r="I31" s="22"/>
      <c r="J31" s="36"/>
      <c r="K31" s="19">
        <v>0</v>
      </c>
      <c r="L31" s="198" t="s">
        <v>128</v>
      </c>
      <c r="M31" s="198" t="s">
        <v>128</v>
      </c>
      <c r="N31" s="197" t="s">
        <v>128</v>
      </c>
      <c r="O31" s="195">
        <v>1</v>
      </c>
      <c r="P31" s="45" t="s">
        <v>128</v>
      </c>
      <c r="Q31" s="45" t="s">
        <v>128</v>
      </c>
      <c r="R31" s="45" t="s">
        <v>128</v>
      </c>
      <c r="S31" s="45" t="s">
        <v>128</v>
      </c>
      <c r="T31" s="45" t="s">
        <v>128</v>
      </c>
      <c r="U31" s="45" t="s">
        <v>128</v>
      </c>
      <c r="V31" s="45" t="s">
        <v>128</v>
      </c>
      <c r="W31" s="45" t="s">
        <v>128</v>
      </c>
      <c r="X31" s="45" t="s">
        <v>128</v>
      </c>
      <c r="Y31" s="45" t="s">
        <v>128</v>
      </c>
      <c r="Z31" s="45" t="s">
        <v>128</v>
      </c>
      <c r="AA31" s="45" t="s">
        <v>128</v>
      </c>
      <c r="AB31" s="45" t="s">
        <v>128</v>
      </c>
      <c r="AC31" s="107" t="s">
        <v>128</v>
      </c>
      <c r="AD31" s="107" t="s">
        <v>128</v>
      </c>
      <c r="AE31" s="107" t="s">
        <v>128</v>
      </c>
      <c r="AF31" s="107" t="s">
        <v>128</v>
      </c>
      <c r="AG31" s="107" t="s">
        <v>128</v>
      </c>
      <c r="AH31" s="107" t="s">
        <v>128</v>
      </c>
      <c r="AI31" s="228"/>
      <c r="AJ31" s="228"/>
      <c r="AK31" s="228"/>
      <c r="AL31" s="228"/>
      <c r="AM31" s="228"/>
      <c r="AN31" s="228"/>
      <c r="AO31" s="140"/>
      <c r="AP31" s="140"/>
    </row>
    <row r="32" spans="1:42" s="48" customFormat="1" x14ac:dyDescent="0.2">
      <c r="A32" s="209"/>
      <c r="B32" s="8"/>
      <c r="C32" s="8"/>
      <c r="D32" s="8"/>
      <c r="E32" s="8"/>
      <c r="F32" s="8"/>
      <c r="G32" s="8"/>
      <c r="H32" s="8"/>
      <c r="I32" s="8"/>
      <c r="J32" s="37"/>
      <c r="K32" s="19">
        <v>0</v>
      </c>
      <c r="L32" s="198" t="s">
        <v>128</v>
      </c>
      <c r="M32" s="198" t="s">
        <v>128</v>
      </c>
      <c r="N32" s="197" t="s">
        <v>128</v>
      </c>
      <c r="O32" s="195">
        <v>1</v>
      </c>
      <c r="P32" s="45" t="s">
        <v>128</v>
      </c>
      <c r="Q32" s="45" t="s">
        <v>128</v>
      </c>
      <c r="R32" s="45" t="s">
        <v>128</v>
      </c>
      <c r="S32" s="45" t="s">
        <v>128</v>
      </c>
      <c r="T32" s="45" t="s">
        <v>128</v>
      </c>
      <c r="U32" s="45" t="s">
        <v>128</v>
      </c>
      <c r="V32" s="45" t="s">
        <v>128</v>
      </c>
      <c r="W32" s="45" t="s">
        <v>128</v>
      </c>
      <c r="X32" s="45" t="s">
        <v>128</v>
      </c>
      <c r="Y32" s="45" t="s">
        <v>128</v>
      </c>
      <c r="Z32" s="45" t="s">
        <v>128</v>
      </c>
      <c r="AA32" s="45" t="s">
        <v>128</v>
      </c>
      <c r="AB32" s="45" t="s">
        <v>128</v>
      </c>
      <c r="AC32" s="107" t="s">
        <v>128</v>
      </c>
      <c r="AD32" s="107" t="s">
        <v>128</v>
      </c>
      <c r="AE32" s="107" t="s">
        <v>128</v>
      </c>
      <c r="AF32" s="107" t="s">
        <v>128</v>
      </c>
      <c r="AG32" s="107" t="s">
        <v>128</v>
      </c>
      <c r="AH32" s="107" t="s">
        <v>128</v>
      </c>
      <c r="AI32" s="228"/>
      <c r="AJ32" s="228"/>
      <c r="AK32" s="228"/>
      <c r="AL32" s="228"/>
      <c r="AM32" s="228"/>
      <c r="AN32" s="228"/>
      <c r="AO32" s="140"/>
      <c r="AP32" s="140"/>
    </row>
    <row r="33" spans="1:42" s="48" customFormat="1" x14ac:dyDescent="0.2">
      <c r="A33" s="22"/>
      <c r="B33" s="22"/>
      <c r="C33" s="22"/>
      <c r="D33" s="22"/>
      <c r="E33" s="22"/>
      <c r="F33" s="22"/>
      <c r="G33" s="22"/>
      <c r="H33" s="22"/>
      <c r="I33" s="22"/>
      <c r="J33" s="36"/>
      <c r="K33" s="19">
        <v>0</v>
      </c>
      <c r="L33" s="198" t="s">
        <v>128</v>
      </c>
      <c r="M33" s="198" t="s">
        <v>128</v>
      </c>
      <c r="N33" s="197" t="s">
        <v>128</v>
      </c>
      <c r="O33" s="195">
        <v>1</v>
      </c>
      <c r="P33" s="45" t="s">
        <v>128</v>
      </c>
      <c r="Q33" s="45" t="s">
        <v>128</v>
      </c>
      <c r="R33" s="45" t="s">
        <v>128</v>
      </c>
      <c r="S33" s="45" t="s">
        <v>128</v>
      </c>
      <c r="T33" s="45" t="s">
        <v>128</v>
      </c>
      <c r="U33" s="45" t="s">
        <v>128</v>
      </c>
      <c r="V33" s="45" t="s">
        <v>128</v>
      </c>
      <c r="W33" s="45" t="s">
        <v>128</v>
      </c>
      <c r="X33" s="45" t="s">
        <v>128</v>
      </c>
      <c r="Y33" s="45" t="s">
        <v>128</v>
      </c>
      <c r="Z33" s="45" t="s">
        <v>128</v>
      </c>
      <c r="AA33" s="45" t="s">
        <v>128</v>
      </c>
      <c r="AB33" s="45" t="s">
        <v>128</v>
      </c>
      <c r="AC33" s="107" t="s">
        <v>128</v>
      </c>
      <c r="AD33" s="107" t="s">
        <v>128</v>
      </c>
      <c r="AE33" s="107" t="s">
        <v>128</v>
      </c>
      <c r="AF33" s="107" t="s">
        <v>128</v>
      </c>
      <c r="AG33" s="107" t="s">
        <v>128</v>
      </c>
      <c r="AH33" s="107" t="s">
        <v>128</v>
      </c>
      <c r="AI33" s="228"/>
      <c r="AJ33" s="228"/>
      <c r="AK33" s="228"/>
      <c r="AL33" s="228"/>
      <c r="AM33" s="228"/>
      <c r="AN33" s="228"/>
      <c r="AO33" s="140"/>
      <c r="AP33" s="140"/>
    </row>
    <row r="34" spans="1:42" s="48" customFormat="1" x14ac:dyDescent="0.2">
      <c r="A34" s="209"/>
      <c r="B34" s="8"/>
      <c r="C34" s="8"/>
      <c r="D34" s="8"/>
      <c r="E34" s="8"/>
      <c r="F34" s="8"/>
      <c r="G34" s="8"/>
      <c r="H34" s="8"/>
      <c r="I34" s="8"/>
      <c r="J34" s="37"/>
      <c r="K34" s="19">
        <v>0</v>
      </c>
      <c r="L34" s="198" t="s">
        <v>128</v>
      </c>
      <c r="M34" s="198" t="s">
        <v>128</v>
      </c>
      <c r="N34" s="197" t="s">
        <v>128</v>
      </c>
      <c r="O34" s="195">
        <v>1</v>
      </c>
      <c r="P34" s="45" t="s">
        <v>128</v>
      </c>
      <c r="Q34" s="45" t="s">
        <v>128</v>
      </c>
      <c r="R34" s="45" t="s">
        <v>128</v>
      </c>
      <c r="S34" s="45" t="s">
        <v>128</v>
      </c>
      <c r="T34" s="45" t="s">
        <v>128</v>
      </c>
      <c r="U34" s="45" t="s">
        <v>128</v>
      </c>
      <c r="V34" s="45" t="s">
        <v>128</v>
      </c>
      <c r="W34" s="45" t="s">
        <v>128</v>
      </c>
      <c r="X34" s="45" t="s">
        <v>128</v>
      </c>
      <c r="Y34" s="45" t="s">
        <v>128</v>
      </c>
      <c r="Z34" s="45" t="s">
        <v>128</v>
      </c>
      <c r="AA34" s="45" t="s">
        <v>128</v>
      </c>
      <c r="AB34" s="45" t="s">
        <v>128</v>
      </c>
      <c r="AC34" s="107" t="s">
        <v>128</v>
      </c>
      <c r="AD34" s="107" t="s">
        <v>128</v>
      </c>
      <c r="AE34" s="107" t="s">
        <v>128</v>
      </c>
      <c r="AF34" s="107" t="s">
        <v>128</v>
      </c>
      <c r="AG34" s="107" t="s">
        <v>128</v>
      </c>
      <c r="AH34" s="107" t="s">
        <v>128</v>
      </c>
      <c r="AI34" s="228"/>
      <c r="AJ34" s="228"/>
      <c r="AK34" s="228"/>
      <c r="AL34" s="228"/>
      <c r="AM34" s="228"/>
      <c r="AN34" s="228"/>
      <c r="AO34" s="228"/>
      <c r="AP34" s="228"/>
    </row>
    <row r="35" spans="1:42" s="48" customFormat="1" x14ac:dyDescent="0.2">
      <c r="A35" s="22"/>
      <c r="B35" s="22"/>
      <c r="C35" s="22"/>
      <c r="D35" s="22"/>
      <c r="E35" s="22"/>
      <c r="F35" s="22"/>
      <c r="G35" s="22"/>
      <c r="H35" s="22"/>
      <c r="I35" s="22"/>
      <c r="J35" s="36"/>
      <c r="K35" s="19">
        <v>0</v>
      </c>
      <c r="L35" s="198" t="s">
        <v>128</v>
      </c>
      <c r="M35" s="198" t="s">
        <v>128</v>
      </c>
      <c r="N35" s="197" t="s">
        <v>128</v>
      </c>
      <c r="O35" s="195">
        <v>1</v>
      </c>
      <c r="P35" s="45" t="s">
        <v>128</v>
      </c>
      <c r="Q35" s="45" t="s">
        <v>128</v>
      </c>
      <c r="R35" s="45" t="s">
        <v>128</v>
      </c>
      <c r="S35" s="45" t="s">
        <v>128</v>
      </c>
      <c r="T35" s="45" t="s">
        <v>128</v>
      </c>
      <c r="U35" s="45" t="s">
        <v>128</v>
      </c>
      <c r="V35" s="45" t="s">
        <v>128</v>
      </c>
      <c r="W35" s="45" t="s">
        <v>128</v>
      </c>
      <c r="X35" s="45" t="s">
        <v>128</v>
      </c>
      <c r="Y35" s="45" t="s">
        <v>128</v>
      </c>
      <c r="Z35" s="45" t="s">
        <v>128</v>
      </c>
      <c r="AA35" s="45" t="s">
        <v>128</v>
      </c>
      <c r="AB35" s="45" t="s">
        <v>128</v>
      </c>
      <c r="AC35" s="107" t="s">
        <v>128</v>
      </c>
      <c r="AD35" s="107" t="s">
        <v>128</v>
      </c>
      <c r="AE35" s="107" t="s">
        <v>128</v>
      </c>
      <c r="AF35" s="107" t="s">
        <v>128</v>
      </c>
      <c r="AG35" s="107" t="s">
        <v>128</v>
      </c>
      <c r="AH35" s="107" t="s">
        <v>128</v>
      </c>
      <c r="AI35" s="228"/>
      <c r="AJ35" s="228"/>
      <c r="AK35" s="228"/>
      <c r="AL35" s="228"/>
      <c r="AM35" s="228"/>
      <c r="AN35" s="228"/>
      <c r="AO35" s="228"/>
      <c r="AP35" s="228"/>
    </row>
    <row r="36" spans="1:42" s="48" customFormat="1" x14ac:dyDescent="0.2">
      <c r="A36" s="209"/>
      <c r="B36" s="8"/>
      <c r="C36" s="8"/>
      <c r="D36" s="8"/>
      <c r="E36" s="8"/>
      <c r="F36" s="8"/>
      <c r="G36" s="8"/>
      <c r="H36" s="8"/>
      <c r="I36" s="8"/>
      <c r="J36" s="37"/>
      <c r="K36" s="19">
        <v>0</v>
      </c>
      <c r="L36" s="198" t="s">
        <v>128</v>
      </c>
      <c r="M36" s="198" t="s">
        <v>128</v>
      </c>
      <c r="N36" s="197" t="s">
        <v>128</v>
      </c>
      <c r="O36" s="195">
        <v>1</v>
      </c>
      <c r="P36" s="45" t="s">
        <v>128</v>
      </c>
      <c r="Q36" s="45" t="s">
        <v>128</v>
      </c>
      <c r="R36" s="45" t="s">
        <v>128</v>
      </c>
      <c r="S36" s="45" t="s">
        <v>128</v>
      </c>
      <c r="T36" s="45" t="s">
        <v>128</v>
      </c>
      <c r="U36" s="45" t="s">
        <v>128</v>
      </c>
      <c r="V36" s="45" t="s">
        <v>128</v>
      </c>
      <c r="W36" s="45" t="s">
        <v>128</v>
      </c>
      <c r="X36" s="45" t="s">
        <v>128</v>
      </c>
      <c r="Y36" s="45" t="s">
        <v>128</v>
      </c>
      <c r="Z36" s="45" t="s">
        <v>128</v>
      </c>
      <c r="AA36" s="45" t="s">
        <v>128</v>
      </c>
      <c r="AB36" s="45" t="s">
        <v>128</v>
      </c>
      <c r="AC36" s="107" t="s">
        <v>128</v>
      </c>
      <c r="AD36" s="107" t="s">
        <v>128</v>
      </c>
      <c r="AE36" s="107" t="s">
        <v>128</v>
      </c>
      <c r="AF36" s="107" t="s">
        <v>128</v>
      </c>
      <c r="AG36" s="107" t="s">
        <v>128</v>
      </c>
      <c r="AH36" s="107" t="s">
        <v>128</v>
      </c>
      <c r="AI36" s="228"/>
      <c r="AJ36" s="228"/>
      <c r="AK36" s="228"/>
      <c r="AL36" s="228"/>
      <c r="AM36" s="228"/>
      <c r="AN36" s="228"/>
      <c r="AO36" s="228"/>
      <c r="AP36" s="228"/>
    </row>
    <row r="37" spans="1:42" s="48" customFormat="1" x14ac:dyDescent="0.2">
      <c r="A37" s="22"/>
      <c r="B37" s="22"/>
      <c r="C37" s="22"/>
      <c r="D37" s="22"/>
      <c r="E37" s="22"/>
      <c r="F37" s="22"/>
      <c r="G37" s="22"/>
      <c r="H37" s="22"/>
      <c r="I37" s="22"/>
      <c r="J37" s="36"/>
      <c r="K37" s="19">
        <v>0</v>
      </c>
      <c r="L37" s="198" t="s">
        <v>128</v>
      </c>
      <c r="M37" s="198" t="s">
        <v>128</v>
      </c>
      <c r="N37" s="197" t="s">
        <v>128</v>
      </c>
      <c r="O37" s="195">
        <v>1</v>
      </c>
      <c r="P37" s="45" t="s">
        <v>128</v>
      </c>
      <c r="Q37" s="45" t="s">
        <v>128</v>
      </c>
      <c r="R37" s="45" t="s">
        <v>128</v>
      </c>
      <c r="S37" s="45" t="s">
        <v>128</v>
      </c>
      <c r="T37" s="45" t="s">
        <v>128</v>
      </c>
      <c r="U37" s="45" t="s">
        <v>128</v>
      </c>
      <c r="V37" s="45" t="s">
        <v>128</v>
      </c>
      <c r="W37" s="45" t="s">
        <v>128</v>
      </c>
      <c r="X37" s="45" t="s">
        <v>128</v>
      </c>
      <c r="Y37" s="45" t="s">
        <v>128</v>
      </c>
      <c r="Z37" s="45" t="s">
        <v>128</v>
      </c>
      <c r="AA37" s="45" t="s">
        <v>128</v>
      </c>
      <c r="AB37" s="45" t="s">
        <v>128</v>
      </c>
      <c r="AC37" s="107" t="s">
        <v>128</v>
      </c>
      <c r="AD37" s="107" t="s">
        <v>128</v>
      </c>
      <c r="AE37" s="107" t="s">
        <v>128</v>
      </c>
      <c r="AF37" s="107" t="s">
        <v>128</v>
      </c>
      <c r="AG37" s="107" t="s">
        <v>128</v>
      </c>
      <c r="AH37" s="107" t="s">
        <v>128</v>
      </c>
      <c r="AI37" s="228"/>
      <c r="AJ37" s="228"/>
      <c r="AK37" s="228"/>
      <c r="AL37" s="228"/>
      <c r="AM37" s="228"/>
      <c r="AN37" s="228"/>
      <c r="AO37" s="228"/>
      <c r="AP37" s="228"/>
    </row>
    <row r="38" spans="1:42" s="48" customFormat="1" x14ac:dyDescent="0.15">
      <c r="A38" s="209"/>
      <c r="B38" s="8"/>
      <c r="C38" s="8"/>
      <c r="D38" s="8"/>
      <c r="E38" s="8"/>
      <c r="F38" s="8"/>
      <c r="G38" s="8"/>
      <c r="H38" s="8"/>
      <c r="I38" s="8"/>
      <c r="J38" s="37"/>
      <c r="K38" s="19">
        <v>0</v>
      </c>
      <c r="L38" s="198" t="s">
        <v>128</v>
      </c>
      <c r="M38" s="198" t="s">
        <v>128</v>
      </c>
      <c r="N38" s="197" t="s">
        <v>128</v>
      </c>
      <c r="O38" s="195">
        <v>1</v>
      </c>
      <c r="P38" s="45" t="s">
        <v>128</v>
      </c>
      <c r="Q38" s="45" t="s">
        <v>128</v>
      </c>
      <c r="R38" s="45" t="s">
        <v>128</v>
      </c>
      <c r="S38" s="45" t="s">
        <v>128</v>
      </c>
      <c r="T38" s="45" t="s">
        <v>128</v>
      </c>
      <c r="U38" s="45" t="s">
        <v>128</v>
      </c>
      <c r="V38" s="45" t="s">
        <v>128</v>
      </c>
      <c r="W38" s="45" t="s">
        <v>128</v>
      </c>
      <c r="X38" s="45" t="s">
        <v>128</v>
      </c>
      <c r="Y38" s="45" t="s">
        <v>128</v>
      </c>
      <c r="Z38" s="45" t="s">
        <v>128</v>
      </c>
      <c r="AA38" s="45" t="s">
        <v>128</v>
      </c>
      <c r="AB38" s="45" t="s">
        <v>128</v>
      </c>
      <c r="AC38" s="107" t="s">
        <v>128</v>
      </c>
      <c r="AD38" s="107" t="s">
        <v>128</v>
      </c>
      <c r="AE38" s="107" t="s">
        <v>128</v>
      </c>
      <c r="AF38" s="107" t="s">
        <v>128</v>
      </c>
      <c r="AG38" s="107" t="s">
        <v>128</v>
      </c>
      <c r="AH38" s="107" t="s">
        <v>128</v>
      </c>
      <c r="AI38" s="205"/>
      <c r="AJ38" s="140"/>
      <c r="AK38" s="305"/>
      <c r="AL38" s="306"/>
      <c r="AM38" s="228"/>
      <c r="AN38" s="140"/>
      <c r="AO38" s="140"/>
      <c r="AP38" s="140"/>
    </row>
    <row r="39" spans="1:42" s="48" customFormat="1" x14ac:dyDescent="0.2">
      <c r="A39" s="22"/>
      <c r="B39" s="22"/>
      <c r="C39" s="22"/>
      <c r="D39" s="22"/>
      <c r="E39" s="22"/>
      <c r="F39" s="22"/>
      <c r="G39" s="22"/>
      <c r="H39" s="22"/>
      <c r="I39" s="22"/>
      <c r="J39" s="36"/>
      <c r="K39" s="19">
        <v>0</v>
      </c>
      <c r="L39" s="198" t="s">
        <v>128</v>
      </c>
      <c r="M39" s="198" t="s">
        <v>128</v>
      </c>
      <c r="N39" s="197" t="s">
        <v>128</v>
      </c>
      <c r="O39" s="195">
        <v>1</v>
      </c>
      <c r="P39" s="45" t="s">
        <v>128</v>
      </c>
      <c r="Q39" s="45" t="s">
        <v>128</v>
      </c>
      <c r="R39" s="45" t="s">
        <v>128</v>
      </c>
      <c r="S39" s="45" t="s">
        <v>128</v>
      </c>
      <c r="T39" s="45" t="s">
        <v>128</v>
      </c>
      <c r="U39" s="45" t="s">
        <v>128</v>
      </c>
      <c r="V39" s="45" t="s">
        <v>128</v>
      </c>
      <c r="W39" s="45" t="s">
        <v>128</v>
      </c>
      <c r="X39" s="45" t="s">
        <v>128</v>
      </c>
      <c r="Y39" s="45" t="s">
        <v>128</v>
      </c>
      <c r="Z39" s="45" t="s">
        <v>128</v>
      </c>
      <c r="AA39" s="45" t="s">
        <v>128</v>
      </c>
      <c r="AB39" s="45" t="s">
        <v>128</v>
      </c>
      <c r="AC39" s="107" t="s">
        <v>128</v>
      </c>
      <c r="AD39" s="107" t="s">
        <v>128</v>
      </c>
      <c r="AE39" s="107" t="s">
        <v>128</v>
      </c>
      <c r="AF39" s="107" t="s">
        <v>128</v>
      </c>
      <c r="AG39" s="107" t="s">
        <v>128</v>
      </c>
      <c r="AH39" s="107" t="s">
        <v>128</v>
      </c>
      <c r="AI39" s="228"/>
      <c r="AJ39" s="228"/>
      <c r="AK39" s="228"/>
      <c r="AL39" s="228"/>
      <c r="AM39" s="228"/>
      <c r="AN39" s="140"/>
      <c r="AO39" s="228"/>
      <c r="AP39" s="228"/>
    </row>
    <row r="40" spans="1:42" s="48" customFormat="1" x14ac:dyDescent="0.2">
      <c r="A40" s="209"/>
      <c r="B40" s="8"/>
      <c r="C40" s="8"/>
      <c r="D40" s="8"/>
      <c r="E40" s="8"/>
      <c r="F40" s="8"/>
      <c r="G40" s="8"/>
      <c r="H40" s="8"/>
      <c r="I40" s="8"/>
      <c r="J40" s="37"/>
      <c r="K40" s="19">
        <v>0</v>
      </c>
      <c r="L40" s="198" t="s">
        <v>128</v>
      </c>
      <c r="M40" s="198" t="s">
        <v>128</v>
      </c>
      <c r="N40" s="197" t="s">
        <v>128</v>
      </c>
      <c r="O40" s="195">
        <v>1</v>
      </c>
      <c r="P40" s="45" t="s">
        <v>128</v>
      </c>
      <c r="Q40" s="45" t="s">
        <v>128</v>
      </c>
      <c r="R40" s="45" t="s">
        <v>128</v>
      </c>
      <c r="S40" s="45" t="s">
        <v>128</v>
      </c>
      <c r="T40" s="45" t="s">
        <v>128</v>
      </c>
      <c r="U40" s="45" t="s">
        <v>128</v>
      </c>
      <c r="V40" s="45" t="s">
        <v>128</v>
      </c>
      <c r="W40" s="45" t="s">
        <v>128</v>
      </c>
      <c r="X40" s="45" t="s">
        <v>128</v>
      </c>
      <c r="Y40" s="45" t="s">
        <v>128</v>
      </c>
      <c r="Z40" s="45" t="s">
        <v>128</v>
      </c>
      <c r="AA40" s="45" t="s">
        <v>128</v>
      </c>
      <c r="AB40" s="45" t="s">
        <v>128</v>
      </c>
      <c r="AC40" s="107" t="s">
        <v>128</v>
      </c>
      <c r="AD40" s="107" t="s">
        <v>128</v>
      </c>
      <c r="AE40" s="107" t="s">
        <v>128</v>
      </c>
      <c r="AF40" s="107" t="s">
        <v>128</v>
      </c>
      <c r="AG40" s="107" t="s">
        <v>128</v>
      </c>
      <c r="AH40" s="107" t="s">
        <v>128</v>
      </c>
      <c r="AI40" s="228"/>
      <c r="AJ40" s="228"/>
      <c r="AK40" s="228"/>
      <c r="AL40" s="228"/>
      <c r="AM40" s="228"/>
      <c r="AN40" s="140"/>
      <c r="AO40" s="228"/>
      <c r="AP40" s="228"/>
    </row>
    <row r="41" spans="1:42" s="48" customFormat="1" x14ac:dyDescent="0.15">
      <c r="A41" s="22"/>
      <c r="B41" s="22"/>
      <c r="C41" s="22"/>
      <c r="D41" s="22"/>
      <c r="E41" s="22"/>
      <c r="F41" s="22"/>
      <c r="G41" s="22"/>
      <c r="H41" s="22"/>
      <c r="I41" s="22"/>
      <c r="J41" s="36"/>
      <c r="K41" s="19">
        <v>0</v>
      </c>
      <c r="L41" s="198" t="s">
        <v>128</v>
      </c>
      <c r="M41" s="198" t="s">
        <v>128</v>
      </c>
      <c r="N41" s="197" t="s">
        <v>128</v>
      </c>
      <c r="O41" s="195">
        <v>1</v>
      </c>
      <c r="P41" s="45" t="s">
        <v>128</v>
      </c>
      <c r="Q41" s="45" t="s">
        <v>128</v>
      </c>
      <c r="R41" s="45" t="s">
        <v>128</v>
      </c>
      <c r="S41" s="45" t="s">
        <v>128</v>
      </c>
      <c r="T41" s="45" t="s">
        <v>128</v>
      </c>
      <c r="U41" s="45" t="s">
        <v>128</v>
      </c>
      <c r="V41" s="45" t="s">
        <v>128</v>
      </c>
      <c r="W41" s="45" t="s">
        <v>128</v>
      </c>
      <c r="X41" s="45" t="s">
        <v>128</v>
      </c>
      <c r="Y41" s="45" t="s">
        <v>128</v>
      </c>
      <c r="Z41" s="45" t="s">
        <v>128</v>
      </c>
      <c r="AA41" s="45" t="s">
        <v>128</v>
      </c>
      <c r="AB41" s="45" t="s">
        <v>128</v>
      </c>
      <c r="AC41" s="107" t="s">
        <v>128</v>
      </c>
      <c r="AD41" s="107" t="s">
        <v>128</v>
      </c>
      <c r="AE41" s="107" t="s">
        <v>128</v>
      </c>
      <c r="AF41" s="107" t="s">
        <v>128</v>
      </c>
      <c r="AG41" s="107" t="s">
        <v>128</v>
      </c>
      <c r="AH41" s="107" t="s">
        <v>128</v>
      </c>
      <c r="AI41" s="205"/>
      <c r="AJ41" s="140"/>
      <c r="AK41" s="305"/>
      <c r="AL41" s="306"/>
      <c r="AM41" s="228"/>
      <c r="AN41" s="140"/>
      <c r="AO41" s="140"/>
      <c r="AP41" s="140"/>
    </row>
    <row r="42" spans="1:42" s="48" customFormat="1" x14ac:dyDescent="0.2">
      <c r="A42" s="209"/>
      <c r="B42" s="8"/>
      <c r="C42" s="8"/>
      <c r="D42" s="8"/>
      <c r="E42" s="8"/>
      <c r="F42" s="8"/>
      <c r="G42" s="8"/>
      <c r="H42" s="8"/>
      <c r="I42" s="8"/>
      <c r="J42" s="37"/>
      <c r="K42" s="19">
        <v>0</v>
      </c>
      <c r="L42" s="198" t="s">
        <v>128</v>
      </c>
      <c r="M42" s="198" t="s">
        <v>128</v>
      </c>
      <c r="N42" s="197" t="s">
        <v>128</v>
      </c>
      <c r="O42" s="195">
        <v>1</v>
      </c>
      <c r="P42" s="45" t="s">
        <v>128</v>
      </c>
      <c r="Q42" s="45" t="s">
        <v>128</v>
      </c>
      <c r="R42" s="45" t="s">
        <v>128</v>
      </c>
      <c r="S42" s="45" t="s">
        <v>128</v>
      </c>
      <c r="T42" s="45" t="s">
        <v>128</v>
      </c>
      <c r="U42" s="45" t="s">
        <v>128</v>
      </c>
      <c r="V42" s="45" t="s">
        <v>128</v>
      </c>
      <c r="W42" s="45" t="s">
        <v>128</v>
      </c>
      <c r="X42" s="45" t="s">
        <v>128</v>
      </c>
      <c r="Y42" s="45" t="s">
        <v>128</v>
      </c>
      <c r="Z42" s="45" t="s">
        <v>128</v>
      </c>
      <c r="AA42" s="45" t="s">
        <v>128</v>
      </c>
      <c r="AB42" s="45" t="s">
        <v>128</v>
      </c>
      <c r="AC42" s="107" t="s">
        <v>128</v>
      </c>
      <c r="AD42" s="107" t="s">
        <v>128</v>
      </c>
      <c r="AE42" s="107" t="s">
        <v>128</v>
      </c>
      <c r="AF42" s="107" t="s">
        <v>128</v>
      </c>
      <c r="AG42" s="107" t="s">
        <v>128</v>
      </c>
      <c r="AH42" s="107" t="s">
        <v>128</v>
      </c>
      <c r="AI42" s="228"/>
      <c r="AJ42" s="140"/>
      <c r="AK42" s="228"/>
      <c r="AL42" s="228"/>
      <c r="AM42" s="228"/>
      <c r="AN42" s="140"/>
      <c r="AO42" s="228"/>
      <c r="AP42" s="228"/>
    </row>
    <row r="43" spans="1:42" s="48" customFormat="1" x14ac:dyDescent="0.15">
      <c r="A43" s="22"/>
      <c r="B43" s="22"/>
      <c r="C43" s="22"/>
      <c r="D43" s="22"/>
      <c r="E43" s="22"/>
      <c r="F43" s="22"/>
      <c r="G43" s="22"/>
      <c r="H43" s="22"/>
      <c r="I43" s="22"/>
      <c r="J43" s="36"/>
      <c r="K43" s="19">
        <v>0</v>
      </c>
      <c r="L43" s="198" t="s">
        <v>128</v>
      </c>
      <c r="M43" s="198" t="s">
        <v>128</v>
      </c>
      <c r="N43" s="197" t="s">
        <v>128</v>
      </c>
      <c r="O43" s="195">
        <v>1</v>
      </c>
      <c r="P43" s="45" t="s">
        <v>128</v>
      </c>
      <c r="Q43" s="45" t="s">
        <v>128</v>
      </c>
      <c r="R43" s="45" t="s">
        <v>128</v>
      </c>
      <c r="S43" s="45" t="s">
        <v>128</v>
      </c>
      <c r="T43" s="45" t="s">
        <v>128</v>
      </c>
      <c r="U43" s="45" t="s">
        <v>128</v>
      </c>
      <c r="V43" s="45" t="s">
        <v>128</v>
      </c>
      <c r="W43" s="45" t="s">
        <v>128</v>
      </c>
      <c r="X43" s="45" t="s">
        <v>128</v>
      </c>
      <c r="Y43" s="45" t="s">
        <v>128</v>
      </c>
      <c r="Z43" s="45" t="s">
        <v>128</v>
      </c>
      <c r="AA43" s="45" t="s">
        <v>128</v>
      </c>
      <c r="AB43" s="45" t="s">
        <v>128</v>
      </c>
      <c r="AC43" s="107" t="s">
        <v>128</v>
      </c>
      <c r="AD43" s="107" t="s">
        <v>128</v>
      </c>
      <c r="AE43" s="107" t="s">
        <v>128</v>
      </c>
      <c r="AF43" s="107" t="s">
        <v>128</v>
      </c>
      <c r="AG43" s="107" t="s">
        <v>128</v>
      </c>
      <c r="AH43" s="107" t="s">
        <v>128</v>
      </c>
      <c r="AI43" s="280"/>
      <c r="AJ43" s="274"/>
      <c r="AK43" s="307"/>
      <c r="AL43" s="308"/>
      <c r="AM43" s="273"/>
      <c r="AN43" s="274"/>
      <c r="AO43" s="274"/>
      <c r="AP43" s="274"/>
    </row>
    <row r="44" spans="1:42" s="48" customFormat="1" x14ac:dyDescent="0.2">
      <c r="A44" s="209"/>
      <c r="B44" s="8"/>
      <c r="C44" s="8"/>
      <c r="D44" s="8"/>
      <c r="E44" s="8"/>
      <c r="F44" s="8"/>
      <c r="G44" s="8"/>
      <c r="H44" s="8"/>
      <c r="I44" s="8"/>
      <c r="J44" s="37"/>
      <c r="K44" s="19">
        <v>0</v>
      </c>
      <c r="L44" s="198" t="s">
        <v>128</v>
      </c>
      <c r="M44" s="198" t="s">
        <v>128</v>
      </c>
      <c r="N44" s="197" t="s">
        <v>128</v>
      </c>
      <c r="O44" s="195">
        <v>1</v>
      </c>
      <c r="P44" s="45" t="s">
        <v>128</v>
      </c>
      <c r="Q44" s="45" t="s">
        <v>128</v>
      </c>
      <c r="R44" s="45" t="s">
        <v>128</v>
      </c>
      <c r="S44" s="45" t="s">
        <v>128</v>
      </c>
      <c r="T44" s="45" t="s">
        <v>128</v>
      </c>
      <c r="U44" s="45" t="s">
        <v>128</v>
      </c>
      <c r="V44" s="45" t="s">
        <v>128</v>
      </c>
      <c r="W44" s="45" t="s">
        <v>128</v>
      </c>
      <c r="X44" s="45" t="s">
        <v>128</v>
      </c>
      <c r="Y44" s="45" t="s">
        <v>128</v>
      </c>
      <c r="Z44" s="45" t="s">
        <v>128</v>
      </c>
      <c r="AA44" s="45" t="s">
        <v>128</v>
      </c>
      <c r="AB44" s="45" t="s">
        <v>128</v>
      </c>
      <c r="AC44" s="107" t="s">
        <v>128</v>
      </c>
      <c r="AD44" s="107" t="s">
        <v>128</v>
      </c>
      <c r="AE44" s="107" t="s">
        <v>128</v>
      </c>
      <c r="AF44" s="107" t="s">
        <v>128</v>
      </c>
      <c r="AG44" s="107" t="s">
        <v>128</v>
      </c>
      <c r="AH44" s="107" t="s">
        <v>128</v>
      </c>
      <c r="AI44" s="228"/>
      <c r="AJ44" s="228"/>
      <c r="AK44" s="228"/>
      <c r="AL44" s="228"/>
      <c r="AM44" s="228"/>
      <c r="AN44" s="228"/>
      <c r="AO44" s="228"/>
      <c r="AP44" s="228"/>
    </row>
    <row r="45" spans="1:42" s="48" customFormat="1" x14ac:dyDescent="0.2">
      <c r="A45" s="22"/>
      <c r="B45" s="22"/>
      <c r="C45" s="22"/>
      <c r="D45" s="22"/>
      <c r="E45" s="22"/>
      <c r="F45" s="22"/>
      <c r="G45" s="22"/>
      <c r="H45" s="22"/>
      <c r="I45" s="22"/>
      <c r="J45" s="36"/>
      <c r="K45" s="19">
        <v>0</v>
      </c>
      <c r="L45" s="198" t="s">
        <v>128</v>
      </c>
      <c r="M45" s="198" t="s">
        <v>128</v>
      </c>
      <c r="N45" s="197" t="s">
        <v>128</v>
      </c>
      <c r="O45" s="195">
        <v>1</v>
      </c>
      <c r="P45" s="45" t="s">
        <v>128</v>
      </c>
      <c r="Q45" s="45" t="s">
        <v>128</v>
      </c>
      <c r="R45" s="45" t="s">
        <v>128</v>
      </c>
      <c r="S45" s="45" t="s">
        <v>128</v>
      </c>
      <c r="T45" s="45" t="s">
        <v>128</v>
      </c>
      <c r="U45" s="45" t="s">
        <v>128</v>
      </c>
      <c r="V45" s="45" t="s">
        <v>128</v>
      </c>
      <c r="W45" s="45" t="s">
        <v>128</v>
      </c>
      <c r="X45" s="45" t="s">
        <v>128</v>
      </c>
      <c r="Y45" s="45" t="s">
        <v>128</v>
      </c>
      <c r="Z45" s="45" t="s">
        <v>128</v>
      </c>
      <c r="AA45" s="45" t="s">
        <v>128</v>
      </c>
      <c r="AB45" s="45" t="s">
        <v>128</v>
      </c>
      <c r="AC45" s="107" t="s">
        <v>128</v>
      </c>
      <c r="AD45" s="107" t="s">
        <v>128</v>
      </c>
      <c r="AE45" s="107" t="s">
        <v>128</v>
      </c>
      <c r="AF45" s="107" t="s">
        <v>128</v>
      </c>
      <c r="AG45" s="107" t="s">
        <v>128</v>
      </c>
      <c r="AH45" s="107" t="s">
        <v>128</v>
      </c>
      <c r="AI45" s="228"/>
      <c r="AJ45" s="228"/>
      <c r="AK45" s="228"/>
      <c r="AL45" s="228"/>
      <c r="AM45" s="228"/>
      <c r="AN45" s="228"/>
      <c r="AO45" s="228"/>
      <c r="AP45" s="228"/>
    </row>
    <row r="46" spans="1:42" s="48" customFormat="1" x14ac:dyDescent="0.2">
      <c r="A46" s="209"/>
      <c r="B46" s="8"/>
      <c r="C46" s="8"/>
      <c r="D46" s="8"/>
      <c r="E46" s="8"/>
      <c r="F46" s="8"/>
      <c r="G46" s="8"/>
      <c r="H46" s="8"/>
      <c r="I46" s="8"/>
      <c r="J46" s="37"/>
      <c r="K46" s="19">
        <v>0</v>
      </c>
      <c r="L46" s="198" t="s">
        <v>128</v>
      </c>
      <c r="M46" s="198" t="s">
        <v>128</v>
      </c>
      <c r="N46" s="197" t="s">
        <v>128</v>
      </c>
      <c r="O46" s="195">
        <v>1</v>
      </c>
      <c r="P46" s="45" t="s">
        <v>128</v>
      </c>
      <c r="Q46" s="45" t="s">
        <v>128</v>
      </c>
      <c r="R46" s="45" t="s">
        <v>128</v>
      </c>
      <c r="S46" s="45" t="s">
        <v>128</v>
      </c>
      <c r="T46" s="45" t="s">
        <v>128</v>
      </c>
      <c r="U46" s="45" t="s">
        <v>128</v>
      </c>
      <c r="V46" s="45" t="s">
        <v>128</v>
      </c>
      <c r="W46" s="45" t="s">
        <v>128</v>
      </c>
      <c r="X46" s="45" t="s">
        <v>128</v>
      </c>
      <c r="Y46" s="45" t="s">
        <v>128</v>
      </c>
      <c r="Z46" s="45" t="s">
        <v>128</v>
      </c>
      <c r="AA46" s="45" t="s">
        <v>128</v>
      </c>
      <c r="AB46" s="45" t="s">
        <v>128</v>
      </c>
      <c r="AC46" s="107" t="s">
        <v>128</v>
      </c>
      <c r="AD46" s="107" t="s">
        <v>128</v>
      </c>
      <c r="AE46" s="107" t="s">
        <v>128</v>
      </c>
      <c r="AF46" s="107" t="s">
        <v>128</v>
      </c>
      <c r="AG46" s="107" t="s">
        <v>128</v>
      </c>
      <c r="AH46" s="107" t="s">
        <v>128</v>
      </c>
      <c r="AI46" s="228"/>
      <c r="AJ46" s="228"/>
      <c r="AK46" s="228"/>
      <c r="AL46" s="228"/>
      <c r="AM46" s="228"/>
      <c r="AN46" s="228"/>
      <c r="AO46" s="228"/>
      <c r="AP46" s="228"/>
    </row>
    <row r="47" spans="1:42" s="48" customFormat="1" x14ac:dyDescent="0.2">
      <c r="A47" s="22"/>
      <c r="B47" s="22"/>
      <c r="C47" s="22"/>
      <c r="D47" s="22"/>
      <c r="E47" s="22"/>
      <c r="F47" s="22"/>
      <c r="G47" s="22"/>
      <c r="H47" s="22"/>
      <c r="I47" s="22"/>
      <c r="J47" s="36"/>
      <c r="K47" s="19">
        <v>0</v>
      </c>
      <c r="L47" s="198" t="s">
        <v>128</v>
      </c>
      <c r="M47" s="198" t="s">
        <v>128</v>
      </c>
      <c r="N47" s="197" t="s">
        <v>128</v>
      </c>
      <c r="O47" s="195">
        <v>1</v>
      </c>
      <c r="P47" s="45" t="s">
        <v>128</v>
      </c>
      <c r="Q47" s="45" t="s">
        <v>128</v>
      </c>
      <c r="R47" s="45" t="s">
        <v>128</v>
      </c>
      <c r="S47" s="45" t="s">
        <v>128</v>
      </c>
      <c r="T47" s="45" t="s">
        <v>128</v>
      </c>
      <c r="U47" s="45" t="s">
        <v>128</v>
      </c>
      <c r="V47" s="45" t="s">
        <v>128</v>
      </c>
      <c r="W47" s="45" t="s">
        <v>128</v>
      </c>
      <c r="X47" s="45" t="s">
        <v>128</v>
      </c>
      <c r="Y47" s="45" t="s">
        <v>128</v>
      </c>
      <c r="Z47" s="45" t="s">
        <v>128</v>
      </c>
      <c r="AA47" s="45" t="s">
        <v>128</v>
      </c>
      <c r="AB47" s="45" t="s">
        <v>128</v>
      </c>
      <c r="AC47" s="107" t="s">
        <v>128</v>
      </c>
      <c r="AD47" s="107" t="s">
        <v>128</v>
      </c>
      <c r="AE47" s="107" t="s">
        <v>128</v>
      </c>
      <c r="AF47" s="107" t="s">
        <v>128</v>
      </c>
      <c r="AG47" s="107" t="s">
        <v>128</v>
      </c>
      <c r="AH47" s="107" t="s">
        <v>128</v>
      </c>
      <c r="AI47" s="228"/>
      <c r="AJ47" s="228"/>
      <c r="AK47" s="228"/>
      <c r="AL47" s="228"/>
      <c r="AM47" s="228"/>
      <c r="AN47" s="228"/>
      <c r="AO47" s="228"/>
      <c r="AP47" s="228"/>
    </row>
    <row r="48" spans="1:42" s="48" customFormat="1" x14ac:dyDescent="0.2">
      <c r="A48" s="209"/>
      <c r="B48" s="8"/>
      <c r="C48" s="8"/>
      <c r="D48" s="8"/>
      <c r="E48" s="8"/>
      <c r="F48" s="8"/>
      <c r="G48" s="8"/>
      <c r="H48" s="8"/>
      <c r="I48" s="8"/>
      <c r="J48" s="37"/>
      <c r="K48" s="19">
        <v>0</v>
      </c>
      <c r="L48" s="198" t="s">
        <v>128</v>
      </c>
      <c r="M48" s="198" t="s">
        <v>128</v>
      </c>
      <c r="N48" s="197" t="s">
        <v>128</v>
      </c>
      <c r="O48" s="195">
        <v>1</v>
      </c>
      <c r="P48" s="45" t="s">
        <v>128</v>
      </c>
      <c r="Q48" s="45" t="s">
        <v>128</v>
      </c>
      <c r="R48" s="45" t="s">
        <v>128</v>
      </c>
      <c r="S48" s="45" t="s">
        <v>128</v>
      </c>
      <c r="T48" s="45" t="s">
        <v>128</v>
      </c>
      <c r="U48" s="45" t="s">
        <v>128</v>
      </c>
      <c r="V48" s="45" t="s">
        <v>128</v>
      </c>
      <c r="W48" s="45" t="s">
        <v>128</v>
      </c>
      <c r="X48" s="45" t="s">
        <v>128</v>
      </c>
      <c r="Y48" s="45" t="s">
        <v>128</v>
      </c>
      <c r="Z48" s="45" t="s">
        <v>128</v>
      </c>
      <c r="AA48" s="45" t="s">
        <v>128</v>
      </c>
      <c r="AB48" s="45" t="s">
        <v>128</v>
      </c>
      <c r="AC48" s="107" t="s">
        <v>128</v>
      </c>
      <c r="AD48" s="107" t="s">
        <v>128</v>
      </c>
      <c r="AE48" s="107" t="s">
        <v>128</v>
      </c>
      <c r="AF48" s="107" t="s">
        <v>128</v>
      </c>
      <c r="AG48" s="107" t="s">
        <v>128</v>
      </c>
      <c r="AH48" s="107" t="s">
        <v>128</v>
      </c>
      <c r="AI48" s="228"/>
      <c r="AJ48" s="228"/>
      <c r="AK48" s="228"/>
      <c r="AL48" s="228"/>
      <c r="AM48" s="228"/>
      <c r="AN48" s="228"/>
      <c r="AO48" s="228"/>
      <c r="AP48" s="228"/>
    </row>
    <row r="49" spans="1:42" s="48" customFormat="1" x14ac:dyDescent="0.2">
      <c r="A49" s="22"/>
      <c r="B49" s="22"/>
      <c r="C49" s="22"/>
      <c r="D49" s="22"/>
      <c r="E49" s="22"/>
      <c r="F49" s="22"/>
      <c r="G49" s="22"/>
      <c r="H49" s="22"/>
      <c r="I49" s="22"/>
      <c r="J49" s="36"/>
      <c r="K49" s="19">
        <v>0</v>
      </c>
      <c r="L49" s="198" t="s">
        <v>128</v>
      </c>
      <c r="M49" s="198" t="s">
        <v>128</v>
      </c>
      <c r="N49" s="197" t="s">
        <v>128</v>
      </c>
      <c r="O49" s="195">
        <v>1</v>
      </c>
      <c r="P49" s="45" t="s">
        <v>128</v>
      </c>
      <c r="Q49" s="45" t="s">
        <v>128</v>
      </c>
      <c r="R49" s="45" t="s">
        <v>128</v>
      </c>
      <c r="S49" s="45" t="s">
        <v>128</v>
      </c>
      <c r="T49" s="45" t="s">
        <v>128</v>
      </c>
      <c r="U49" s="45" t="s">
        <v>128</v>
      </c>
      <c r="V49" s="45" t="s">
        <v>128</v>
      </c>
      <c r="W49" s="45" t="s">
        <v>128</v>
      </c>
      <c r="X49" s="45" t="s">
        <v>128</v>
      </c>
      <c r="Y49" s="45" t="s">
        <v>128</v>
      </c>
      <c r="Z49" s="45" t="s">
        <v>128</v>
      </c>
      <c r="AA49" s="45" t="s">
        <v>128</v>
      </c>
      <c r="AB49" s="45" t="s">
        <v>128</v>
      </c>
      <c r="AC49" s="107" t="s">
        <v>128</v>
      </c>
      <c r="AD49" s="107" t="s">
        <v>128</v>
      </c>
      <c r="AE49" s="107" t="s">
        <v>128</v>
      </c>
      <c r="AF49" s="107" t="s">
        <v>128</v>
      </c>
      <c r="AG49" s="107" t="s">
        <v>128</v>
      </c>
      <c r="AH49" s="107" t="s">
        <v>128</v>
      </c>
      <c r="AI49" s="228"/>
      <c r="AJ49" s="228"/>
      <c r="AK49" s="228"/>
      <c r="AL49" s="228"/>
      <c r="AM49" s="228"/>
      <c r="AN49" s="228"/>
      <c r="AO49" s="228"/>
      <c r="AP49" s="228"/>
    </row>
    <row r="50" spans="1:42" s="48" customFormat="1" x14ac:dyDescent="0.2">
      <c r="A50" s="209"/>
      <c r="B50" s="8"/>
      <c r="C50" s="8"/>
      <c r="D50" s="8"/>
      <c r="E50" s="8"/>
      <c r="F50" s="8"/>
      <c r="G50" s="8"/>
      <c r="H50" s="8"/>
      <c r="I50" s="8"/>
      <c r="J50" s="37"/>
      <c r="K50" s="19">
        <v>0</v>
      </c>
      <c r="L50" s="198" t="s">
        <v>128</v>
      </c>
      <c r="M50" s="198" t="s">
        <v>128</v>
      </c>
      <c r="N50" s="197" t="s">
        <v>128</v>
      </c>
      <c r="O50" s="195">
        <v>1</v>
      </c>
      <c r="P50" s="45" t="s">
        <v>128</v>
      </c>
      <c r="Q50" s="45" t="s">
        <v>128</v>
      </c>
      <c r="R50" s="45" t="s">
        <v>128</v>
      </c>
      <c r="S50" s="45" t="s">
        <v>128</v>
      </c>
      <c r="T50" s="45" t="s">
        <v>128</v>
      </c>
      <c r="U50" s="45" t="s">
        <v>128</v>
      </c>
      <c r="V50" s="45" t="s">
        <v>128</v>
      </c>
      <c r="W50" s="45" t="s">
        <v>128</v>
      </c>
      <c r="X50" s="45" t="s">
        <v>128</v>
      </c>
      <c r="Y50" s="45" t="s">
        <v>128</v>
      </c>
      <c r="Z50" s="45" t="s">
        <v>128</v>
      </c>
      <c r="AA50" s="45" t="s">
        <v>128</v>
      </c>
      <c r="AB50" s="45" t="s">
        <v>128</v>
      </c>
      <c r="AC50" s="107" t="s">
        <v>128</v>
      </c>
      <c r="AD50" s="107" t="s">
        <v>128</v>
      </c>
      <c r="AE50" s="107" t="s">
        <v>128</v>
      </c>
      <c r="AF50" s="107" t="s">
        <v>128</v>
      </c>
      <c r="AG50" s="107" t="s">
        <v>128</v>
      </c>
      <c r="AH50" s="107" t="s">
        <v>128</v>
      </c>
      <c r="AI50" s="228"/>
      <c r="AJ50" s="228"/>
      <c r="AK50" s="228"/>
      <c r="AL50" s="228"/>
      <c r="AM50" s="228"/>
      <c r="AN50" s="228"/>
      <c r="AO50" s="228"/>
      <c r="AP50" s="228"/>
    </row>
    <row r="51" spans="1:42" s="48" customFormat="1" x14ac:dyDescent="0.2">
      <c r="A51" s="22"/>
      <c r="B51" s="22"/>
      <c r="C51" s="22"/>
      <c r="D51" s="22"/>
      <c r="E51" s="22"/>
      <c r="F51" s="22"/>
      <c r="G51" s="22"/>
      <c r="H51" s="22"/>
      <c r="I51" s="22"/>
      <c r="J51" s="36"/>
      <c r="K51" s="19">
        <v>0</v>
      </c>
      <c r="L51" s="198" t="s">
        <v>128</v>
      </c>
      <c r="M51" s="198" t="s">
        <v>128</v>
      </c>
      <c r="N51" s="197" t="s">
        <v>128</v>
      </c>
      <c r="O51" s="195">
        <v>1</v>
      </c>
      <c r="P51" s="45" t="s">
        <v>128</v>
      </c>
      <c r="Q51" s="45" t="s">
        <v>128</v>
      </c>
      <c r="R51" s="45" t="s">
        <v>128</v>
      </c>
      <c r="S51" s="45" t="s">
        <v>128</v>
      </c>
      <c r="T51" s="45" t="s">
        <v>128</v>
      </c>
      <c r="U51" s="45" t="s">
        <v>128</v>
      </c>
      <c r="V51" s="45" t="s">
        <v>128</v>
      </c>
      <c r="W51" s="45" t="s">
        <v>128</v>
      </c>
      <c r="X51" s="45" t="s">
        <v>128</v>
      </c>
      <c r="Y51" s="45" t="s">
        <v>128</v>
      </c>
      <c r="Z51" s="45" t="s">
        <v>128</v>
      </c>
      <c r="AA51" s="45" t="s">
        <v>128</v>
      </c>
      <c r="AB51" s="45" t="s">
        <v>128</v>
      </c>
      <c r="AC51" s="107" t="s">
        <v>128</v>
      </c>
      <c r="AD51" s="107" t="s">
        <v>128</v>
      </c>
      <c r="AE51" s="107" t="s">
        <v>128</v>
      </c>
      <c r="AF51" s="107" t="s">
        <v>128</v>
      </c>
      <c r="AG51" s="107" t="s">
        <v>128</v>
      </c>
      <c r="AH51" s="107" t="s">
        <v>128</v>
      </c>
      <c r="AI51" s="228"/>
      <c r="AJ51" s="228"/>
      <c r="AK51" s="228"/>
      <c r="AL51" s="228"/>
      <c r="AM51" s="228"/>
      <c r="AN51" s="228"/>
      <c r="AO51" s="228"/>
      <c r="AP51" s="228"/>
    </row>
    <row r="52" spans="1:42" s="48" customFormat="1" x14ac:dyDescent="0.2">
      <c r="A52" s="209"/>
      <c r="B52" s="8"/>
      <c r="C52" s="8"/>
      <c r="D52" s="8"/>
      <c r="E52" s="8"/>
      <c r="F52" s="8"/>
      <c r="G52" s="8"/>
      <c r="H52" s="8"/>
      <c r="I52" s="8"/>
      <c r="J52" s="37"/>
      <c r="K52" s="19">
        <v>0</v>
      </c>
      <c r="L52" s="198" t="s">
        <v>128</v>
      </c>
      <c r="M52" s="198" t="s">
        <v>128</v>
      </c>
      <c r="N52" s="197" t="s">
        <v>128</v>
      </c>
      <c r="O52" s="195">
        <v>1</v>
      </c>
      <c r="P52" s="45" t="s">
        <v>128</v>
      </c>
      <c r="Q52" s="45" t="s">
        <v>128</v>
      </c>
      <c r="R52" s="45" t="s">
        <v>128</v>
      </c>
      <c r="S52" s="45" t="s">
        <v>128</v>
      </c>
      <c r="T52" s="45" t="s">
        <v>128</v>
      </c>
      <c r="U52" s="45" t="s">
        <v>128</v>
      </c>
      <c r="V52" s="45" t="s">
        <v>128</v>
      </c>
      <c r="W52" s="45" t="s">
        <v>128</v>
      </c>
      <c r="X52" s="45" t="s">
        <v>128</v>
      </c>
      <c r="Y52" s="45" t="s">
        <v>128</v>
      </c>
      <c r="Z52" s="45" t="s">
        <v>128</v>
      </c>
      <c r="AA52" s="45" t="s">
        <v>128</v>
      </c>
      <c r="AB52" s="45" t="s">
        <v>128</v>
      </c>
      <c r="AC52" s="107" t="s">
        <v>128</v>
      </c>
      <c r="AD52" s="107" t="s">
        <v>128</v>
      </c>
      <c r="AE52" s="107" t="s">
        <v>128</v>
      </c>
      <c r="AF52" s="107" t="s">
        <v>128</v>
      </c>
      <c r="AG52" s="107" t="s">
        <v>128</v>
      </c>
      <c r="AH52" s="107" t="s">
        <v>128</v>
      </c>
      <c r="AI52" s="228"/>
      <c r="AJ52" s="228"/>
      <c r="AK52" s="228"/>
      <c r="AL52" s="228"/>
      <c r="AM52" s="228"/>
      <c r="AN52" s="228"/>
      <c r="AO52" s="228"/>
      <c r="AP52" s="228"/>
    </row>
    <row r="53" spans="1:42" s="48" customFormat="1" x14ac:dyDescent="0.2">
      <c r="A53" s="22"/>
      <c r="B53" s="22"/>
      <c r="C53" s="22"/>
      <c r="D53" s="22"/>
      <c r="E53" s="22"/>
      <c r="F53" s="22"/>
      <c r="G53" s="22"/>
      <c r="H53" s="22"/>
      <c r="I53" s="22"/>
      <c r="J53" s="36"/>
      <c r="K53" s="19">
        <v>0</v>
      </c>
      <c r="L53" s="198" t="s">
        <v>128</v>
      </c>
      <c r="M53" s="198" t="s">
        <v>128</v>
      </c>
      <c r="N53" s="197" t="s">
        <v>128</v>
      </c>
      <c r="O53" s="195">
        <v>1</v>
      </c>
      <c r="P53" s="45" t="s">
        <v>128</v>
      </c>
      <c r="Q53" s="45" t="s">
        <v>128</v>
      </c>
      <c r="R53" s="45" t="s">
        <v>128</v>
      </c>
      <c r="S53" s="45" t="s">
        <v>128</v>
      </c>
      <c r="T53" s="45" t="s">
        <v>128</v>
      </c>
      <c r="U53" s="45" t="s">
        <v>128</v>
      </c>
      <c r="V53" s="45" t="s">
        <v>128</v>
      </c>
      <c r="W53" s="45" t="s">
        <v>128</v>
      </c>
      <c r="X53" s="45" t="s">
        <v>128</v>
      </c>
      <c r="Y53" s="45" t="s">
        <v>128</v>
      </c>
      <c r="Z53" s="45" t="s">
        <v>128</v>
      </c>
      <c r="AA53" s="45" t="s">
        <v>128</v>
      </c>
      <c r="AB53" s="45" t="s">
        <v>128</v>
      </c>
      <c r="AC53" s="107" t="s">
        <v>128</v>
      </c>
      <c r="AD53" s="107" t="s">
        <v>128</v>
      </c>
      <c r="AE53" s="107" t="s">
        <v>128</v>
      </c>
      <c r="AF53" s="107" t="s">
        <v>128</v>
      </c>
      <c r="AG53" s="107" t="s">
        <v>128</v>
      </c>
      <c r="AH53" s="107" t="s">
        <v>128</v>
      </c>
      <c r="AI53" s="228"/>
      <c r="AJ53" s="228"/>
      <c r="AK53" s="228"/>
      <c r="AL53" s="228"/>
      <c r="AM53" s="228"/>
      <c r="AN53" s="228"/>
      <c r="AO53" s="228"/>
      <c r="AP53" s="228"/>
    </row>
    <row r="54" spans="1:42" s="48" customFormat="1" x14ac:dyDescent="0.2">
      <c r="A54" s="209"/>
      <c r="B54" s="8"/>
      <c r="C54" s="8"/>
      <c r="D54" s="8"/>
      <c r="E54" s="8"/>
      <c r="F54" s="8"/>
      <c r="G54" s="8"/>
      <c r="H54" s="8"/>
      <c r="I54" s="8"/>
      <c r="J54" s="37"/>
      <c r="K54" s="19">
        <v>0</v>
      </c>
      <c r="L54" s="198" t="s">
        <v>128</v>
      </c>
      <c r="M54" s="198" t="s">
        <v>128</v>
      </c>
      <c r="N54" s="197" t="s">
        <v>128</v>
      </c>
      <c r="O54" s="195">
        <v>1</v>
      </c>
      <c r="P54" s="45" t="s">
        <v>128</v>
      </c>
      <c r="Q54" s="45" t="s">
        <v>128</v>
      </c>
      <c r="R54" s="45" t="s">
        <v>128</v>
      </c>
      <c r="S54" s="45" t="s">
        <v>128</v>
      </c>
      <c r="T54" s="45" t="s">
        <v>128</v>
      </c>
      <c r="U54" s="45" t="s">
        <v>128</v>
      </c>
      <c r="V54" s="45" t="s">
        <v>128</v>
      </c>
      <c r="W54" s="45" t="s">
        <v>128</v>
      </c>
      <c r="X54" s="45" t="s">
        <v>128</v>
      </c>
      <c r="Y54" s="45" t="s">
        <v>128</v>
      </c>
      <c r="Z54" s="45" t="s">
        <v>128</v>
      </c>
      <c r="AA54" s="45" t="s">
        <v>128</v>
      </c>
      <c r="AB54" s="45" t="s">
        <v>128</v>
      </c>
      <c r="AC54" s="107" t="s">
        <v>128</v>
      </c>
      <c r="AD54" s="107" t="s">
        <v>128</v>
      </c>
      <c r="AE54" s="107" t="s">
        <v>128</v>
      </c>
      <c r="AF54" s="107" t="s">
        <v>128</v>
      </c>
      <c r="AG54" s="107" t="s">
        <v>128</v>
      </c>
      <c r="AH54" s="107" t="s">
        <v>128</v>
      </c>
      <c r="AI54" s="228"/>
      <c r="AJ54" s="228"/>
      <c r="AK54" s="228"/>
      <c r="AL54" s="228"/>
      <c r="AM54" s="228"/>
      <c r="AN54" s="228"/>
      <c r="AO54" s="228"/>
      <c r="AP54" s="228"/>
    </row>
    <row r="55" spans="1:42" s="48" customFormat="1" x14ac:dyDescent="0.2">
      <c r="A55" s="22"/>
      <c r="B55" s="22"/>
      <c r="C55" s="22"/>
      <c r="D55" s="22"/>
      <c r="E55" s="22"/>
      <c r="F55" s="22"/>
      <c r="G55" s="22"/>
      <c r="H55" s="22"/>
      <c r="I55" s="22"/>
      <c r="J55" s="36"/>
      <c r="K55" s="19">
        <v>0</v>
      </c>
      <c r="L55" s="198" t="s">
        <v>128</v>
      </c>
      <c r="M55" s="198" t="s">
        <v>128</v>
      </c>
      <c r="N55" s="197" t="s">
        <v>128</v>
      </c>
      <c r="O55" s="195">
        <v>1</v>
      </c>
      <c r="P55" s="45" t="s">
        <v>128</v>
      </c>
      <c r="Q55" s="45" t="s">
        <v>128</v>
      </c>
      <c r="R55" s="45" t="s">
        <v>128</v>
      </c>
      <c r="S55" s="45" t="s">
        <v>128</v>
      </c>
      <c r="T55" s="45" t="s">
        <v>128</v>
      </c>
      <c r="U55" s="45" t="s">
        <v>128</v>
      </c>
      <c r="V55" s="45" t="s">
        <v>128</v>
      </c>
      <c r="W55" s="45" t="s">
        <v>128</v>
      </c>
      <c r="X55" s="45" t="s">
        <v>128</v>
      </c>
      <c r="Y55" s="45" t="s">
        <v>128</v>
      </c>
      <c r="Z55" s="45" t="s">
        <v>128</v>
      </c>
      <c r="AA55" s="45" t="s">
        <v>128</v>
      </c>
      <c r="AB55" s="45" t="s">
        <v>128</v>
      </c>
      <c r="AC55" s="107" t="s">
        <v>128</v>
      </c>
      <c r="AD55" s="107" t="s">
        <v>128</v>
      </c>
      <c r="AE55" s="107" t="s">
        <v>128</v>
      </c>
      <c r="AF55" s="107" t="s">
        <v>128</v>
      </c>
      <c r="AG55" s="107" t="s">
        <v>128</v>
      </c>
      <c r="AH55" s="107" t="s">
        <v>128</v>
      </c>
      <c r="AI55" s="228"/>
      <c r="AJ55" s="228"/>
      <c r="AK55" s="228"/>
      <c r="AL55" s="228"/>
      <c r="AM55" s="228"/>
      <c r="AN55" s="228"/>
      <c r="AO55" s="228"/>
      <c r="AP55" s="228"/>
    </row>
    <row r="56" spans="1:42" s="48" customFormat="1" x14ac:dyDescent="0.2">
      <c r="A56" s="209"/>
      <c r="B56" s="8"/>
      <c r="C56" s="8"/>
      <c r="D56" s="8"/>
      <c r="E56" s="8"/>
      <c r="F56" s="8"/>
      <c r="G56" s="8"/>
      <c r="H56" s="8"/>
      <c r="I56" s="8"/>
      <c r="J56" s="37"/>
      <c r="K56" s="19">
        <v>0</v>
      </c>
      <c r="L56" s="198" t="s">
        <v>128</v>
      </c>
      <c r="M56" s="198" t="s">
        <v>128</v>
      </c>
      <c r="N56" s="197" t="s">
        <v>128</v>
      </c>
      <c r="O56" s="195">
        <v>1</v>
      </c>
      <c r="P56" s="45" t="s">
        <v>128</v>
      </c>
      <c r="Q56" s="45" t="s">
        <v>128</v>
      </c>
      <c r="R56" s="45" t="s">
        <v>128</v>
      </c>
      <c r="S56" s="45" t="s">
        <v>128</v>
      </c>
      <c r="T56" s="45" t="s">
        <v>128</v>
      </c>
      <c r="U56" s="45" t="s">
        <v>128</v>
      </c>
      <c r="V56" s="45" t="s">
        <v>128</v>
      </c>
      <c r="W56" s="45" t="s">
        <v>128</v>
      </c>
      <c r="X56" s="45" t="s">
        <v>128</v>
      </c>
      <c r="Y56" s="45" t="s">
        <v>128</v>
      </c>
      <c r="Z56" s="45" t="s">
        <v>128</v>
      </c>
      <c r="AA56" s="45" t="s">
        <v>128</v>
      </c>
      <c r="AB56" s="45" t="s">
        <v>128</v>
      </c>
      <c r="AC56" s="107" t="s">
        <v>128</v>
      </c>
      <c r="AD56" s="107" t="s">
        <v>128</v>
      </c>
      <c r="AE56" s="107" t="s">
        <v>128</v>
      </c>
      <c r="AF56" s="107" t="s">
        <v>128</v>
      </c>
      <c r="AG56" s="107" t="s">
        <v>128</v>
      </c>
      <c r="AH56" s="107" t="s">
        <v>128</v>
      </c>
      <c r="AI56" s="228"/>
      <c r="AJ56" s="228"/>
      <c r="AK56" s="228"/>
      <c r="AL56" s="228"/>
      <c r="AM56" s="228"/>
      <c r="AN56" s="228"/>
      <c r="AO56" s="228"/>
      <c r="AP56" s="228"/>
    </row>
    <row r="57" spans="1:42" s="48" customFormat="1" x14ac:dyDescent="0.2">
      <c r="A57" s="22"/>
      <c r="B57" s="22"/>
      <c r="C57" s="22"/>
      <c r="D57" s="22"/>
      <c r="E57" s="22"/>
      <c r="F57" s="22"/>
      <c r="G57" s="22"/>
      <c r="H57" s="22"/>
      <c r="I57" s="22"/>
      <c r="J57" s="36"/>
      <c r="K57" s="19">
        <v>0</v>
      </c>
      <c r="L57" s="198" t="s">
        <v>128</v>
      </c>
      <c r="M57" s="198" t="s">
        <v>128</v>
      </c>
      <c r="N57" s="197" t="s">
        <v>128</v>
      </c>
      <c r="O57" s="195">
        <v>1</v>
      </c>
      <c r="P57" s="45" t="s">
        <v>128</v>
      </c>
      <c r="Q57" s="45" t="s">
        <v>128</v>
      </c>
      <c r="R57" s="45" t="s">
        <v>128</v>
      </c>
      <c r="S57" s="45" t="s">
        <v>128</v>
      </c>
      <c r="T57" s="45" t="s">
        <v>128</v>
      </c>
      <c r="U57" s="45" t="s">
        <v>128</v>
      </c>
      <c r="V57" s="45" t="s">
        <v>128</v>
      </c>
      <c r="W57" s="45" t="s">
        <v>128</v>
      </c>
      <c r="X57" s="45" t="s">
        <v>128</v>
      </c>
      <c r="Y57" s="45" t="s">
        <v>128</v>
      </c>
      <c r="Z57" s="45" t="s">
        <v>128</v>
      </c>
      <c r="AA57" s="45" t="s">
        <v>128</v>
      </c>
      <c r="AB57" s="45" t="s">
        <v>128</v>
      </c>
      <c r="AC57" s="107" t="s">
        <v>128</v>
      </c>
      <c r="AD57" s="107" t="s">
        <v>128</v>
      </c>
      <c r="AE57" s="107" t="s">
        <v>128</v>
      </c>
      <c r="AF57" s="107" t="s">
        <v>128</v>
      </c>
      <c r="AG57" s="107" t="s">
        <v>128</v>
      </c>
      <c r="AH57" s="107" t="s">
        <v>128</v>
      </c>
      <c r="AI57" s="228"/>
      <c r="AJ57" s="228"/>
      <c r="AK57" s="228"/>
      <c r="AL57" s="228"/>
      <c r="AM57" s="228"/>
      <c r="AN57" s="228"/>
      <c r="AO57" s="228"/>
      <c r="AP57" s="228"/>
    </row>
    <row r="58" spans="1:42" s="48" customFormat="1" x14ac:dyDescent="0.2">
      <c r="A58" s="209"/>
      <c r="B58" s="8"/>
      <c r="C58" s="8"/>
      <c r="D58" s="8"/>
      <c r="E58" s="8"/>
      <c r="F58" s="8"/>
      <c r="G58" s="8"/>
      <c r="H58" s="8"/>
      <c r="I58" s="8"/>
      <c r="J58" s="37"/>
      <c r="K58" s="19">
        <v>0</v>
      </c>
      <c r="L58" s="198" t="s">
        <v>128</v>
      </c>
      <c r="M58" s="198" t="s">
        <v>128</v>
      </c>
      <c r="N58" s="197" t="s">
        <v>128</v>
      </c>
      <c r="O58" s="195">
        <v>1</v>
      </c>
      <c r="P58" s="45" t="s">
        <v>128</v>
      </c>
      <c r="Q58" s="45" t="s">
        <v>128</v>
      </c>
      <c r="R58" s="45" t="s">
        <v>128</v>
      </c>
      <c r="S58" s="45" t="s">
        <v>128</v>
      </c>
      <c r="T58" s="45" t="s">
        <v>128</v>
      </c>
      <c r="U58" s="45" t="s">
        <v>128</v>
      </c>
      <c r="V58" s="45" t="s">
        <v>128</v>
      </c>
      <c r="W58" s="45" t="s">
        <v>128</v>
      </c>
      <c r="X58" s="45" t="s">
        <v>128</v>
      </c>
      <c r="Y58" s="45" t="s">
        <v>128</v>
      </c>
      <c r="Z58" s="45" t="s">
        <v>128</v>
      </c>
      <c r="AA58" s="45" t="s">
        <v>128</v>
      </c>
      <c r="AB58" s="45" t="s">
        <v>128</v>
      </c>
      <c r="AC58" s="107" t="s">
        <v>128</v>
      </c>
      <c r="AD58" s="107" t="s">
        <v>128</v>
      </c>
      <c r="AE58" s="107" t="s">
        <v>128</v>
      </c>
      <c r="AF58" s="107" t="s">
        <v>128</v>
      </c>
      <c r="AG58" s="107" t="s">
        <v>128</v>
      </c>
      <c r="AH58" s="107" t="s">
        <v>128</v>
      </c>
      <c r="AI58" s="228"/>
      <c r="AJ58" s="228"/>
      <c r="AK58" s="228"/>
      <c r="AL58" s="228"/>
      <c r="AM58" s="228"/>
      <c r="AN58" s="228"/>
      <c r="AO58" s="228"/>
      <c r="AP58" s="228"/>
    </row>
    <row r="59" spans="1:42" s="48" customFormat="1" x14ac:dyDescent="0.2">
      <c r="A59" s="22"/>
      <c r="B59" s="22"/>
      <c r="C59" s="22"/>
      <c r="D59" s="22"/>
      <c r="E59" s="22"/>
      <c r="F59" s="22"/>
      <c r="G59" s="22"/>
      <c r="H59" s="22"/>
      <c r="I59" s="22"/>
      <c r="J59" s="36"/>
      <c r="K59" s="19">
        <v>0</v>
      </c>
      <c r="L59" s="198" t="s">
        <v>128</v>
      </c>
      <c r="M59" s="198" t="s">
        <v>128</v>
      </c>
      <c r="N59" s="197" t="s">
        <v>128</v>
      </c>
      <c r="O59" s="195">
        <v>1</v>
      </c>
      <c r="P59" s="45" t="s">
        <v>128</v>
      </c>
      <c r="Q59" s="45" t="s">
        <v>128</v>
      </c>
      <c r="R59" s="45" t="s">
        <v>128</v>
      </c>
      <c r="S59" s="45" t="s">
        <v>128</v>
      </c>
      <c r="T59" s="45" t="s">
        <v>128</v>
      </c>
      <c r="U59" s="45" t="s">
        <v>128</v>
      </c>
      <c r="V59" s="45" t="s">
        <v>128</v>
      </c>
      <c r="W59" s="45" t="s">
        <v>128</v>
      </c>
      <c r="X59" s="45" t="s">
        <v>128</v>
      </c>
      <c r="Y59" s="45" t="s">
        <v>128</v>
      </c>
      <c r="Z59" s="45" t="s">
        <v>128</v>
      </c>
      <c r="AA59" s="45" t="s">
        <v>128</v>
      </c>
      <c r="AB59" s="45" t="s">
        <v>128</v>
      </c>
      <c r="AC59" s="107" t="s">
        <v>128</v>
      </c>
      <c r="AD59" s="107" t="s">
        <v>128</v>
      </c>
      <c r="AE59" s="107" t="s">
        <v>128</v>
      </c>
      <c r="AF59" s="107" t="s">
        <v>128</v>
      </c>
      <c r="AG59" s="107" t="s">
        <v>128</v>
      </c>
      <c r="AH59" s="107" t="s">
        <v>128</v>
      </c>
      <c r="AI59" s="228"/>
      <c r="AJ59" s="228"/>
      <c r="AK59" s="228"/>
      <c r="AL59" s="228"/>
      <c r="AM59" s="228"/>
      <c r="AN59" s="228"/>
      <c r="AO59" s="228"/>
      <c r="AP59" s="228"/>
    </row>
    <row r="60" spans="1:42" s="48" customFormat="1" x14ac:dyDescent="0.2">
      <c r="A60" s="209"/>
      <c r="B60" s="8"/>
      <c r="C60" s="8"/>
      <c r="D60" s="8"/>
      <c r="E60" s="8"/>
      <c r="F60" s="8"/>
      <c r="G60" s="8"/>
      <c r="H60" s="8"/>
      <c r="I60" s="8"/>
      <c r="J60" s="37"/>
      <c r="K60" s="19">
        <v>0</v>
      </c>
      <c r="L60" s="198" t="s">
        <v>128</v>
      </c>
      <c r="M60" s="198" t="s">
        <v>128</v>
      </c>
      <c r="N60" s="197" t="s">
        <v>128</v>
      </c>
      <c r="O60" s="195">
        <v>1</v>
      </c>
      <c r="P60" s="45" t="s">
        <v>128</v>
      </c>
      <c r="Q60" s="45" t="s">
        <v>128</v>
      </c>
      <c r="R60" s="45" t="s">
        <v>128</v>
      </c>
      <c r="S60" s="45" t="s">
        <v>128</v>
      </c>
      <c r="T60" s="45" t="s">
        <v>128</v>
      </c>
      <c r="U60" s="45" t="s">
        <v>128</v>
      </c>
      <c r="V60" s="45" t="s">
        <v>128</v>
      </c>
      <c r="W60" s="45" t="s">
        <v>128</v>
      </c>
      <c r="X60" s="45" t="s">
        <v>128</v>
      </c>
      <c r="Y60" s="45" t="s">
        <v>128</v>
      </c>
      <c r="Z60" s="45" t="s">
        <v>128</v>
      </c>
      <c r="AA60" s="45" t="s">
        <v>128</v>
      </c>
      <c r="AB60" s="45" t="s">
        <v>128</v>
      </c>
      <c r="AC60" s="107" t="s">
        <v>128</v>
      </c>
      <c r="AD60" s="107" t="s">
        <v>128</v>
      </c>
      <c r="AE60" s="107" t="s">
        <v>128</v>
      </c>
      <c r="AF60" s="107" t="s">
        <v>128</v>
      </c>
      <c r="AG60" s="107" t="s">
        <v>128</v>
      </c>
      <c r="AH60" s="107" t="s">
        <v>128</v>
      </c>
      <c r="AI60" s="228"/>
      <c r="AJ60" s="228"/>
      <c r="AK60" s="228"/>
      <c r="AL60" s="228"/>
      <c r="AM60" s="228"/>
      <c r="AN60" s="228"/>
      <c r="AO60" s="228"/>
      <c r="AP60" s="228"/>
    </row>
    <row r="61" spans="1:42" s="48" customFormat="1" x14ac:dyDescent="0.2">
      <c r="A61" s="22"/>
      <c r="B61" s="22"/>
      <c r="C61" s="22"/>
      <c r="D61" s="22"/>
      <c r="E61" s="22"/>
      <c r="F61" s="22"/>
      <c r="G61" s="22"/>
      <c r="H61" s="22"/>
      <c r="I61" s="22"/>
      <c r="J61" s="36"/>
      <c r="K61" s="19">
        <v>0</v>
      </c>
      <c r="L61" s="198" t="s">
        <v>128</v>
      </c>
      <c r="M61" s="198" t="s">
        <v>128</v>
      </c>
      <c r="N61" s="197" t="s">
        <v>128</v>
      </c>
      <c r="O61" s="195">
        <v>1</v>
      </c>
      <c r="P61" s="45" t="s">
        <v>128</v>
      </c>
      <c r="Q61" s="45" t="s">
        <v>128</v>
      </c>
      <c r="R61" s="45" t="s">
        <v>128</v>
      </c>
      <c r="S61" s="45" t="s">
        <v>128</v>
      </c>
      <c r="T61" s="45" t="s">
        <v>128</v>
      </c>
      <c r="U61" s="45" t="s">
        <v>128</v>
      </c>
      <c r="V61" s="45" t="s">
        <v>128</v>
      </c>
      <c r="W61" s="45" t="s">
        <v>128</v>
      </c>
      <c r="X61" s="45" t="s">
        <v>128</v>
      </c>
      <c r="Y61" s="45" t="s">
        <v>128</v>
      </c>
      <c r="Z61" s="45" t="s">
        <v>128</v>
      </c>
      <c r="AA61" s="45" t="s">
        <v>128</v>
      </c>
      <c r="AB61" s="45" t="s">
        <v>128</v>
      </c>
      <c r="AC61" s="107" t="s">
        <v>128</v>
      </c>
      <c r="AD61" s="107" t="s">
        <v>128</v>
      </c>
      <c r="AE61" s="107" t="s">
        <v>128</v>
      </c>
      <c r="AF61" s="107" t="s">
        <v>128</v>
      </c>
      <c r="AG61" s="107" t="s">
        <v>128</v>
      </c>
      <c r="AH61" s="107" t="s">
        <v>128</v>
      </c>
      <c r="AI61" s="228"/>
      <c r="AJ61" s="228"/>
      <c r="AK61" s="228"/>
      <c r="AL61" s="228"/>
      <c r="AM61" s="228"/>
      <c r="AN61" s="228"/>
      <c r="AO61" s="228"/>
      <c r="AP61" s="228"/>
    </row>
    <row r="62" spans="1:42" x14ac:dyDescent="0.2">
      <c r="A62" s="209"/>
      <c r="C62" s="8"/>
      <c r="D62" s="8"/>
      <c r="E62" s="8"/>
      <c r="F62" s="8"/>
      <c r="G62" s="8"/>
      <c r="H62" s="8"/>
      <c r="I62" s="8"/>
      <c r="J62" s="37"/>
      <c r="K62" s="19"/>
      <c r="L62" s="33"/>
      <c r="M62" s="19"/>
      <c r="N62"/>
      <c r="O62"/>
      <c r="P62"/>
      <c r="Q62"/>
      <c r="R62"/>
      <c r="S62"/>
      <c r="T62"/>
      <c r="U62"/>
      <c r="V62"/>
      <c r="W62"/>
      <c r="X62"/>
      <c r="Y62"/>
      <c r="Z62"/>
      <c r="AA62"/>
      <c r="AB62"/>
      <c r="AC62"/>
    </row>
    <row r="63" spans="1:42" s="8" customFormat="1" x14ac:dyDescent="0.2">
      <c r="C63" s="366" t="s">
        <v>83</v>
      </c>
      <c r="D63" s="366"/>
      <c r="E63" s="43" t="s">
        <v>4</v>
      </c>
      <c r="F63" s="1"/>
      <c r="G63" s="1"/>
      <c r="H63" s="285" t="s">
        <v>741</v>
      </c>
      <c r="I63" s="30">
        <f>SUM(O2:O61)</f>
        <v>60</v>
      </c>
      <c r="J63" s="20">
        <f>SUM(J2:J61)</f>
        <v>0</v>
      </c>
      <c r="K63" s="24">
        <f>SUM(P63:AH63)</f>
        <v>1</v>
      </c>
      <c r="L63" s="1"/>
      <c r="M63" s="1"/>
      <c r="N63" s="21"/>
      <c r="P63" s="271">
        <v>0.03</v>
      </c>
      <c r="Q63" s="209"/>
      <c r="R63" s="271">
        <v>0.1</v>
      </c>
      <c r="S63" s="209"/>
      <c r="T63" s="436">
        <v>0.3</v>
      </c>
      <c r="U63" s="438"/>
      <c r="V63" s="438"/>
      <c r="W63" s="436">
        <v>0.3</v>
      </c>
      <c r="X63" s="438"/>
      <c r="Y63" s="438"/>
      <c r="Z63" s="436">
        <v>0.1</v>
      </c>
      <c r="AA63" s="438"/>
      <c r="AB63" s="438"/>
      <c r="AC63" s="436">
        <v>0.12</v>
      </c>
      <c r="AD63" s="438"/>
      <c r="AE63" s="438"/>
      <c r="AF63" s="436">
        <v>0.05</v>
      </c>
      <c r="AG63" s="438"/>
      <c r="AH63" s="438"/>
    </row>
    <row r="64" spans="1:42" x14ac:dyDescent="0.2">
      <c r="C64" s="23" t="s">
        <v>24</v>
      </c>
      <c r="D64" s="8">
        <f t="shared" ref="D64:D70" si="0">SUMIF($E$2:$E$61,C64,$O$2:$O$61)</f>
        <v>0</v>
      </c>
      <c r="E64" s="23" t="s">
        <v>29</v>
      </c>
      <c r="F64" s="8">
        <f>SUMIF($C$2:$C$61,E64,$O$2:$O$61)</f>
        <v>0</v>
      </c>
      <c r="M64" s="360" t="s">
        <v>406</v>
      </c>
      <c r="N64" s="360"/>
      <c r="O64" s="360"/>
    </row>
    <row r="65" spans="1:32" s="8" customFormat="1" x14ac:dyDescent="0.2">
      <c r="C65" s="23" t="s">
        <v>66</v>
      </c>
      <c r="D65" s="8">
        <f t="shared" si="0"/>
        <v>0</v>
      </c>
      <c r="E65" s="23" t="s">
        <v>22</v>
      </c>
      <c r="F65" s="8">
        <f t="shared" ref="F65:F66" si="1">SUMIF($C$2:$C$61,E65,$O$2:$O$61)</f>
        <v>0</v>
      </c>
      <c r="G65" s="1"/>
      <c r="H65" s="348" t="s">
        <v>75</v>
      </c>
      <c r="I65" s="348"/>
      <c r="J65" s="20">
        <f>SUMIF(K2:K61,K65,J2:J61)</f>
        <v>0</v>
      </c>
      <c r="K65" s="24">
        <v>1</v>
      </c>
      <c r="L65" s="1"/>
      <c r="M65" s="48"/>
      <c r="N65" s="43">
        <f>SUMIF($K$2:$K$61,K65,$O$2:$O$61)</f>
        <v>0</v>
      </c>
      <c r="O65" s="43"/>
      <c r="P65" s="1"/>
      <c r="Q65" s="1"/>
      <c r="R65" s="1"/>
      <c r="S65" s="1"/>
      <c r="T65" s="1"/>
      <c r="U65" s="1"/>
      <c r="V65" s="1"/>
      <c r="W65" s="1"/>
      <c r="X65" s="1"/>
      <c r="Y65" s="1"/>
      <c r="Z65" s="1"/>
      <c r="AA65" s="1"/>
      <c r="AB65" s="1"/>
      <c r="AC65" s="1"/>
      <c r="AD65" s="43"/>
      <c r="AE65" s="43"/>
      <c r="AF65" s="43"/>
    </row>
    <row r="66" spans="1:32" s="8" customFormat="1" x14ac:dyDescent="0.2">
      <c r="C66" s="1" t="s">
        <v>34</v>
      </c>
      <c r="D66" s="8">
        <f t="shared" si="0"/>
        <v>0</v>
      </c>
      <c r="E66" s="1" t="s">
        <v>735</v>
      </c>
      <c r="F66" s="8">
        <f t="shared" si="1"/>
        <v>0</v>
      </c>
      <c r="G66" s="1"/>
      <c r="H66" s="1" t="s">
        <v>76</v>
      </c>
      <c r="I66" s="39" t="s">
        <v>734</v>
      </c>
      <c r="J66" s="20">
        <f>SUMIF($L$2:$L$61,K66,$J$2:$J$61)</f>
        <v>0</v>
      </c>
      <c r="K66" s="25">
        <v>1</v>
      </c>
      <c r="L66" s="1"/>
      <c r="M66" s="1"/>
      <c r="N66" s="21"/>
      <c r="P66" s="1"/>
      <c r="Q66" s="1"/>
      <c r="R66" s="1"/>
      <c r="S66" s="1"/>
      <c r="T66" s="1"/>
      <c r="U66" s="1"/>
      <c r="V66" s="1"/>
      <c r="W66" s="1"/>
      <c r="X66" s="1"/>
      <c r="Y66" s="1"/>
      <c r="Z66" s="1"/>
      <c r="AA66" s="1"/>
      <c r="AB66" s="1"/>
      <c r="AC66" s="1"/>
      <c r="AD66" s="43"/>
      <c r="AE66" s="43"/>
      <c r="AF66" s="43"/>
    </row>
    <row r="67" spans="1:32" s="8" customFormat="1" x14ac:dyDescent="0.2">
      <c r="C67" s="23" t="s">
        <v>31</v>
      </c>
      <c r="D67" s="8">
        <f t="shared" si="0"/>
        <v>0</v>
      </c>
      <c r="E67" s="1"/>
      <c r="F67" s="1"/>
      <c r="G67" s="1"/>
      <c r="H67" s="1" t="s">
        <v>76</v>
      </c>
      <c r="I67" s="39" t="s">
        <v>742</v>
      </c>
      <c r="J67" s="20">
        <f>SUMIF($L$2:$L$61,K67,$J$2:$J$61)</f>
        <v>0</v>
      </c>
      <c r="K67" s="25">
        <v>2</v>
      </c>
      <c r="L67" s="1"/>
      <c r="M67" s="1"/>
      <c r="N67" s="21"/>
      <c r="P67" s="1"/>
      <c r="Q67" s="1"/>
      <c r="R67" s="1"/>
      <c r="S67" s="1"/>
      <c r="T67" s="1"/>
      <c r="U67" s="1"/>
      <c r="V67" s="1"/>
      <c r="W67" s="1"/>
      <c r="X67" s="1"/>
      <c r="Y67" s="1"/>
      <c r="Z67" s="1"/>
      <c r="AA67" s="1"/>
      <c r="AB67" s="1"/>
      <c r="AC67" s="1"/>
      <c r="AD67" s="43"/>
      <c r="AE67" s="43"/>
      <c r="AF67" s="43"/>
    </row>
    <row r="68" spans="1:32" s="8" customFormat="1" x14ac:dyDescent="0.2">
      <c r="C68" s="23" t="s">
        <v>85</v>
      </c>
      <c r="D68" s="8">
        <f t="shared" si="0"/>
        <v>0</v>
      </c>
      <c r="E68" s="1"/>
      <c r="F68" s="1"/>
      <c r="G68" s="1"/>
      <c r="H68" s="1" t="s">
        <v>76</v>
      </c>
      <c r="I68" s="39" t="s">
        <v>743</v>
      </c>
      <c r="J68" s="20">
        <f>SUMIF($L$2:$L$61,K68,$J$2:$J$61)</f>
        <v>0</v>
      </c>
      <c r="K68" s="25">
        <v>3</v>
      </c>
      <c r="L68" s="1"/>
      <c r="M68" s="1"/>
      <c r="N68" s="21"/>
      <c r="P68" s="1"/>
      <c r="Q68" s="1"/>
      <c r="R68" s="1"/>
      <c r="S68" s="1"/>
      <c r="T68" s="1"/>
      <c r="U68" s="1"/>
      <c r="V68" s="1"/>
      <c r="W68" s="1"/>
      <c r="X68" s="1"/>
      <c r="Y68" s="1"/>
      <c r="Z68" s="1"/>
      <c r="AA68" s="1"/>
      <c r="AB68" s="1"/>
      <c r="AC68" s="1"/>
      <c r="AD68" s="43"/>
      <c r="AE68" s="43"/>
      <c r="AF68" s="43"/>
    </row>
    <row r="69" spans="1:32" s="8" customFormat="1" x14ac:dyDescent="0.2">
      <c r="C69" s="23" t="s">
        <v>46</v>
      </c>
      <c r="D69" s="8">
        <f t="shared" si="0"/>
        <v>0</v>
      </c>
      <c r="E69" s="1"/>
      <c r="F69" s="1"/>
      <c r="G69" s="1"/>
      <c r="H69" s="1" t="s">
        <v>76</v>
      </c>
      <c r="I69" s="39" t="s">
        <v>744</v>
      </c>
      <c r="J69" s="20">
        <f>SUMIF($L$2:$L$61,K69,$J$2:$J$61)</f>
        <v>0</v>
      </c>
      <c r="K69" s="25">
        <v>4</v>
      </c>
      <c r="L69" s="1"/>
      <c r="M69" s="1"/>
      <c r="N69" s="21"/>
      <c r="P69" s="1"/>
      <c r="Q69" s="1"/>
      <c r="R69" s="1"/>
      <c r="S69" s="1"/>
      <c r="T69" s="1"/>
      <c r="U69" s="1"/>
      <c r="V69" s="1"/>
      <c r="W69" s="1"/>
      <c r="X69" s="1"/>
      <c r="Y69" s="1"/>
      <c r="Z69" s="1"/>
      <c r="AA69" s="1"/>
      <c r="AB69" s="1"/>
      <c r="AC69" s="1"/>
      <c r="AD69" s="43"/>
      <c r="AE69" s="43"/>
      <c r="AF69" s="43"/>
    </row>
    <row r="70" spans="1:32" x14ac:dyDescent="0.2">
      <c r="C70" s="23" t="s">
        <v>38</v>
      </c>
      <c r="D70" s="8">
        <f t="shared" si="0"/>
        <v>0</v>
      </c>
      <c r="H70" s="1" t="s">
        <v>76</v>
      </c>
      <c r="I70" s="39" t="s">
        <v>745</v>
      </c>
      <c r="J70" s="20">
        <f>SUMIF($L$2:$L$61,K70,$J$2:$J$61)</f>
        <v>0</v>
      </c>
      <c r="K70" s="25">
        <v>5</v>
      </c>
    </row>
    <row r="72" spans="1:32" x14ac:dyDescent="0.2">
      <c r="C72" s="23"/>
      <c r="D72" s="8"/>
    </row>
    <row r="73" spans="1:32" x14ac:dyDescent="0.2">
      <c r="L73" s="33"/>
    </row>
    <row r="74" spans="1:32" x14ac:dyDescent="0.2">
      <c r="C74" s="3" t="s">
        <v>157</v>
      </c>
      <c r="D74" s="8">
        <f>SUM(D64:D73)</f>
        <v>0</v>
      </c>
      <c r="E74" s="3" t="s">
        <v>157</v>
      </c>
      <c r="F74" s="8">
        <f>SUM(F64:F73)</f>
        <v>0</v>
      </c>
    </row>
    <row r="75" spans="1:32" s="57" customFormat="1" ht="29.25" customHeight="1" x14ac:dyDescent="0.2">
      <c r="A75" s="383" t="s">
        <v>158</v>
      </c>
      <c r="B75" s="383"/>
      <c r="C75" s="383"/>
      <c r="I75" s="58" t="s">
        <v>159</v>
      </c>
      <c r="J75" s="58" t="s">
        <v>160</v>
      </c>
      <c r="N75" s="59"/>
      <c r="O75" s="7"/>
      <c r="AD75" s="60"/>
      <c r="AE75" s="60"/>
      <c r="AF75" s="60"/>
    </row>
    <row r="76" spans="1:32" x14ac:dyDescent="0.2">
      <c r="A76" s="286">
        <v>44896</v>
      </c>
      <c r="B76" s="287" t="s">
        <v>163</v>
      </c>
      <c r="C76" s="353"/>
      <c r="D76" s="353"/>
      <c r="E76" s="353"/>
      <c r="F76" s="353"/>
      <c r="G76" s="353"/>
      <c r="H76" s="353"/>
      <c r="I76" s="51"/>
      <c r="J76" s="51"/>
    </row>
    <row r="77" spans="1:32" x14ac:dyDescent="0.2">
      <c r="A77" s="49">
        <f>+A76+1</f>
        <v>44897</v>
      </c>
      <c r="B77" s="50" t="s">
        <v>164</v>
      </c>
      <c r="C77" s="353"/>
      <c r="D77" s="353"/>
      <c r="E77" s="353"/>
      <c r="F77" s="353"/>
      <c r="G77" s="353"/>
      <c r="H77" s="353"/>
      <c r="I77" s="51"/>
      <c r="J77" s="51"/>
    </row>
    <row r="78" spans="1:32" x14ac:dyDescent="0.2">
      <c r="A78" s="49">
        <f t="shared" ref="A78:A106" si="2">+A77+1</f>
        <v>44898</v>
      </c>
      <c r="B78" s="50" t="s">
        <v>165</v>
      </c>
      <c r="C78" s="353"/>
      <c r="D78" s="353"/>
      <c r="E78" s="353"/>
      <c r="F78" s="353"/>
      <c r="G78" s="353"/>
      <c r="H78" s="353"/>
      <c r="I78" s="51"/>
      <c r="J78" s="51"/>
    </row>
    <row r="79" spans="1:32" x14ac:dyDescent="0.2">
      <c r="A79" s="49">
        <f t="shared" si="2"/>
        <v>44899</v>
      </c>
      <c r="B79" s="50" t="s">
        <v>166</v>
      </c>
      <c r="C79" s="353"/>
      <c r="D79" s="353"/>
      <c r="E79" s="353"/>
      <c r="F79" s="353"/>
      <c r="G79" s="353"/>
      <c r="H79" s="353"/>
      <c r="I79" s="51"/>
      <c r="J79" s="51"/>
    </row>
    <row r="80" spans="1:32" x14ac:dyDescent="0.2">
      <c r="A80" s="49">
        <f t="shared" si="2"/>
        <v>44900</v>
      </c>
      <c r="B80" s="50" t="s">
        <v>167</v>
      </c>
      <c r="C80" s="353"/>
      <c r="D80" s="353"/>
      <c r="E80" s="353"/>
      <c r="F80" s="353"/>
      <c r="G80" s="353"/>
      <c r="H80" s="353"/>
      <c r="I80" s="51"/>
      <c r="J80" s="51"/>
    </row>
    <row r="81" spans="1:10" x14ac:dyDescent="0.2">
      <c r="A81" s="49">
        <f t="shared" si="2"/>
        <v>44901</v>
      </c>
      <c r="B81" s="50" t="s">
        <v>161</v>
      </c>
      <c r="C81" s="353"/>
      <c r="D81" s="353"/>
      <c r="E81" s="353"/>
      <c r="F81" s="353"/>
      <c r="G81" s="353"/>
      <c r="H81" s="353"/>
      <c r="I81" s="51"/>
      <c r="J81" s="51"/>
    </row>
    <row r="82" spans="1:10" x14ac:dyDescent="0.2">
      <c r="A82" s="49">
        <f t="shared" si="2"/>
        <v>44902</v>
      </c>
      <c r="B82" s="50" t="s">
        <v>162</v>
      </c>
      <c r="C82" s="353"/>
      <c r="D82" s="353"/>
      <c r="E82" s="353"/>
      <c r="F82" s="353"/>
      <c r="G82" s="353"/>
      <c r="H82" s="353"/>
      <c r="I82" s="51"/>
      <c r="J82" s="51"/>
    </row>
    <row r="83" spans="1:10" x14ac:dyDescent="0.2">
      <c r="A83" s="61">
        <f t="shared" si="2"/>
        <v>44903</v>
      </c>
      <c r="B83" s="62" t="s">
        <v>163</v>
      </c>
      <c r="C83" s="429"/>
      <c r="D83" s="429"/>
      <c r="E83" s="429"/>
      <c r="F83" s="429"/>
      <c r="G83" s="429"/>
      <c r="H83" s="429"/>
      <c r="I83" s="63"/>
      <c r="J83" s="63"/>
    </row>
    <row r="84" spans="1:10" x14ac:dyDescent="0.2">
      <c r="A84" s="49">
        <f t="shared" si="2"/>
        <v>44904</v>
      </c>
      <c r="B84" s="50" t="s">
        <v>164</v>
      </c>
      <c r="C84" s="353"/>
      <c r="D84" s="353"/>
      <c r="E84" s="353"/>
      <c r="F84" s="353"/>
      <c r="G84" s="353"/>
      <c r="H84" s="353"/>
      <c r="I84" s="51"/>
      <c r="J84" s="51"/>
    </row>
    <row r="85" spans="1:10" x14ac:dyDescent="0.2">
      <c r="A85" s="49">
        <f t="shared" si="2"/>
        <v>44905</v>
      </c>
      <c r="B85" s="50" t="s">
        <v>165</v>
      </c>
      <c r="C85" s="353"/>
      <c r="D85" s="353"/>
      <c r="E85" s="353"/>
      <c r="F85" s="353"/>
      <c r="G85" s="353"/>
      <c r="H85" s="353"/>
      <c r="I85" s="51"/>
      <c r="J85" s="51"/>
    </row>
    <row r="86" spans="1:10" x14ac:dyDescent="0.2">
      <c r="A86" s="49">
        <f t="shared" si="2"/>
        <v>44906</v>
      </c>
      <c r="B86" s="50" t="s">
        <v>166</v>
      </c>
      <c r="C86" s="353"/>
      <c r="D86" s="353"/>
      <c r="E86" s="353"/>
      <c r="F86" s="353"/>
      <c r="G86" s="353"/>
      <c r="H86" s="353"/>
      <c r="I86" s="51"/>
      <c r="J86" s="51"/>
    </row>
    <row r="87" spans="1:10" x14ac:dyDescent="0.2">
      <c r="A87" s="49">
        <f t="shared" si="2"/>
        <v>44907</v>
      </c>
      <c r="B87" s="50" t="s">
        <v>167</v>
      </c>
      <c r="C87" s="353"/>
      <c r="D87" s="353"/>
      <c r="E87" s="353"/>
      <c r="F87" s="353"/>
      <c r="G87" s="353"/>
      <c r="H87" s="353"/>
      <c r="I87" s="51"/>
      <c r="J87" s="51"/>
    </row>
    <row r="88" spans="1:10" x14ac:dyDescent="0.2">
      <c r="A88" s="49">
        <f t="shared" si="2"/>
        <v>44908</v>
      </c>
      <c r="B88" s="50" t="s">
        <v>161</v>
      </c>
      <c r="C88" s="353"/>
      <c r="D88" s="353"/>
      <c r="E88" s="353"/>
      <c r="F88" s="353"/>
      <c r="G88" s="353"/>
      <c r="H88" s="353"/>
      <c r="I88" s="51"/>
      <c r="J88" s="51"/>
    </row>
    <row r="89" spans="1:10" x14ac:dyDescent="0.2">
      <c r="A89" s="49">
        <f t="shared" si="2"/>
        <v>44909</v>
      </c>
      <c r="B89" s="50" t="s">
        <v>162</v>
      </c>
      <c r="C89" s="353"/>
      <c r="D89" s="353"/>
      <c r="E89" s="353"/>
      <c r="F89" s="353"/>
      <c r="G89" s="353"/>
      <c r="H89" s="353"/>
      <c r="I89" s="51"/>
      <c r="J89" s="51"/>
    </row>
    <row r="90" spans="1:10" x14ac:dyDescent="0.2">
      <c r="A90" s="49">
        <f t="shared" si="2"/>
        <v>44910</v>
      </c>
      <c r="B90" s="50" t="s">
        <v>163</v>
      </c>
      <c r="C90" s="353"/>
      <c r="D90" s="353"/>
      <c r="E90" s="353"/>
      <c r="F90" s="353"/>
      <c r="G90" s="353"/>
      <c r="H90" s="353"/>
      <c r="I90" s="51"/>
      <c r="J90" s="51"/>
    </row>
    <row r="91" spans="1:10" x14ac:dyDescent="0.2">
      <c r="A91" s="49">
        <f t="shared" si="2"/>
        <v>44911</v>
      </c>
      <c r="B91" s="50" t="s">
        <v>164</v>
      </c>
      <c r="C91" s="353"/>
      <c r="D91" s="353"/>
      <c r="E91" s="353"/>
      <c r="F91" s="353"/>
      <c r="G91" s="353"/>
      <c r="H91" s="353"/>
      <c r="I91" s="51"/>
      <c r="J91" s="51"/>
    </row>
    <row r="92" spans="1:10" x14ac:dyDescent="0.2">
      <c r="A92" s="49">
        <f t="shared" si="2"/>
        <v>44912</v>
      </c>
      <c r="B92" s="50" t="s">
        <v>165</v>
      </c>
      <c r="C92" s="353"/>
      <c r="D92" s="353"/>
      <c r="E92" s="353"/>
      <c r="F92" s="353"/>
      <c r="G92" s="353"/>
      <c r="H92" s="353"/>
      <c r="I92" s="51"/>
      <c r="J92" s="51"/>
    </row>
    <row r="93" spans="1:10" x14ac:dyDescent="0.2">
      <c r="A93" s="49">
        <f t="shared" si="2"/>
        <v>44913</v>
      </c>
      <c r="B93" s="50" t="s">
        <v>166</v>
      </c>
      <c r="C93" s="353"/>
      <c r="D93" s="353"/>
      <c r="E93" s="353"/>
      <c r="F93" s="353"/>
      <c r="G93" s="353"/>
      <c r="H93" s="353"/>
      <c r="I93" s="51"/>
      <c r="J93" s="51"/>
    </row>
    <row r="94" spans="1:10" x14ac:dyDescent="0.2">
      <c r="A94" s="49">
        <f t="shared" si="2"/>
        <v>44914</v>
      </c>
      <c r="B94" s="50" t="s">
        <v>167</v>
      </c>
      <c r="C94" s="353"/>
      <c r="D94" s="353"/>
      <c r="E94" s="353"/>
      <c r="F94" s="353"/>
      <c r="G94" s="353"/>
      <c r="H94" s="353"/>
      <c r="I94" s="51"/>
      <c r="J94" s="51"/>
    </row>
    <row r="95" spans="1:10" x14ac:dyDescent="0.2">
      <c r="A95" s="49">
        <f t="shared" si="2"/>
        <v>44915</v>
      </c>
      <c r="B95" s="50" t="s">
        <v>161</v>
      </c>
      <c r="C95" s="353"/>
      <c r="D95" s="353"/>
      <c r="E95" s="353"/>
      <c r="F95" s="353"/>
      <c r="G95" s="353"/>
      <c r="H95" s="353"/>
      <c r="I95" s="51"/>
      <c r="J95" s="51"/>
    </row>
    <row r="96" spans="1:10" x14ac:dyDescent="0.2">
      <c r="A96" s="49">
        <f t="shared" si="2"/>
        <v>44916</v>
      </c>
      <c r="B96" s="50" t="s">
        <v>162</v>
      </c>
      <c r="C96" s="353"/>
      <c r="D96" s="353"/>
      <c r="E96" s="353"/>
      <c r="F96" s="353"/>
      <c r="G96" s="353"/>
      <c r="H96" s="353"/>
      <c r="I96" s="51"/>
      <c r="J96" s="51"/>
    </row>
    <row r="97" spans="1:21" x14ac:dyDescent="0.2">
      <c r="A97" s="49">
        <f t="shared" si="2"/>
        <v>44917</v>
      </c>
      <c r="B97" s="50" t="s">
        <v>163</v>
      </c>
      <c r="C97" s="353"/>
      <c r="D97" s="353"/>
      <c r="E97" s="353"/>
      <c r="F97" s="353"/>
      <c r="G97" s="353"/>
      <c r="H97" s="353"/>
      <c r="I97" s="51"/>
      <c r="J97" s="51"/>
    </row>
    <row r="98" spans="1:21" x14ac:dyDescent="0.2">
      <c r="A98" s="49">
        <f t="shared" si="2"/>
        <v>44918</v>
      </c>
      <c r="B98" s="50" t="s">
        <v>164</v>
      </c>
      <c r="C98" s="353"/>
      <c r="D98" s="353"/>
      <c r="E98" s="353"/>
      <c r="F98" s="353"/>
      <c r="G98" s="353"/>
      <c r="H98" s="353"/>
      <c r="I98" s="51"/>
      <c r="J98" s="51"/>
    </row>
    <row r="99" spans="1:21" x14ac:dyDescent="0.2">
      <c r="A99" s="49">
        <f t="shared" si="2"/>
        <v>44919</v>
      </c>
      <c r="B99" s="50" t="s">
        <v>165</v>
      </c>
      <c r="C99" s="353"/>
      <c r="D99" s="353"/>
      <c r="E99" s="353"/>
      <c r="F99" s="353"/>
      <c r="G99" s="353"/>
      <c r="H99" s="353"/>
      <c r="I99" s="51"/>
      <c r="J99" s="51"/>
    </row>
    <row r="100" spans="1:21" x14ac:dyDescent="0.2">
      <c r="A100" s="61">
        <f t="shared" si="2"/>
        <v>44920</v>
      </c>
      <c r="B100" s="62" t="s">
        <v>166</v>
      </c>
      <c r="C100" s="429"/>
      <c r="D100" s="429"/>
      <c r="E100" s="429"/>
      <c r="F100" s="429"/>
      <c r="G100" s="429"/>
      <c r="H100" s="429"/>
      <c r="I100" s="63"/>
      <c r="J100" s="63"/>
    </row>
    <row r="101" spans="1:21" x14ac:dyDescent="0.2">
      <c r="A101" s="49">
        <f t="shared" si="2"/>
        <v>44921</v>
      </c>
      <c r="B101" s="50" t="s">
        <v>167</v>
      </c>
      <c r="C101" s="353"/>
      <c r="D101" s="353"/>
      <c r="E101" s="353"/>
      <c r="F101" s="353"/>
      <c r="G101" s="353"/>
      <c r="H101" s="353"/>
      <c r="I101" s="51"/>
      <c r="J101" s="51"/>
    </row>
    <row r="102" spans="1:21" x14ac:dyDescent="0.2">
      <c r="A102" s="49">
        <f t="shared" si="2"/>
        <v>44922</v>
      </c>
      <c r="B102" s="50" t="s">
        <v>161</v>
      </c>
      <c r="C102" s="353"/>
      <c r="D102" s="353"/>
      <c r="E102" s="353"/>
      <c r="F102" s="353"/>
      <c r="G102" s="353"/>
      <c r="H102" s="353"/>
      <c r="I102" s="51"/>
      <c r="J102" s="51"/>
    </row>
    <row r="103" spans="1:21" x14ac:dyDescent="0.2">
      <c r="A103" s="49">
        <f t="shared" si="2"/>
        <v>44923</v>
      </c>
      <c r="B103" s="50" t="s">
        <v>162</v>
      </c>
      <c r="C103" s="353"/>
      <c r="D103" s="353"/>
      <c r="E103" s="353"/>
      <c r="F103" s="353"/>
      <c r="G103" s="353"/>
      <c r="H103" s="353"/>
      <c r="I103" s="51"/>
      <c r="J103" s="51"/>
    </row>
    <row r="104" spans="1:21" x14ac:dyDescent="0.2">
      <c r="A104" s="49">
        <f t="shared" si="2"/>
        <v>44924</v>
      </c>
      <c r="B104" s="50" t="s">
        <v>163</v>
      </c>
      <c r="C104" s="353"/>
      <c r="D104" s="353"/>
      <c r="E104" s="353"/>
      <c r="F104" s="353"/>
      <c r="G104" s="353"/>
      <c r="H104" s="353"/>
      <c r="I104" s="51"/>
      <c r="J104" s="51"/>
    </row>
    <row r="105" spans="1:21" x14ac:dyDescent="0.2">
      <c r="A105" s="49">
        <f t="shared" si="2"/>
        <v>44925</v>
      </c>
      <c r="B105" s="50" t="s">
        <v>164</v>
      </c>
      <c r="C105" s="353"/>
      <c r="D105" s="353"/>
      <c r="E105" s="353"/>
      <c r="F105" s="353"/>
      <c r="G105" s="353"/>
      <c r="H105" s="353"/>
      <c r="I105" s="51"/>
      <c r="J105" s="51"/>
    </row>
    <row r="106" spans="1:21" x14ac:dyDescent="0.2">
      <c r="A106" s="49">
        <f t="shared" si="2"/>
        <v>44926</v>
      </c>
      <c r="B106" s="50" t="s">
        <v>165</v>
      </c>
      <c r="C106" s="353"/>
      <c r="D106" s="353"/>
      <c r="E106" s="353"/>
      <c r="F106" s="353"/>
      <c r="G106" s="353"/>
      <c r="H106" s="353"/>
      <c r="I106" s="51"/>
      <c r="J106" s="51"/>
    </row>
    <row r="107" spans="1:21" x14ac:dyDescent="0.2">
      <c r="A107" s="32"/>
      <c r="I107" s="8"/>
      <c r="J107" s="8"/>
      <c r="R107" s="21"/>
      <c r="S107" s="21"/>
      <c r="T107" s="8"/>
      <c r="U107" s="8"/>
    </row>
    <row r="108" spans="1:21" x14ac:dyDescent="0.2">
      <c r="A108" s="367" t="s">
        <v>207</v>
      </c>
      <c r="B108" s="368"/>
      <c r="C108" s="368"/>
      <c r="D108" s="368"/>
      <c r="I108" s="8"/>
      <c r="J108" s="8"/>
      <c r="R108" s="21"/>
      <c r="S108" s="21"/>
      <c r="T108" s="8"/>
      <c r="U108" s="8"/>
    </row>
    <row r="109" spans="1:21" x14ac:dyDescent="0.2">
      <c r="A109" s="52">
        <f>COUNTIF($I$76:$I$109,B109)</f>
        <v>0</v>
      </c>
      <c r="B109" s="53" t="s">
        <v>208</v>
      </c>
      <c r="C109" s="370" t="s">
        <v>209</v>
      </c>
      <c r="D109" s="370"/>
      <c r="I109" s="8"/>
      <c r="J109" s="8"/>
      <c r="R109" s="21"/>
      <c r="S109" s="21"/>
      <c r="T109" s="8"/>
      <c r="U109" s="8"/>
    </row>
    <row r="110" spans="1:21" x14ac:dyDescent="0.2">
      <c r="A110" s="52">
        <f t="shared" ref="A110:A119" si="3">COUNTIF($I$76:$I$109,B110)</f>
        <v>0</v>
      </c>
      <c r="B110" s="53" t="s">
        <v>172</v>
      </c>
      <c r="C110" s="370" t="s">
        <v>210</v>
      </c>
      <c r="D110" s="370"/>
      <c r="I110" s="8"/>
      <c r="J110" s="8"/>
      <c r="R110" s="21"/>
      <c r="S110" s="21"/>
      <c r="T110" s="8"/>
      <c r="U110" s="8"/>
    </row>
    <row r="111" spans="1:21" x14ac:dyDescent="0.2">
      <c r="A111" s="52">
        <f t="shared" si="3"/>
        <v>0</v>
      </c>
      <c r="B111" s="53" t="s">
        <v>169</v>
      </c>
      <c r="C111" s="370" t="s">
        <v>211</v>
      </c>
      <c r="D111" s="370"/>
      <c r="I111" s="8"/>
      <c r="J111" s="8"/>
      <c r="R111" s="21"/>
      <c r="S111" s="21"/>
      <c r="T111" s="8"/>
      <c r="U111" s="8"/>
    </row>
    <row r="112" spans="1:21" x14ac:dyDescent="0.2">
      <c r="A112" s="52">
        <f t="shared" si="3"/>
        <v>0</v>
      </c>
      <c r="B112" s="53" t="s">
        <v>181</v>
      </c>
      <c r="C112" s="370" t="s">
        <v>212</v>
      </c>
      <c r="D112" s="370"/>
      <c r="I112" s="8"/>
      <c r="J112" s="8"/>
      <c r="R112" s="21"/>
      <c r="S112" s="21"/>
      <c r="T112" s="8"/>
      <c r="U112" s="8"/>
    </row>
    <row r="113" spans="1:21" x14ac:dyDescent="0.2">
      <c r="A113" s="52">
        <f t="shared" si="3"/>
        <v>0</v>
      </c>
      <c r="B113" s="53" t="s">
        <v>183</v>
      </c>
      <c r="C113" s="370" t="s">
        <v>213</v>
      </c>
      <c r="D113" s="370"/>
      <c r="I113" s="8"/>
      <c r="J113" s="8"/>
      <c r="R113" s="21"/>
      <c r="S113" s="21"/>
      <c r="T113" s="8"/>
      <c r="U113" s="8"/>
    </row>
    <row r="114" spans="1:21" x14ac:dyDescent="0.2">
      <c r="A114" s="52">
        <f t="shared" si="3"/>
        <v>0</v>
      </c>
      <c r="B114" s="53" t="s">
        <v>214</v>
      </c>
      <c r="C114" s="370" t="s">
        <v>215</v>
      </c>
      <c r="D114" s="370"/>
      <c r="I114" s="8"/>
      <c r="J114" s="8"/>
      <c r="R114" s="21"/>
      <c r="S114" s="21"/>
      <c r="T114" s="8"/>
      <c r="U114" s="8"/>
    </row>
    <row r="115" spans="1:21" x14ac:dyDescent="0.2">
      <c r="A115" s="52">
        <f t="shared" si="3"/>
        <v>0</v>
      </c>
      <c r="B115" s="53" t="s">
        <v>216</v>
      </c>
      <c r="C115" s="370" t="s">
        <v>217</v>
      </c>
      <c r="D115" s="370"/>
      <c r="I115" s="8"/>
      <c r="J115" s="8"/>
      <c r="R115" s="21"/>
      <c r="S115" s="21"/>
      <c r="T115" s="8"/>
      <c r="U115" s="8"/>
    </row>
    <row r="116" spans="1:21" x14ac:dyDescent="0.2">
      <c r="A116" s="52">
        <f t="shared" si="3"/>
        <v>0</v>
      </c>
      <c r="B116" s="53" t="s">
        <v>218</v>
      </c>
      <c r="C116" s="371" t="s">
        <v>219</v>
      </c>
      <c r="D116" s="372"/>
      <c r="I116" s="8"/>
      <c r="J116" s="8"/>
      <c r="R116" s="21"/>
      <c r="S116" s="21"/>
      <c r="T116" s="8"/>
      <c r="U116" s="8"/>
    </row>
    <row r="117" spans="1:21" x14ac:dyDescent="0.2">
      <c r="A117" s="52">
        <f t="shared" si="3"/>
        <v>0</v>
      </c>
      <c r="B117" s="53" t="s">
        <v>220</v>
      </c>
      <c r="C117" s="370" t="s">
        <v>221</v>
      </c>
      <c r="D117" s="370"/>
      <c r="I117" s="8"/>
      <c r="J117" s="8"/>
    </row>
    <row r="118" spans="1:21" x14ac:dyDescent="0.2">
      <c r="A118" s="52">
        <f>COUNTIF($I$76:$I$109,B118)</f>
        <v>0</v>
      </c>
      <c r="B118" s="53" t="s">
        <v>178</v>
      </c>
      <c r="C118" s="370" t="s">
        <v>222</v>
      </c>
      <c r="D118" s="370"/>
      <c r="I118" s="8"/>
      <c r="J118" s="8"/>
    </row>
    <row r="119" spans="1:21" x14ac:dyDescent="0.2">
      <c r="A119" s="52">
        <f t="shared" si="3"/>
        <v>0</v>
      </c>
      <c r="B119" s="53" t="s">
        <v>223</v>
      </c>
      <c r="C119" s="370" t="s">
        <v>224</v>
      </c>
      <c r="D119" s="370"/>
      <c r="I119" s="8"/>
      <c r="J119" s="8"/>
    </row>
    <row r="120" spans="1:21" x14ac:dyDescent="0.2">
      <c r="A120" s="54"/>
      <c r="B120" s="55"/>
      <c r="C120" s="56"/>
      <c r="D120" s="56"/>
      <c r="I120" s="8"/>
      <c r="J120" s="8"/>
    </row>
    <row r="121" spans="1:21" x14ac:dyDescent="0.2">
      <c r="A121" s="54"/>
      <c r="B121" s="55"/>
      <c r="C121" s="56"/>
      <c r="D121" s="56"/>
      <c r="I121" s="8"/>
      <c r="J121" s="8"/>
    </row>
    <row r="122" spans="1:21" x14ac:dyDescent="0.2">
      <c r="A122" s="54"/>
      <c r="B122" s="55"/>
      <c r="C122" s="56"/>
      <c r="D122" s="56"/>
      <c r="I122" s="8"/>
      <c r="J122" s="8"/>
    </row>
    <row r="123" spans="1:21" x14ac:dyDescent="0.2">
      <c r="A123" s="54"/>
      <c r="B123" s="55"/>
      <c r="C123" s="56"/>
      <c r="D123" s="56"/>
      <c r="I123" s="8"/>
      <c r="J123" s="8"/>
    </row>
    <row r="124" spans="1:21" x14ac:dyDescent="0.2">
      <c r="A124" s="32"/>
      <c r="I124" s="8"/>
      <c r="J124" s="8"/>
    </row>
    <row r="125" spans="1:21" x14ac:dyDescent="0.2">
      <c r="A125" s="367" t="s">
        <v>225</v>
      </c>
      <c r="B125" s="368"/>
      <c r="C125" s="368"/>
      <c r="D125" s="368"/>
      <c r="I125" s="8"/>
      <c r="J125" s="8"/>
    </row>
    <row r="126" spans="1:21" x14ac:dyDescent="0.2">
      <c r="A126" s="52">
        <f>COUNTIF($J$76:$J$109,B126)</f>
        <v>0</v>
      </c>
      <c r="B126" s="52" t="s">
        <v>170</v>
      </c>
      <c r="C126" s="356" t="s">
        <v>226</v>
      </c>
      <c r="D126" s="356"/>
      <c r="I126" s="8"/>
      <c r="J126" s="8"/>
    </row>
    <row r="127" spans="1:21" x14ac:dyDescent="0.2">
      <c r="A127" s="52">
        <f t="shared" ref="A127:A138" si="4">COUNTIF($J$76:$J$109,B127)</f>
        <v>0</v>
      </c>
      <c r="B127" s="52" t="s">
        <v>191</v>
      </c>
      <c r="C127" s="356" t="s">
        <v>227</v>
      </c>
      <c r="D127" s="356"/>
      <c r="I127" s="8"/>
      <c r="J127" s="8"/>
    </row>
    <row r="128" spans="1:21" x14ac:dyDescent="0.2">
      <c r="A128" s="52">
        <f t="shared" si="4"/>
        <v>0</v>
      </c>
      <c r="B128" s="52" t="s">
        <v>179</v>
      </c>
      <c r="C128" s="356" t="s">
        <v>228</v>
      </c>
      <c r="D128" s="356"/>
      <c r="I128" s="8"/>
      <c r="J128" s="8"/>
    </row>
    <row r="129" spans="1:10" x14ac:dyDescent="0.2">
      <c r="A129" s="52">
        <f t="shared" si="4"/>
        <v>0</v>
      </c>
      <c r="B129" s="52" t="s">
        <v>229</v>
      </c>
      <c r="C129" s="356" t="s">
        <v>230</v>
      </c>
      <c r="D129" s="356"/>
      <c r="I129" s="8"/>
      <c r="J129" s="8"/>
    </row>
    <row r="130" spans="1:10" x14ac:dyDescent="0.2">
      <c r="A130" s="52">
        <f t="shared" si="4"/>
        <v>0</v>
      </c>
      <c r="B130" s="52" t="s">
        <v>174</v>
      </c>
      <c r="C130" s="356" t="s">
        <v>231</v>
      </c>
      <c r="D130" s="356"/>
      <c r="I130" s="8"/>
      <c r="J130" s="8"/>
    </row>
    <row r="131" spans="1:10" x14ac:dyDescent="0.2">
      <c r="A131" s="52">
        <f t="shared" si="4"/>
        <v>0</v>
      </c>
      <c r="B131" s="52" t="s">
        <v>232</v>
      </c>
      <c r="C131" s="356" t="s">
        <v>233</v>
      </c>
      <c r="D131" s="356"/>
      <c r="I131" s="8"/>
      <c r="J131" s="8"/>
    </row>
    <row r="132" spans="1:10" x14ac:dyDescent="0.2">
      <c r="A132" s="52">
        <f t="shared" si="4"/>
        <v>0</v>
      </c>
      <c r="B132" s="52" t="s">
        <v>187</v>
      </c>
      <c r="C132" s="356" t="s">
        <v>234</v>
      </c>
      <c r="D132" s="356"/>
      <c r="I132" s="8"/>
      <c r="J132" s="8"/>
    </row>
    <row r="133" spans="1:10" x14ac:dyDescent="0.2">
      <c r="A133" s="52">
        <f t="shared" si="4"/>
        <v>0</v>
      </c>
      <c r="B133" s="52" t="s">
        <v>235</v>
      </c>
      <c r="C133" s="356" t="s">
        <v>236</v>
      </c>
      <c r="D133" s="356"/>
      <c r="I133" s="8"/>
      <c r="J133" s="8"/>
    </row>
    <row r="134" spans="1:10" x14ac:dyDescent="0.2">
      <c r="A134" s="52">
        <f t="shared" si="4"/>
        <v>0</v>
      </c>
      <c r="B134" s="52" t="s">
        <v>185</v>
      </c>
      <c r="C134" s="356" t="s">
        <v>237</v>
      </c>
      <c r="D134" s="356"/>
      <c r="I134" s="8"/>
      <c r="J134" s="8"/>
    </row>
    <row r="135" spans="1:10" x14ac:dyDescent="0.2">
      <c r="A135" s="52">
        <f t="shared" si="4"/>
        <v>0</v>
      </c>
      <c r="B135" s="52" t="s">
        <v>238</v>
      </c>
      <c r="C135" s="356" t="s">
        <v>239</v>
      </c>
      <c r="D135" s="356"/>
      <c r="I135" s="8"/>
      <c r="J135" s="8"/>
    </row>
    <row r="136" spans="1:10" x14ac:dyDescent="0.2">
      <c r="A136" s="52">
        <f>COUNTIF($J$76:$J$109,B136)</f>
        <v>0</v>
      </c>
      <c r="B136" s="52" t="s">
        <v>240</v>
      </c>
      <c r="C136" s="356" t="s">
        <v>241</v>
      </c>
      <c r="D136" s="356"/>
      <c r="I136" s="8"/>
      <c r="J136" s="8"/>
    </row>
    <row r="137" spans="1:10" x14ac:dyDescent="0.2">
      <c r="A137" s="52">
        <f>COUNTIF($J$76:$J$109,B137)</f>
        <v>0</v>
      </c>
      <c r="B137" s="52" t="s">
        <v>242</v>
      </c>
      <c r="C137" s="356" t="s">
        <v>243</v>
      </c>
      <c r="D137" s="356"/>
      <c r="I137" s="8"/>
      <c r="J137" s="8"/>
    </row>
    <row r="138" spans="1:10" x14ac:dyDescent="0.2">
      <c r="A138" s="52">
        <f t="shared" si="4"/>
        <v>0</v>
      </c>
      <c r="B138" s="52" t="s">
        <v>244</v>
      </c>
      <c r="C138" s="356" t="s">
        <v>245</v>
      </c>
      <c r="D138" s="356"/>
      <c r="I138" s="8"/>
      <c r="J138" s="8"/>
    </row>
    <row r="139" spans="1:10" x14ac:dyDescent="0.2">
      <c r="A139" s="32"/>
      <c r="I139" s="8"/>
      <c r="J139" s="8"/>
    </row>
    <row r="140" spans="1:10" x14ac:dyDescent="0.2">
      <c r="A140" s="32"/>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ht="19" x14ac:dyDescent="0.2">
      <c r="A145" s="32"/>
      <c r="C145" s="349" t="s">
        <v>86</v>
      </c>
      <c r="D145" s="350"/>
      <c r="E145" s="350"/>
      <c r="F145" s="350"/>
      <c r="G145" s="351"/>
      <c r="I145" s="8"/>
      <c r="J145" s="8"/>
    </row>
    <row r="146" spans="1:10" ht="32" x14ac:dyDescent="0.2">
      <c r="A146" s="32"/>
      <c r="C146" s="68" t="s">
        <v>87</v>
      </c>
      <c r="D146" s="64" t="s">
        <v>88</v>
      </c>
      <c r="E146" s="64" t="s">
        <v>89</v>
      </c>
      <c r="F146" s="64" t="s">
        <v>90</v>
      </c>
      <c r="G146" s="66" t="s">
        <v>91</v>
      </c>
      <c r="I146" s="8"/>
      <c r="J146" s="8"/>
    </row>
    <row r="147" spans="1:10" x14ac:dyDescent="0.2">
      <c r="A147" s="32"/>
      <c r="C147" s="65"/>
      <c r="D147" s="65"/>
      <c r="E147" s="65"/>
      <c r="F147" s="65"/>
      <c r="G147" s="67">
        <f>SUM(B147:F147)</f>
        <v>0</v>
      </c>
      <c r="I147" s="8"/>
      <c r="J147" s="8"/>
    </row>
    <row r="148" spans="1:10" x14ac:dyDescent="0.2">
      <c r="A148" s="32"/>
      <c r="G148"/>
      <c r="I148" s="8"/>
      <c r="J148" s="8"/>
    </row>
    <row r="149" spans="1:10" x14ac:dyDescent="0.2">
      <c r="A149" s="32"/>
      <c r="I149" s="8"/>
      <c r="J149" s="8"/>
    </row>
    <row r="150" spans="1:10" x14ac:dyDescent="0.2">
      <c r="A150" s="32"/>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row>
    <row r="224" spans="1:10" x14ac:dyDescent="0.2">
      <c r="A224" s="32"/>
    </row>
    <row r="225" spans="1:1" x14ac:dyDescent="0.2">
      <c r="A225" s="32"/>
    </row>
    <row r="226" spans="1:1" x14ac:dyDescent="0.2">
      <c r="A226" s="32"/>
    </row>
    <row r="227" spans="1:1" x14ac:dyDescent="0.2">
      <c r="A227" s="32"/>
    </row>
    <row r="228" spans="1:1" x14ac:dyDescent="0.2">
      <c r="A228" s="32"/>
    </row>
    <row r="229" spans="1:1" x14ac:dyDescent="0.2">
      <c r="A229" s="32"/>
    </row>
    <row r="230" spans="1:1" x14ac:dyDescent="0.2">
      <c r="A230" s="32"/>
    </row>
    <row r="231" spans="1:1" x14ac:dyDescent="0.2">
      <c r="A231" s="32"/>
    </row>
    <row r="232" spans="1:1" x14ac:dyDescent="0.2">
      <c r="A232" s="32"/>
    </row>
    <row r="233" spans="1:1" x14ac:dyDescent="0.2">
      <c r="A233" s="32"/>
    </row>
    <row r="234" spans="1:1" x14ac:dyDescent="0.2">
      <c r="A234" s="32"/>
    </row>
    <row r="235" spans="1:1" x14ac:dyDescent="0.2">
      <c r="A235" s="32"/>
    </row>
    <row r="236" spans="1:1" x14ac:dyDescent="0.2">
      <c r="A236" s="32"/>
    </row>
    <row r="237" spans="1:1" x14ac:dyDescent="0.2">
      <c r="A237" s="32"/>
    </row>
    <row r="238" spans="1:1" x14ac:dyDescent="0.2">
      <c r="A238" s="32"/>
    </row>
    <row r="239" spans="1:1" x14ac:dyDescent="0.2">
      <c r="A239" s="32"/>
    </row>
    <row r="240" spans="1:1" x14ac:dyDescent="0.2">
      <c r="A240" s="32"/>
    </row>
    <row r="241" spans="1:1" x14ac:dyDescent="0.2">
      <c r="A241" s="32"/>
    </row>
    <row r="242" spans="1:1" x14ac:dyDescent="0.2">
      <c r="A242" s="32"/>
    </row>
    <row r="243" spans="1:1" x14ac:dyDescent="0.2">
      <c r="A243" s="32"/>
    </row>
    <row r="244" spans="1:1" x14ac:dyDescent="0.2">
      <c r="A244" s="32"/>
    </row>
    <row r="245" spans="1:1" x14ac:dyDescent="0.2">
      <c r="A245" s="32"/>
    </row>
    <row r="246" spans="1:1" x14ac:dyDescent="0.2">
      <c r="A246" s="32"/>
    </row>
    <row r="247" spans="1:1" x14ac:dyDescent="0.2">
      <c r="A247" s="32"/>
    </row>
    <row r="248" spans="1:1" x14ac:dyDescent="0.2">
      <c r="A248" s="32"/>
    </row>
  </sheetData>
  <autoFilter ref="A1:AH1" xr:uid="{00000000-0001-0000-0800-000000000000}"/>
  <mergeCells count="67">
    <mergeCell ref="AC63:AE63"/>
    <mergeCell ref="AF63:AH63"/>
    <mergeCell ref="C78:H78"/>
    <mergeCell ref="C63:D63"/>
    <mergeCell ref="T63:V63"/>
    <mergeCell ref="W63:Y63"/>
    <mergeCell ref="Z63:AB63"/>
    <mergeCell ref="M64:O64"/>
    <mergeCell ref="H65:I65"/>
    <mergeCell ref="A75:C75"/>
    <mergeCell ref="C76:H76"/>
    <mergeCell ref="C77:H77"/>
    <mergeCell ref="C90:H90"/>
    <mergeCell ref="C79:H79"/>
    <mergeCell ref="C80:H80"/>
    <mergeCell ref="C81:H81"/>
    <mergeCell ref="C82:H82"/>
    <mergeCell ref="C83:H83"/>
    <mergeCell ref="C84:H84"/>
    <mergeCell ref="C85:H85"/>
    <mergeCell ref="C86:H86"/>
    <mergeCell ref="C87:H87"/>
    <mergeCell ref="C88:H88"/>
    <mergeCell ref="C89:H89"/>
    <mergeCell ref="C102:H102"/>
    <mergeCell ref="C91:H91"/>
    <mergeCell ref="C92:H92"/>
    <mergeCell ref="C93:H93"/>
    <mergeCell ref="C94:H94"/>
    <mergeCell ref="C95:H95"/>
    <mergeCell ref="C96:H96"/>
    <mergeCell ref="C97:H97"/>
    <mergeCell ref="C98:H98"/>
    <mergeCell ref="C99:H99"/>
    <mergeCell ref="C100:H100"/>
    <mergeCell ref="C101:H101"/>
    <mergeCell ref="C115:D115"/>
    <mergeCell ref="C103:H103"/>
    <mergeCell ref="C104:H104"/>
    <mergeCell ref="C105:H105"/>
    <mergeCell ref="C106:H106"/>
    <mergeCell ref="A108:D108"/>
    <mergeCell ref="C109:D109"/>
    <mergeCell ref="C110:D110"/>
    <mergeCell ref="C111:D111"/>
    <mergeCell ref="C112:D112"/>
    <mergeCell ref="C113:D113"/>
    <mergeCell ref="C114:D114"/>
    <mergeCell ref="C132:D132"/>
    <mergeCell ref="C116:D116"/>
    <mergeCell ref="C117:D117"/>
    <mergeCell ref="C118:D118"/>
    <mergeCell ref="C119:D119"/>
    <mergeCell ref="A125:D125"/>
    <mergeCell ref="C126:D126"/>
    <mergeCell ref="C127:D127"/>
    <mergeCell ref="C128:D128"/>
    <mergeCell ref="C129:D129"/>
    <mergeCell ref="C130:D130"/>
    <mergeCell ref="C131:D131"/>
    <mergeCell ref="C145:G145"/>
    <mergeCell ref="C133:D133"/>
    <mergeCell ref="C134:D134"/>
    <mergeCell ref="C135:D135"/>
    <mergeCell ref="C136:D136"/>
    <mergeCell ref="C137:D137"/>
    <mergeCell ref="C138:D138"/>
  </mergeCells>
  <dataValidations count="2">
    <dataValidation type="list" allowBlank="1" showInputMessage="1" showErrorMessage="1" sqref="I76:I106" xr:uid="{E1988C90-7A78-482E-AD62-7EA3F20D46D3}">
      <formula1>$B$109:$B$119</formula1>
    </dataValidation>
    <dataValidation type="list" allowBlank="1" showInputMessage="1" showErrorMessage="1" sqref="J76:J106" xr:uid="{3B97AB76-4AAD-4078-B908-172CCCDED336}">
      <formula1>$B$125:$B$138</formula1>
    </dataValidation>
  </dataValidation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DA0F-B8EE-411D-87E9-B9714FD68355}">
  <sheetPr codeName="Hoja22"/>
  <dimension ref="A1:AP248"/>
  <sheetViews>
    <sheetView zoomScale="85" zoomScaleNormal="85" workbookViewId="0">
      <pane xSplit="11" ySplit="1" topLeftCell="L2"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13.5" style="1" customWidth="1"/>
    <col min="23" max="23" width="4.6640625" style="1" customWidth="1"/>
    <col min="24" max="24" width="13.5" style="1" customWidth="1"/>
    <col min="25" max="25" width="4.6640625" style="1" customWidth="1"/>
    <col min="26" max="26" width="13.5" style="1" customWidth="1"/>
    <col min="27" max="27" width="4.6640625" style="1" customWidth="1"/>
    <col min="28" max="28" width="13.5" style="1" customWidth="1"/>
    <col min="29" max="29" width="13" style="1" bestFit="1" customWidth="1"/>
    <col min="30" max="30" width="4.6640625" style="48" customWidth="1"/>
    <col min="31" max="31" width="11.5" style="48" bestFit="1" customWidth="1"/>
    <col min="32" max="32" width="16.6640625" style="48" bestFit="1" customWidth="1"/>
    <col min="33" max="33" width="4.6640625" style="1" customWidth="1"/>
    <col min="34" max="34" width="11.5" style="1" bestFit="1" customWidth="1"/>
    <col min="35" max="38" width="9.1640625" style="1"/>
    <col min="39" max="39" width="15.5" style="1" bestFit="1" customWidth="1"/>
    <col min="40" max="16384" width="11.5" style="1"/>
  </cols>
  <sheetData>
    <row r="1" spans="1:42"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125</v>
      </c>
      <c r="AO1" s="304" t="s">
        <v>255</v>
      </c>
      <c r="AP1" s="304" t="s">
        <v>257</v>
      </c>
    </row>
    <row r="2" spans="1:42" s="48" customFormat="1" x14ac:dyDescent="0.2">
      <c r="A2" s="209"/>
      <c r="B2" s="8"/>
      <c r="C2" s="8"/>
      <c r="D2" s="8"/>
      <c r="E2" s="8"/>
      <c r="F2" s="8"/>
      <c r="G2" s="8"/>
      <c r="H2" s="8"/>
      <c r="I2" s="8"/>
      <c r="J2" s="37"/>
      <c r="K2" s="19">
        <v>0</v>
      </c>
      <c r="L2" s="198" t="s">
        <v>128</v>
      </c>
      <c r="M2" s="198" t="s">
        <v>128</v>
      </c>
      <c r="N2" s="197" t="s">
        <v>128</v>
      </c>
      <c r="O2" s="195">
        <v>1</v>
      </c>
      <c r="P2" s="45" t="s">
        <v>128</v>
      </c>
      <c r="Q2" s="45" t="s">
        <v>128</v>
      </c>
      <c r="R2" s="45" t="s">
        <v>128</v>
      </c>
      <c r="S2" s="45" t="s">
        <v>128</v>
      </c>
      <c r="T2" s="45" t="s">
        <v>128</v>
      </c>
      <c r="U2" s="45" t="s">
        <v>128</v>
      </c>
      <c r="V2" s="45" t="s">
        <v>128</v>
      </c>
      <c r="W2" s="45" t="s">
        <v>128</v>
      </c>
      <c r="X2" s="45" t="s">
        <v>128</v>
      </c>
      <c r="Y2" s="45" t="s">
        <v>128</v>
      </c>
      <c r="Z2" s="45" t="s">
        <v>128</v>
      </c>
      <c r="AA2" s="45" t="s">
        <v>128</v>
      </c>
      <c r="AB2" s="45" t="s">
        <v>128</v>
      </c>
      <c r="AC2" s="107" t="s">
        <v>128</v>
      </c>
      <c r="AD2" s="107" t="s">
        <v>128</v>
      </c>
      <c r="AE2" s="107" t="s">
        <v>128</v>
      </c>
      <c r="AF2" s="107" t="s">
        <v>128</v>
      </c>
      <c r="AG2" s="107" t="s">
        <v>128</v>
      </c>
      <c r="AH2" s="107" t="s">
        <v>128</v>
      </c>
      <c r="AI2" s="228"/>
      <c r="AJ2" s="228"/>
      <c r="AK2" s="228"/>
      <c r="AL2" s="228"/>
      <c r="AM2" s="228"/>
      <c r="AN2" s="228"/>
      <c r="AO2" s="140"/>
      <c r="AP2" s="140"/>
    </row>
    <row r="3" spans="1:42" s="48" customFormat="1" x14ac:dyDescent="0.2">
      <c r="A3" s="22"/>
      <c r="B3" s="22"/>
      <c r="C3" s="22"/>
      <c r="D3" s="22"/>
      <c r="E3" s="22"/>
      <c r="F3" s="22"/>
      <c r="G3" s="22"/>
      <c r="H3" s="22"/>
      <c r="I3" s="22"/>
      <c r="J3" s="36"/>
      <c r="K3" s="19">
        <v>0</v>
      </c>
      <c r="L3" s="198" t="s">
        <v>128</v>
      </c>
      <c r="M3" s="198" t="s">
        <v>128</v>
      </c>
      <c r="N3" s="197" t="s">
        <v>128</v>
      </c>
      <c r="O3" s="195">
        <v>1</v>
      </c>
      <c r="P3" s="45" t="s">
        <v>128</v>
      </c>
      <c r="Q3" s="45" t="s">
        <v>128</v>
      </c>
      <c r="R3" s="45" t="s">
        <v>128</v>
      </c>
      <c r="S3" s="45" t="s">
        <v>128</v>
      </c>
      <c r="T3" s="45" t="s">
        <v>128</v>
      </c>
      <c r="U3" s="45" t="s">
        <v>128</v>
      </c>
      <c r="V3" s="45" t="s">
        <v>128</v>
      </c>
      <c r="W3" s="45" t="s">
        <v>128</v>
      </c>
      <c r="X3" s="45" t="s">
        <v>128</v>
      </c>
      <c r="Y3" s="45" t="s">
        <v>128</v>
      </c>
      <c r="Z3" s="45" t="s">
        <v>128</v>
      </c>
      <c r="AA3" s="45" t="s">
        <v>128</v>
      </c>
      <c r="AB3" s="45" t="s">
        <v>128</v>
      </c>
      <c r="AC3" s="107" t="s">
        <v>128</v>
      </c>
      <c r="AD3" s="107" t="s">
        <v>128</v>
      </c>
      <c r="AE3" s="107" t="s">
        <v>128</v>
      </c>
      <c r="AF3" s="107" t="s">
        <v>128</v>
      </c>
      <c r="AG3" s="107" t="s">
        <v>128</v>
      </c>
      <c r="AH3" s="107" t="s">
        <v>128</v>
      </c>
      <c r="AI3" s="228"/>
      <c r="AJ3" s="228"/>
      <c r="AK3" s="228"/>
      <c r="AL3" s="228"/>
      <c r="AM3" s="228"/>
      <c r="AN3" s="228"/>
      <c r="AO3" s="140"/>
      <c r="AP3" s="140"/>
    </row>
    <row r="4" spans="1:42" s="48" customFormat="1" x14ac:dyDescent="0.2">
      <c r="A4" s="209"/>
      <c r="B4" s="8"/>
      <c r="C4" s="8"/>
      <c r="D4" s="8"/>
      <c r="E4" s="8"/>
      <c r="F4" s="8"/>
      <c r="G4" s="8"/>
      <c r="H4" s="8"/>
      <c r="I4" s="8"/>
      <c r="J4" s="37"/>
      <c r="K4" s="19">
        <v>0</v>
      </c>
      <c r="L4" s="198" t="s">
        <v>128</v>
      </c>
      <c r="M4" s="198" t="s">
        <v>128</v>
      </c>
      <c r="N4" s="197" t="s">
        <v>128</v>
      </c>
      <c r="O4" s="195">
        <v>1</v>
      </c>
      <c r="P4" s="45" t="s">
        <v>128</v>
      </c>
      <c r="Q4" s="45" t="s">
        <v>128</v>
      </c>
      <c r="R4" s="45" t="s">
        <v>128</v>
      </c>
      <c r="S4" s="45" t="s">
        <v>128</v>
      </c>
      <c r="T4" s="45" t="s">
        <v>128</v>
      </c>
      <c r="U4" s="45" t="s">
        <v>128</v>
      </c>
      <c r="V4" s="45" t="s">
        <v>128</v>
      </c>
      <c r="W4" s="45" t="s">
        <v>128</v>
      </c>
      <c r="X4" s="45" t="s">
        <v>128</v>
      </c>
      <c r="Y4" s="45" t="s">
        <v>128</v>
      </c>
      <c r="Z4" s="45" t="s">
        <v>128</v>
      </c>
      <c r="AA4" s="45" t="s">
        <v>128</v>
      </c>
      <c r="AB4" s="45" t="s">
        <v>128</v>
      </c>
      <c r="AC4" s="107" t="s">
        <v>128</v>
      </c>
      <c r="AD4" s="107" t="s">
        <v>128</v>
      </c>
      <c r="AE4" s="107" t="s">
        <v>128</v>
      </c>
      <c r="AF4" s="107" t="s">
        <v>128</v>
      </c>
      <c r="AG4" s="107" t="s">
        <v>128</v>
      </c>
      <c r="AH4" s="107" t="s">
        <v>128</v>
      </c>
      <c r="AI4" s="228"/>
      <c r="AJ4" s="228"/>
      <c r="AK4" s="228"/>
      <c r="AL4" s="228"/>
      <c r="AM4" s="228"/>
      <c r="AN4" s="228"/>
      <c r="AO4" s="140"/>
      <c r="AP4" s="140"/>
    </row>
    <row r="5" spans="1:42" s="48" customFormat="1" x14ac:dyDescent="0.2">
      <c r="A5" s="22"/>
      <c r="B5" s="22"/>
      <c r="C5" s="22"/>
      <c r="D5" s="22"/>
      <c r="E5" s="22"/>
      <c r="F5" s="22"/>
      <c r="G5" s="22"/>
      <c r="H5" s="22"/>
      <c r="I5" s="22"/>
      <c r="J5" s="36"/>
      <c r="K5" s="19">
        <v>0</v>
      </c>
      <c r="L5" s="198" t="s">
        <v>128</v>
      </c>
      <c r="M5" s="198" t="s">
        <v>128</v>
      </c>
      <c r="N5" s="197" t="s">
        <v>128</v>
      </c>
      <c r="O5" s="195">
        <v>1</v>
      </c>
      <c r="P5" s="45" t="s">
        <v>128</v>
      </c>
      <c r="Q5" s="45" t="s">
        <v>128</v>
      </c>
      <c r="R5" s="45" t="s">
        <v>128</v>
      </c>
      <c r="S5" s="45" t="s">
        <v>128</v>
      </c>
      <c r="T5" s="45" t="s">
        <v>128</v>
      </c>
      <c r="U5" s="45" t="s">
        <v>128</v>
      </c>
      <c r="V5" s="45" t="s">
        <v>128</v>
      </c>
      <c r="W5" s="45" t="s">
        <v>128</v>
      </c>
      <c r="X5" s="45" t="s">
        <v>128</v>
      </c>
      <c r="Y5" s="45" t="s">
        <v>128</v>
      </c>
      <c r="Z5" s="45" t="s">
        <v>128</v>
      </c>
      <c r="AA5" s="45" t="s">
        <v>128</v>
      </c>
      <c r="AB5" s="45" t="s">
        <v>128</v>
      </c>
      <c r="AC5" s="107" t="s">
        <v>128</v>
      </c>
      <c r="AD5" s="107" t="s">
        <v>128</v>
      </c>
      <c r="AE5" s="107" t="s">
        <v>128</v>
      </c>
      <c r="AF5" s="107" t="s">
        <v>128</v>
      </c>
      <c r="AG5" s="107" t="s">
        <v>128</v>
      </c>
      <c r="AH5" s="107" t="s">
        <v>128</v>
      </c>
      <c r="AI5" s="228"/>
      <c r="AJ5" s="228"/>
      <c r="AK5" s="228"/>
      <c r="AL5" s="228"/>
      <c r="AM5" s="228"/>
      <c r="AN5" s="228"/>
      <c r="AO5" s="140"/>
      <c r="AP5" s="140"/>
    </row>
    <row r="6" spans="1:42" s="48" customFormat="1" x14ac:dyDescent="0.2">
      <c r="A6" s="209"/>
      <c r="B6" s="8"/>
      <c r="C6" s="8"/>
      <c r="D6" s="8"/>
      <c r="E6" s="8"/>
      <c r="F6" s="8"/>
      <c r="G6" s="8"/>
      <c r="H6" s="8"/>
      <c r="I6" s="8"/>
      <c r="J6" s="37"/>
      <c r="K6" s="19">
        <v>0</v>
      </c>
      <c r="L6" s="198" t="s">
        <v>128</v>
      </c>
      <c r="M6" s="198" t="s">
        <v>128</v>
      </c>
      <c r="N6" s="197" t="s">
        <v>128</v>
      </c>
      <c r="O6" s="195">
        <v>1</v>
      </c>
      <c r="P6" s="45" t="s">
        <v>128</v>
      </c>
      <c r="Q6" s="45" t="s">
        <v>128</v>
      </c>
      <c r="R6" s="45" t="s">
        <v>128</v>
      </c>
      <c r="S6" s="45" t="s">
        <v>128</v>
      </c>
      <c r="T6" s="45" t="s">
        <v>128</v>
      </c>
      <c r="U6" s="45" t="s">
        <v>128</v>
      </c>
      <c r="V6" s="45" t="s">
        <v>128</v>
      </c>
      <c r="W6" s="45" t="s">
        <v>128</v>
      </c>
      <c r="X6" s="45" t="s">
        <v>128</v>
      </c>
      <c r="Y6" s="45" t="s">
        <v>128</v>
      </c>
      <c r="Z6" s="45" t="s">
        <v>128</v>
      </c>
      <c r="AA6" s="45" t="s">
        <v>128</v>
      </c>
      <c r="AB6" s="45" t="s">
        <v>128</v>
      </c>
      <c r="AC6" s="107" t="s">
        <v>128</v>
      </c>
      <c r="AD6" s="107" t="s">
        <v>128</v>
      </c>
      <c r="AE6" s="107" t="s">
        <v>128</v>
      </c>
      <c r="AF6" s="107" t="s">
        <v>128</v>
      </c>
      <c r="AG6" s="107" t="s">
        <v>128</v>
      </c>
      <c r="AH6" s="107" t="s">
        <v>128</v>
      </c>
      <c r="AI6" s="228"/>
      <c r="AJ6" s="228"/>
      <c r="AK6" s="228"/>
      <c r="AL6" s="228"/>
      <c r="AM6" s="228"/>
      <c r="AN6" s="228"/>
      <c r="AO6" s="140"/>
      <c r="AP6" s="140"/>
    </row>
    <row r="7" spans="1:42" s="48" customFormat="1" x14ac:dyDescent="0.2">
      <c r="A7" s="22"/>
      <c r="B7" s="22"/>
      <c r="C7" s="22"/>
      <c r="D7" s="22"/>
      <c r="E7" s="22"/>
      <c r="F7" s="22"/>
      <c r="G7" s="22"/>
      <c r="H7" s="22"/>
      <c r="I7" s="22"/>
      <c r="J7" s="36"/>
      <c r="K7" s="19">
        <v>0</v>
      </c>
      <c r="L7" s="198" t="s">
        <v>128</v>
      </c>
      <c r="M7" s="198" t="s">
        <v>128</v>
      </c>
      <c r="N7" s="197" t="s">
        <v>128</v>
      </c>
      <c r="O7" s="195">
        <v>1</v>
      </c>
      <c r="P7" s="45" t="s">
        <v>128</v>
      </c>
      <c r="Q7" s="45" t="s">
        <v>128</v>
      </c>
      <c r="R7" s="45" t="s">
        <v>128</v>
      </c>
      <c r="S7" s="45" t="s">
        <v>128</v>
      </c>
      <c r="T7" s="45" t="s">
        <v>128</v>
      </c>
      <c r="U7" s="45" t="s">
        <v>128</v>
      </c>
      <c r="V7" s="45" t="s">
        <v>128</v>
      </c>
      <c r="W7" s="45" t="s">
        <v>128</v>
      </c>
      <c r="X7" s="45" t="s">
        <v>128</v>
      </c>
      <c r="Y7" s="45" t="s">
        <v>128</v>
      </c>
      <c r="Z7" s="45" t="s">
        <v>128</v>
      </c>
      <c r="AA7" s="45" t="s">
        <v>128</v>
      </c>
      <c r="AB7" s="45" t="s">
        <v>128</v>
      </c>
      <c r="AC7" s="107" t="s">
        <v>128</v>
      </c>
      <c r="AD7" s="107" t="s">
        <v>128</v>
      </c>
      <c r="AE7" s="107" t="s">
        <v>128</v>
      </c>
      <c r="AF7" s="107" t="s">
        <v>128</v>
      </c>
      <c r="AG7" s="107" t="s">
        <v>128</v>
      </c>
      <c r="AH7" s="107" t="s">
        <v>128</v>
      </c>
      <c r="AI7" s="228"/>
      <c r="AJ7" s="228"/>
      <c r="AK7" s="228"/>
      <c r="AL7" s="228"/>
      <c r="AM7" s="228"/>
      <c r="AN7" s="228"/>
      <c r="AO7" s="140"/>
      <c r="AP7" s="140"/>
    </row>
    <row r="8" spans="1:42" s="48" customFormat="1" x14ac:dyDescent="0.2">
      <c r="A8" s="209"/>
      <c r="B8" s="8"/>
      <c r="C8" s="8"/>
      <c r="D8" s="8"/>
      <c r="E8" s="8"/>
      <c r="F8" s="8"/>
      <c r="G8" s="8"/>
      <c r="H8" s="8"/>
      <c r="I8" s="8"/>
      <c r="J8" s="37"/>
      <c r="K8" s="19">
        <v>0</v>
      </c>
      <c r="L8" s="198" t="s">
        <v>128</v>
      </c>
      <c r="M8" s="198" t="s">
        <v>128</v>
      </c>
      <c r="N8" s="197" t="s">
        <v>128</v>
      </c>
      <c r="O8" s="195">
        <v>1</v>
      </c>
      <c r="P8" s="45" t="s">
        <v>128</v>
      </c>
      <c r="Q8" s="45" t="s">
        <v>128</v>
      </c>
      <c r="R8" s="45" t="s">
        <v>128</v>
      </c>
      <c r="S8" s="45" t="s">
        <v>128</v>
      </c>
      <c r="T8" s="45" t="s">
        <v>128</v>
      </c>
      <c r="U8" s="45" t="s">
        <v>128</v>
      </c>
      <c r="V8" s="45" t="s">
        <v>128</v>
      </c>
      <c r="W8" s="45" t="s">
        <v>128</v>
      </c>
      <c r="X8" s="45" t="s">
        <v>128</v>
      </c>
      <c r="Y8" s="45" t="s">
        <v>128</v>
      </c>
      <c r="Z8" s="45" t="s">
        <v>128</v>
      </c>
      <c r="AA8" s="45" t="s">
        <v>128</v>
      </c>
      <c r="AB8" s="45" t="s">
        <v>128</v>
      </c>
      <c r="AC8" s="107" t="s">
        <v>128</v>
      </c>
      <c r="AD8" s="107" t="s">
        <v>128</v>
      </c>
      <c r="AE8" s="107" t="s">
        <v>128</v>
      </c>
      <c r="AF8" s="107" t="s">
        <v>128</v>
      </c>
      <c r="AG8" s="107" t="s">
        <v>128</v>
      </c>
      <c r="AH8" s="107" t="s">
        <v>128</v>
      </c>
      <c r="AI8" s="228"/>
      <c r="AJ8" s="228"/>
      <c r="AK8" s="228"/>
      <c r="AL8" s="228"/>
      <c r="AM8" s="228"/>
      <c r="AN8" s="228"/>
      <c r="AO8" s="140"/>
      <c r="AP8" s="140"/>
    </row>
    <row r="9" spans="1:42" s="48" customFormat="1" x14ac:dyDescent="0.2">
      <c r="A9" s="22"/>
      <c r="B9" s="22"/>
      <c r="C9" s="22"/>
      <c r="D9" s="22"/>
      <c r="E9" s="22"/>
      <c r="F9" s="22"/>
      <c r="G9" s="22"/>
      <c r="H9" s="22"/>
      <c r="I9" s="22"/>
      <c r="J9" s="36"/>
      <c r="K9" s="19">
        <v>0</v>
      </c>
      <c r="L9" s="198" t="s">
        <v>128</v>
      </c>
      <c r="M9" s="198" t="s">
        <v>128</v>
      </c>
      <c r="N9" s="197" t="s">
        <v>128</v>
      </c>
      <c r="O9" s="195">
        <v>1</v>
      </c>
      <c r="P9" s="45" t="s">
        <v>128</v>
      </c>
      <c r="Q9" s="45" t="s">
        <v>128</v>
      </c>
      <c r="R9" s="45" t="s">
        <v>128</v>
      </c>
      <c r="S9" s="45" t="s">
        <v>128</v>
      </c>
      <c r="T9" s="45" t="s">
        <v>128</v>
      </c>
      <c r="U9" s="45" t="s">
        <v>128</v>
      </c>
      <c r="V9" s="45" t="s">
        <v>128</v>
      </c>
      <c r="W9" s="45" t="s">
        <v>128</v>
      </c>
      <c r="X9" s="45" t="s">
        <v>128</v>
      </c>
      <c r="Y9" s="45" t="s">
        <v>128</v>
      </c>
      <c r="Z9" s="45" t="s">
        <v>128</v>
      </c>
      <c r="AA9" s="45" t="s">
        <v>128</v>
      </c>
      <c r="AB9" s="45" t="s">
        <v>128</v>
      </c>
      <c r="AC9" s="107" t="s">
        <v>128</v>
      </c>
      <c r="AD9" s="107" t="s">
        <v>128</v>
      </c>
      <c r="AE9" s="107" t="s">
        <v>128</v>
      </c>
      <c r="AF9" s="107" t="s">
        <v>128</v>
      </c>
      <c r="AG9" s="107" t="s">
        <v>128</v>
      </c>
      <c r="AH9" s="107" t="s">
        <v>128</v>
      </c>
      <c r="AI9" s="228"/>
      <c r="AJ9" s="228"/>
      <c r="AK9" s="228"/>
      <c r="AL9" s="228"/>
      <c r="AM9" s="228"/>
      <c r="AN9" s="228"/>
      <c r="AO9" s="140"/>
      <c r="AP9" s="140"/>
    </row>
    <row r="10" spans="1:42" s="48" customFormat="1" x14ac:dyDescent="0.2">
      <c r="A10" s="209"/>
      <c r="B10" s="8"/>
      <c r="C10" s="8"/>
      <c r="D10" s="8"/>
      <c r="E10" s="8"/>
      <c r="F10" s="8"/>
      <c r="G10" s="8"/>
      <c r="H10" s="8"/>
      <c r="I10" s="8"/>
      <c r="J10" s="37"/>
      <c r="K10" s="19">
        <v>0</v>
      </c>
      <c r="L10" s="198" t="s">
        <v>128</v>
      </c>
      <c r="M10" s="198" t="s">
        <v>128</v>
      </c>
      <c r="N10" s="197" t="s">
        <v>128</v>
      </c>
      <c r="O10" s="195">
        <v>1</v>
      </c>
      <c r="P10" s="45" t="s">
        <v>128</v>
      </c>
      <c r="Q10" s="45" t="s">
        <v>128</v>
      </c>
      <c r="R10" s="45" t="s">
        <v>128</v>
      </c>
      <c r="S10" s="45" t="s">
        <v>128</v>
      </c>
      <c r="T10" s="45" t="s">
        <v>128</v>
      </c>
      <c r="U10" s="45" t="s">
        <v>128</v>
      </c>
      <c r="V10" s="45" t="s">
        <v>128</v>
      </c>
      <c r="W10" s="45" t="s">
        <v>128</v>
      </c>
      <c r="X10" s="45" t="s">
        <v>128</v>
      </c>
      <c r="Y10" s="45" t="s">
        <v>128</v>
      </c>
      <c r="Z10" s="45" t="s">
        <v>128</v>
      </c>
      <c r="AA10" s="45" t="s">
        <v>128</v>
      </c>
      <c r="AB10" s="45" t="s">
        <v>128</v>
      </c>
      <c r="AC10" s="107" t="s">
        <v>128</v>
      </c>
      <c r="AD10" s="107" t="s">
        <v>128</v>
      </c>
      <c r="AE10" s="107" t="s">
        <v>128</v>
      </c>
      <c r="AF10" s="107" t="s">
        <v>128</v>
      </c>
      <c r="AG10" s="107" t="s">
        <v>128</v>
      </c>
      <c r="AH10" s="107" t="s">
        <v>128</v>
      </c>
      <c r="AI10" s="228"/>
      <c r="AJ10" s="228"/>
      <c r="AK10" s="228"/>
      <c r="AL10" s="228"/>
      <c r="AM10" s="228"/>
      <c r="AN10" s="228"/>
      <c r="AO10" s="140"/>
      <c r="AP10" s="140"/>
    </row>
    <row r="11" spans="1:42" s="48" customFormat="1" x14ac:dyDescent="0.2">
      <c r="A11" s="22"/>
      <c r="B11" s="22"/>
      <c r="C11" s="22"/>
      <c r="D11" s="22"/>
      <c r="E11" s="22"/>
      <c r="F11" s="22"/>
      <c r="G11" s="22"/>
      <c r="H11" s="22"/>
      <c r="I11" s="22"/>
      <c r="J11" s="36"/>
      <c r="K11" s="19">
        <v>0</v>
      </c>
      <c r="L11" s="198" t="s">
        <v>128</v>
      </c>
      <c r="M11" s="198" t="s">
        <v>128</v>
      </c>
      <c r="N11" s="197" t="s">
        <v>128</v>
      </c>
      <c r="O11" s="195">
        <v>1</v>
      </c>
      <c r="P11" s="45" t="s">
        <v>128</v>
      </c>
      <c r="Q11" s="45" t="s">
        <v>128</v>
      </c>
      <c r="R11" s="45" t="s">
        <v>128</v>
      </c>
      <c r="S11" s="45" t="s">
        <v>128</v>
      </c>
      <c r="T11" s="45" t="s">
        <v>128</v>
      </c>
      <c r="U11" s="45" t="s">
        <v>128</v>
      </c>
      <c r="V11" s="45" t="s">
        <v>128</v>
      </c>
      <c r="W11" s="45" t="s">
        <v>128</v>
      </c>
      <c r="X11" s="45" t="s">
        <v>128</v>
      </c>
      <c r="Y11" s="45" t="s">
        <v>128</v>
      </c>
      <c r="Z11" s="45" t="s">
        <v>128</v>
      </c>
      <c r="AA11" s="45" t="s">
        <v>128</v>
      </c>
      <c r="AB11" s="45" t="s">
        <v>128</v>
      </c>
      <c r="AC11" s="107" t="s">
        <v>128</v>
      </c>
      <c r="AD11" s="107" t="s">
        <v>128</v>
      </c>
      <c r="AE11" s="107" t="s">
        <v>128</v>
      </c>
      <c r="AF11" s="107" t="s">
        <v>128</v>
      </c>
      <c r="AG11" s="107" t="s">
        <v>128</v>
      </c>
      <c r="AH11" s="107" t="s">
        <v>128</v>
      </c>
      <c r="AI11" s="228"/>
      <c r="AJ11" s="228"/>
      <c r="AK11" s="228"/>
      <c r="AL11" s="228"/>
      <c r="AM11" s="228"/>
      <c r="AN11" s="228"/>
      <c r="AO11" s="140"/>
      <c r="AP11" s="140"/>
    </row>
    <row r="12" spans="1:42" s="48" customFormat="1" x14ac:dyDescent="0.2">
      <c r="A12" s="209"/>
      <c r="B12" s="8"/>
      <c r="C12" s="8"/>
      <c r="D12" s="8"/>
      <c r="E12" s="8"/>
      <c r="F12" s="8"/>
      <c r="G12" s="8"/>
      <c r="H12" s="8"/>
      <c r="I12" s="8"/>
      <c r="J12" s="37"/>
      <c r="K12" s="19">
        <v>0</v>
      </c>
      <c r="L12" s="198" t="s">
        <v>128</v>
      </c>
      <c r="M12" s="198" t="s">
        <v>128</v>
      </c>
      <c r="N12" s="197" t="s">
        <v>128</v>
      </c>
      <c r="O12" s="195">
        <v>1</v>
      </c>
      <c r="P12" s="45" t="s">
        <v>128</v>
      </c>
      <c r="Q12" s="45" t="s">
        <v>128</v>
      </c>
      <c r="R12" s="45" t="s">
        <v>128</v>
      </c>
      <c r="S12" s="45" t="s">
        <v>128</v>
      </c>
      <c r="T12" s="45" t="s">
        <v>128</v>
      </c>
      <c r="U12" s="45" t="s">
        <v>128</v>
      </c>
      <c r="V12" s="45" t="s">
        <v>128</v>
      </c>
      <c r="W12" s="45" t="s">
        <v>128</v>
      </c>
      <c r="X12" s="45" t="s">
        <v>128</v>
      </c>
      <c r="Y12" s="45" t="s">
        <v>128</v>
      </c>
      <c r="Z12" s="45" t="s">
        <v>128</v>
      </c>
      <c r="AA12" s="45" t="s">
        <v>128</v>
      </c>
      <c r="AB12" s="45" t="s">
        <v>128</v>
      </c>
      <c r="AC12" s="107" t="s">
        <v>128</v>
      </c>
      <c r="AD12" s="107" t="s">
        <v>128</v>
      </c>
      <c r="AE12" s="107" t="s">
        <v>128</v>
      </c>
      <c r="AF12" s="107" t="s">
        <v>128</v>
      </c>
      <c r="AG12" s="107" t="s">
        <v>128</v>
      </c>
      <c r="AH12" s="107" t="s">
        <v>128</v>
      </c>
      <c r="AI12" s="228"/>
      <c r="AJ12" s="228"/>
      <c r="AK12" s="228"/>
      <c r="AL12" s="228"/>
      <c r="AM12" s="228"/>
      <c r="AN12" s="228"/>
      <c r="AO12" s="140"/>
      <c r="AP12" s="140"/>
    </row>
    <row r="13" spans="1:42" s="48" customFormat="1" x14ac:dyDescent="0.2">
      <c r="A13" s="22"/>
      <c r="B13" s="22"/>
      <c r="C13" s="22"/>
      <c r="D13" s="22"/>
      <c r="E13" s="22"/>
      <c r="F13" s="22"/>
      <c r="G13" s="22"/>
      <c r="H13" s="22"/>
      <c r="I13" s="22"/>
      <c r="J13" s="36"/>
      <c r="K13" s="19">
        <v>0</v>
      </c>
      <c r="L13" s="198" t="s">
        <v>128</v>
      </c>
      <c r="M13" s="198" t="s">
        <v>128</v>
      </c>
      <c r="N13" s="197" t="s">
        <v>128</v>
      </c>
      <c r="O13" s="195">
        <v>1</v>
      </c>
      <c r="P13" s="45" t="s">
        <v>128</v>
      </c>
      <c r="Q13" s="45" t="s">
        <v>128</v>
      </c>
      <c r="R13" s="45" t="s">
        <v>128</v>
      </c>
      <c r="S13" s="45" t="s">
        <v>128</v>
      </c>
      <c r="T13" s="45" t="s">
        <v>128</v>
      </c>
      <c r="U13" s="45" t="s">
        <v>128</v>
      </c>
      <c r="V13" s="45" t="s">
        <v>128</v>
      </c>
      <c r="W13" s="45" t="s">
        <v>128</v>
      </c>
      <c r="X13" s="45" t="s">
        <v>128</v>
      </c>
      <c r="Y13" s="45" t="s">
        <v>128</v>
      </c>
      <c r="Z13" s="45" t="s">
        <v>128</v>
      </c>
      <c r="AA13" s="45" t="s">
        <v>128</v>
      </c>
      <c r="AB13" s="45" t="s">
        <v>128</v>
      </c>
      <c r="AC13" s="107" t="s">
        <v>128</v>
      </c>
      <c r="AD13" s="107" t="s">
        <v>128</v>
      </c>
      <c r="AE13" s="107" t="s">
        <v>128</v>
      </c>
      <c r="AF13" s="107" t="s">
        <v>128</v>
      </c>
      <c r="AG13" s="107" t="s">
        <v>128</v>
      </c>
      <c r="AH13" s="107" t="s">
        <v>128</v>
      </c>
      <c r="AI13" s="228"/>
      <c r="AJ13" s="228"/>
      <c r="AK13" s="228"/>
      <c r="AL13" s="228"/>
      <c r="AM13" s="228"/>
      <c r="AN13" s="228"/>
      <c r="AO13" s="140"/>
      <c r="AP13" s="140"/>
    </row>
    <row r="14" spans="1:42" s="48" customFormat="1" x14ac:dyDescent="0.2">
      <c r="A14" s="209"/>
      <c r="B14" s="8"/>
      <c r="C14" s="8"/>
      <c r="D14" s="8"/>
      <c r="E14" s="8"/>
      <c r="F14" s="8"/>
      <c r="G14" s="8"/>
      <c r="H14" s="8"/>
      <c r="I14" s="8"/>
      <c r="J14" s="37"/>
      <c r="K14" s="19">
        <v>0</v>
      </c>
      <c r="L14" s="198" t="s">
        <v>128</v>
      </c>
      <c r="M14" s="198" t="s">
        <v>128</v>
      </c>
      <c r="N14" s="197" t="s">
        <v>128</v>
      </c>
      <c r="O14" s="195">
        <v>1</v>
      </c>
      <c r="P14" s="45" t="s">
        <v>128</v>
      </c>
      <c r="Q14" s="45" t="s">
        <v>128</v>
      </c>
      <c r="R14" s="45" t="s">
        <v>128</v>
      </c>
      <c r="S14" s="45" t="s">
        <v>128</v>
      </c>
      <c r="T14" s="45" t="s">
        <v>128</v>
      </c>
      <c r="U14" s="45" t="s">
        <v>128</v>
      </c>
      <c r="V14" s="45" t="s">
        <v>128</v>
      </c>
      <c r="W14" s="45" t="s">
        <v>128</v>
      </c>
      <c r="X14" s="45" t="s">
        <v>128</v>
      </c>
      <c r="Y14" s="45" t="s">
        <v>128</v>
      </c>
      <c r="Z14" s="45" t="s">
        <v>128</v>
      </c>
      <c r="AA14" s="45" t="s">
        <v>128</v>
      </c>
      <c r="AB14" s="45" t="s">
        <v>128</v>
      </c>
      <c r="AC14" s="107" t="s">
        <v>128</v>
      </c>
      <c r="AD14" s="107" t="s">
        <v>128</v>
      </c>
      <c r="AE14" s="107" t="s">
        <v>128</v>
      </c>
      <c r="AF14" s="107" t="s">
        <v>128</v>
      </c>
      <c r="AG14" s="107" t="s">
        <v>128</v>
      </c>
      <c r="AH14" s="107" t="s">
        <v>128</v>
      </c>
      <c r="AI14" s="228"/>
      <c r="AJ14" s="228"/>
      <c r="AK14" s="228"/>
      <c r="AL14" s="228"/>
      <c r="AM14" s="228"/>
      <c r="AN14" s="228"/>
      <c r="AO14" s="140"/>
      <c r="AP14" s="140"/>
    </row>
    <row r="15" spans="1:42" s="48" customFormat="1" x14ac:dyDescent="0.2">
      <c r="A15" s="22"/>
      <c r="B15" s="22"/>
      <c r="C15" s="22"/>
      <c r="D15" s="22"/>
      <c r="E15" s="22"/>
      <c r="F15" s="22"/>
      <c r="G15" s="22"/>
      <c r="H15" s="22"/>
      <c r="I15" s="22"/>
      <c r="J15" s="36"/>
      <c r="K15" s="19">
        <v>0</v>
      </c>
      <c r="L15" s="198" t="s">
        <v>128</v>
      </c>
      <c r="M15" s="198" t="s">
        <v>128</v>
      </c>
      <c r="N15" s="197" t="s">
        <v>128</v>
      </c>
      <c r="O15" s="195">
        <v>1</v>
      </c>
      <c r="P15" s="45" t="s">
        <v>128</v>
      </c>
      <c r="Q15" s="45" t="s">
        <v>128</v>
      </c>
      <c r="R15" s="45" t="s">
        <v>128</v>
      </c>
      <c r="S15" s="45" t="s">
        <v>128</v>
      </c>
      <c r="T15" s="45" t="s">
        <v>128</v>
      </c>
      <c r="U15" s="45" t="s">
        <v>128</v>
      </c>
      <c r="V15" s="45" t="s">
        <v>128</v>
      </c>
      <c r="W15" s="45" t="s">
        <v>128</v>
      </c>
      <c r="X15" s="45" t="s">
        <v>128</v>
      </c>
      <c r="Y15" s="45" t="s">
        <v>128</v>
      </c>
      <c r="Z15" s="45" t="s">
        <v>128</v>
      </c>
      <c r="AA15" s="45" t="s">
        <v>128</v>
      </c>
      <c r="AB15" s="45" t="s">
        <v>128</v>
      </c>
      <c r="AC15" s="107" t="s">
        <v>128</v>
      </c>
      <c r="AD15" s="107" t="s">
        <v>128</v>
      </c>
      <c r="AE15" s="107" t="s">
        <v>128</v>
      </c>
      <c r="AF15" s="107" t="s">
        <v>128</v>
      </c>
      <c r="AG15" s="107" t="s">
        <v>128</v>
      </c>
      <c r="AH15" s="107" t="s">
        <v>128</v>
      </c>
      <c r="AI15" s="228"/>
      <c r="AJ15" s="228"/>
      <c r="AK15" s="228"/>
      <c r="AL15" s="228"/>
      <c r="AM15" s="228"/>
      <c r="AN15" s="228"/>
      <c r="AO15" s="140"/>
      <c r="AP15" s="140"/>
    </row>
    <row r="16" spans="1:42" s="48" customFormat="1" x14ac:dyDescent="0.2">
      <c r="A16" s="209"/>
      <c r="B16" s="8"/>
      <c r="C16" s="8"/>
      <c r="D16" s="8"/>
      <c r="E16" s="8"/>
      <c r="F16" s="8"/>
      <c r="G16" s="8"/>
      <c r="H16" s="8"/>
      <c r="I16" s="8"/>
      <c r="J16" s="37"/>
      <c r="K16" s="19">
        <v>0</v>
      </c>
      <c r="L16" s="198" t="s">
        <v>128</v>
      </c>
      <c r="M16" s="198" t="s">
        <v>128</v>
      </c>
      <c r="N16" s="197" t="s">
        <v>128</v>
      </c>
      <c r="O16" s="195">
        <v>1</v>
      </c>
      <c r="P16" s="45" t="s">
        <v>128</v>
      </c>
      <c r="Q16" s="45" t="s">
        <v>128</v>
      </c>
      <c r="R16" s="45" t="s">
        <v>128</v>
      </c>
      <c r="S16" s="45" t="s">
        <v>128</v>
      </c>
      <c r="T16" s="45" t="s">
        <v>128</v>
      </c>
      <c r="U16" s="45" t="s">
        <v>128</v>
      </c>
      <c r="V16" s="45" t="s">
        <v>128</v>
      </c>
      <c r="W16" s="45" t="s">
        <v>128</v>
      </c>
      <c r="X16" s="45" t="s">
        <v>128</v>
      </c>
      <c r="Y16" s="45" t="s">
        <v>128</v>
      </c>
      <c r="Z16" s="45" t="s">
        <v>128</v>
      </c>
      <c r="AA16" s="45" t="s">
        <v>128</v>
      </c>
      <c r="AB16" s="45" t="s">
        <v>128</v>
      </c>
      <c r="AC16" s="107" t="s">
        <v>128</v>
      </c>
      <c r="AD16" s="107" t="s">
        <v>128</v>
      </c>
      <c r="AE16" s="107" t="s">
        <v>128</v>
      </c>
      <c r="AF16" s="107" t="s">
        <v>128</v>
      </c>
      <c r="AG16" s="107" t="s">
        <v>128</v>
      </c>
      <c r="AH16" s="107" t="s">
        <v>128</v>
      </c>
      <c r="AI16" s="228"/>
      <c r="AJ16" s="228"/>
      <c r="AK16" s="228"/>
      <c r="AL16" s="228"/>
      <c r="AM16" s="228"/>
      <c r="AN16" s="228"/>
      <c r="AO16" s="140"/>
      <c r="AP16" s="140"/>
    </row>
    <row r="17" spans="1:42" s="48" customFormat="1" x14ac:dyDescent="0.2">
      <c r="A17" s="22"/>
      <c r="B17" s="22"/>
      <c r="C17" s="22"/>
      <c r="D17" s="22"/>
      <c r="E17" s="22"/>
      <c r="F17" s="22"/>
      <c r="G17" s="22"/>
      <c r="H17" s="22"/>
      <c r="I17" s="22"/>
      <c r="J17" s="36"/>
      <c r="K17" s="19">
        <v>0</v>
      </c>
      <c r="L17" s="198" t="s">
        <v>128</v>
      </c>
      <c r="M17" s="198" t="s">
        <v>128</v>
      </c>
      <c r="N17" s="197" t="s">
        <v>128</v>
      </c>
      <c r="O17" s="195">
        <v>1</v>
      </c>
      <c r="P17" s="45" t="s">
        <v>128</v>
      </c>
      <c r="Q17" s="45" t="s">
        <v>128</v>
      </c>
      <c r="R17" s="45" t="s">
        <v>128</v>
      </c>
      <c r="S17" s="45" t="s">
        <v>128</v>
      </c>
      <c r="T17" s="45" t="s">
        <v>128</v>
      </c>
      <c r="U17" s="45" t="s">
        <v>128</v>
      </c>
      <c r="V17" s="45" t="s">
        <v>128</v>
      </c>
      <c r="W17" s="45" t="s">
        <v>128</v>
      </c>
      <c r="X17" s="45" t="s">
        <v>128</v>
      </c>
      <c r="Y17" s="45" t="s">
        <v>128</v>
      </c>
      <c r="Z17" s="45" t="s">
        <v>128</v>
      </c>
      <c r="AA17" s="45" t="s">
        <v>128</v>
      </c>
      <c r="AB17" s="45" t="s">
        <v>128</v>
      </c>
      <c r="AC17" s="107" t="s">
        <v>128</v>
      </c>
      <c r="AD17" s="107" t="s">
        <v>128</v>
      </c>
      <c r="AE17" s="107" t="s">
        <v>128</v>
      </c>
      <c r="AF17" s="107" t="s">
        <v>128</v>
      </c>
      <c r="AG17" s="107" t="s">
        <v>128</v>
      </c>
      <c r="AH17" s="107" t="s">
        <v>128</v>
      </c>
      <c r="AI17" s="228"/>
      <c r="AJ17" s="228"/>
      <c r="AK17" s="228"/>
      <c r="AL17" s="228"/>
      <c r="AM17" s="228"/>
      <c r="AN17" s="228"/>
      <c r="AO17" s="140"/>
      <c r="AP17" s="140"/>
    </row>
    <row r="18" spans="1:42" s="48" customFormat="1" x14ac:dyDescent="0.2">
      <c r="A18" s="209"/>
      <c r="B18" s="8"/>
      <c r="C18" s="8"/>
      <c r="D18" s="8"/>
      <c r="E18" s="8"/>
      <c r="F18" s="8"/>
      <c r="G18" s="8"/>
      <c r="H18" s="8"/>
      <c r="I18" s="8"/>
      <c r="J18" s="37"/>
      <c r="K18" s="19">
        <v>0</v>
      </c>
      <c r="L18" s="198" t="s">
        <v>128</v>
      </c>
      <c r="M18" s="198" t="s">
        <v>128</v>
      </c>
      <c r="N18" s="197" t="s">
        <v>128</v>
      </c>
      <c r="O18" s="195">
        <v>1</v>
      </c>
      <c r="P18" s="45" t="s">
        <v>128</v>
      </c>
      <c r="Q18" s="45" t="s">
        <v>128</v>
      </c>
      <c r="R18" s="45" t="s">
        <v>128</v>
      </c>
      <c r="S18" s="45" t="s">
        <v>128</v>
      </c>
      <c r="T18" s="45" t="s">
        <v>128</v>
      </c>
      <c r="U18" s="45" t="s">
        <v>128</v>
      </c>
      <c r="V18" s="45" t="s">
        <v>128</v>
      </c>
      <c r="W18" s="45" t="s">
        <v>128</v>
      </c>
      <c r="X18" s="45" t="s">
        <v>128</v>
      </c>
      <c r="Y18" s="45" t="s">
        <v>128</v>
      </c>
      <c r="Z18" s="45" t="s">
        <v>128</v>
      </c>
      <c r="AA18" s="45" t="s">
        <v>128</v>
      </c>
      <c r="AB18" s="45" t="s">
        <v>128</v>
      </c>
      <c r="AC18" s="107" t="s">
        <v>128</v>
      </c>
      <c r="AD18" s="107" t="s">
        <v>128</v>
      </c>
      <c r="AE18" s="107" t="s">
        <v>128</v>
      </c>
      <c r="AF18" s="107" t="s">
        <v>128</v>
      </c>
      <c r="AG18" s="107" t="s">
        <v>128</v>
      </c>
      <c r="AH18" s="107" t="s">
        <v>128</v>
      </c>
      <c r="AI18" s="228"/>
      <c r="AJ18" s="228"/>
      <c r="AK18" s="228"/>
      <c r="AL18" s="228"/>
      <c r="AM18" s="228"/>
      <c r="AN18" s="228"/>
      <c r="AO18" s="279"/>
      <c r="AP18" s="140"/>
    </row>
    <row r="19" spans="1:42" s="48" customFormat="1" x14ac:dyDescent="0.2">
      <c r="A19" s="22"/>
      <c r="B19" s="22"/>
      <c r="C19" s="22"/>
      <c r="D19" s="22"/>
      <c r="E19" s="22"/>
      <c r="F19" s="22"/>
      <c r="G19" s="22"/>
      <c r="H19" s="22"/>
      <c r="I19" s="22"/>
      <c r="J19" s="36"/>
      <c r="K19" s="19">
        <v>0</v>
      </c>
      <c r="L19" s="198" t="s">
        <v>128</v>
      </c>
      <c r="M19" s="198" t="s">
        <v>128</v>
      </c>
      <c r="N19" s="197" t="s">
        <v>128</v>
      </c>
      <c r="O19" s="195">
        <v>1</v>
      </c>
      <c r="P19" s="45" t="s">
        <v>128</v>
      </c>
      <c r="Q19" s="45" t="s">
        <v>128</v>
      </c>
      <c r="R19" s="45" t="s">
        <v>128</v>
      </c>
      <c r="S19" s="45" t="s">
        <v>128</v>
      </c>
      <c r="T19" s="45" t="s">
        <v>128</v>
      </c>
      <c r="U19" s="45" t="s">
        <v>128</v>
      </c>
      <c r="V19" s="45" t="s">
        <v>128</v>
      </c>
      <c r="W19" s="45" t="s">
        <v>128</v>
      </c>
      <c r="X19" s="45" t="s">
        <v>128</v>
      </c>
      <c r="Y19" s="45" t="s">
        <v>128</v>
      </c>
      <c r="Z19" s="45" t="s">
        <v>128</v>
      </c>
      <c r="AA19" s="45" t="s">
        <v>128</v>
      </c>
      <c r="AB19" s="45" t="s">
        <v>128</v>
      </c>
      <c r="AC19" s="107" t="s">
        <v>128</v>
      </c>
      <c r="AD19" s="107" t="s">
        <v>128</v>
      </c>
      <c r="AE19" s="107" t="s">
        <v>128</v>
      </c>
      <c r="AF19" s="107" t="s">
        <v>128</v>
      </c>
      <c r="AG19" s="107" t="s">
        <v>128</v>
      </c>
      <c r="AH19" s="107" t="s">
        <v>128</v>
      </c>
      <c r="AI19" s="228"/>
      <c r="AJ19" s="228"/>
      <c r="AK19" s="228"/>
      <c r="AL19" s="228"/>
      <c r="AM19" s="228"/>
      <c r="AN19" s="228"/>
      <c r="AO19" s="279"/>
      <c r="AP19" s="140"/>
    </row>
    <row r="20" spans="1:42" s="48" customFormat="1" x14ac:dyDescent="0.2">
      <c r="A20" s="209"/>
      <c r="B20" s="8"/>
      <c r="C20" s="8"/>
      <c r="D20" s="8"/>
      <c r="E20" s="8"/>
      <c r="F20" s="8"/>
      <c r="G20" s="8"/>
      <c r="H20" s="8"/>
      <c r="I20" s="8"/>
      <c r="J20" s="37"/>
      <c r="K20" s="19">
        <v>0</v>
      </c>
      <c r="L20" s="198" t="s">
        <v>128</v>
      </c>
      <c r="M20" s="198" t="s">
        <v>128</v>
      </c>
      <c r="N20" s="197" t="s">
        <v>128</v>
      </c>
      <c r="O20" s="195">
        <v>1</v>
      </c>
      <c r="P20" s="45" t="s">
        <v>128</v>
      </c>
      <c r="Q20" s="45" t="s">
        <v>128</v>
      </c>
      <c r="R20" s="45" t="s">
        <v>128</v>
      </c>
      <c r="S20" s="45" t="s">
        <v>128</v>
      </c>
      <c r="T20" s="45" t="s">
        <v>128</v>
      </c>
      <c r="U20" s="45" t="s">
        <v>128</v>
      </c>
      <c r="V20" s="45" t="s">
        <v>128</v>
      </c>
      <c r="W20" s="45" t="s">
        <v>128</v>
      </c>
      <c r="X20" s="45" t="s">
        <v>128</v>
      </c>
      <c r="Y20" s="45" t="s">
        <v>128</v>
      </c>
      <c r="Z20" s="45" t="s">
        <v>128</v>
      </c>
      <c r="AA20" s="45" t="s">
        <v>128</v>
      </c>
      <c r="AB20" s="45" t="s">
        <v>128</v>
      </c>
      <c r="AC20" s="107" t="s">
        <v>128</v>
      </c>
      <c r="AD20" s="107" t="s">
        <v>128</v>
      </c>
      <c r="AE20" s="107" t="s">
        <v>128</v>
      </c>
      <c r="AF20" s="107" t="s">
        <v>128</v>
      </c>
      <c r="AG20" s="107" t="s">
        <v>128</v>
      </c>
      <c r="AH20" s="107" t="s">
        <v>128</v>
      </c>
      <c r="AI20" s="228"/>
      <c r="AJ20" s="228"/>
      <c r="AK20" s="228"/>
      <c r="AL20" s="228"/>
      <c r="AM20" s="228"/>
      <c r="AN20" s="228"/>
      <c r="AO20" s="279"/>
      <c r="AP20" s="140"/>
    </row>
    <row r="21" spans="1:42" s="48" customFormat="1" x14ac:dyDescent="0.2">
      <c r="A21" s="22"/>
      <c r="B21" s="22"/>
      <c r="C21" s="22"/>
      <c r="D21" s="22"/>
      <c r="E21" s="22"/>
      <c r="F21" s="22"/>
      <c r="G21" s="22"/>
      <c r="H21" s="22"/>
      <c r="I21" s="22"/>
      <c r="J21" s="36"/>
      <c r="K21" s="19">
        <v>0</v>
      </c>
      <c r="L21" s="198" t="s">
        <v>128</v>
      </c>
      <c r="M21" s="198" t="s">
        <v>128</v>
      </c>
      <c r="N21" s="197" t="s">
        <v>128</v>
      </c>
      <c r="O21" s="195">
        <v>1</v>
      </c>
      <c r="P21" s="45" t="s">
        <v>128</v>
      </c>
      <c r="Q21" s="45" t="s">
        <v>128</v>
      </c>
      <c r="R21" s="45" t="s">
        <v>128</v>
      </c>
      <c r="S21" s="45" t="s">
        <v>128</v>
      </c>
      <c r="T21" s="45" t="s">
        <v>128</v>
      </c>
      <c r="U21" s="45" t="s">
        <v>128</v>
      </c>
      <c r="V21" s="45" t="s">
        <v>128</v>
      </c>
      <c r="W21" s="45" t="s">
        <v>128</v>
      </c>
      <c r="X21" s="45" t="s">
        <v>128</v>
      </c>
      <c r="Y21" s="45" t="s">
        <v>128</v>
      </c>
      <c r="Z21" s="45" t="s">
        <v>128</v>
      </c>
      <c r="AA21" s="45" t="s">
        <v>128</v>
      </c>
      <c r="AB21" s="45" t="s">
        <v>128</v>
      </c>
      <c r="AC21" s="107" t="s">
        <v>128</v>
      </c>
      <c r="AD21" s="107" t="s">
        <v>128</v>
      </c>
      <c r="AE21" s="107" t="s">
        <v>128</v>
      </c>
      <c r="AF21" s="107" t="s">
        <v>128</v>
      </c>
      <c r="AG21" s="107" t="s">
        <v>128</v>
      </c>
      <c r="AH21" s="107" t="s">
        <v>128</v>
      </c>
      <c r="AI21" s="228"/>
      <c r="AJ21" s="228"/>
      <c r="AK21" s="228"/>
      <c r="AL21" s="228"/>
      <c r="AM21" s="228"/>
      <c r="AN21" s="228"/>
      <c r="AO21" s="140"/>
      <c r="AP21" s="140"/>
    </row>
    <row r="22" spans="1:42" s="48" customFormat="1" x14ac:dyDescent="0.2">
      <c r="A22" s="209"/>
      <c r="B22" s="8"/>
      <c r="C22" s="8"/>
      <c r="D22" s="8"/>
      <c r="E22" s="8"/>
      <c r="F22" s="8"/>
      <c r="G22" s="8"/>
      <c r="H22" s="8"/>
      <c r="I22" s="8"/>
      <c r="J22" s="37"/>
      <c r="K22" s="19">
        <v>0</v>
      </c>
      <c r="L22" s="198" t="s">
        <v>128</v>
      </c>
      <c r="M22" s="198" t="s">
        <v>128</v>
      </c>
      <c r="N22" s="197" t="s">
        <v>128</v>
      </c>
      <c r="O22" s="195">
        <v>1</v>
      </c>
      <c r="P22" s="45" t="s">
        <v>128</v>
      </c>
      <c r="Q22" s="45" t="s">
        <v>128</v>
      </c>
      <c r="R22" s="45" t="s">
        <v>128</v>
      </c>
      <c r="S22" s="45" t="s">
        <v>128</v>
      </c>
      <c r="T22" s="45" t="s">
        <v>128</v>
      </c>
      <c r="U22" s="45" t="s">
        <v>128</v>
      </c>
      <c r="V22" s="45" t="s">
        <v>128</v>
      </c>
      <c r="W22" s="45" t="s">
        <v>128</v>
      </c>
      <c r="X22" s="45" t="s">
        <v>128</v>
      </c>
      <c r="Y22" s="45" t="s">
        <v>128</v>
      </c>
      <c r="Z22" s="45" t="s">
        <v>128</v>
      </c>
      <c r="AA22" s="45" t="s">
        <v>128</v>
      </c>
      <c r="AB22" s="45" t="s">
        <v>128</v>
      </c>
      <c r="AC22" s="107" t="s">
        <v>128</v>
      </c>
      <c r="AD22" s="107" t="s">
        <v>128</v>
      </c>
      <c r="AE22" s="107" t="s">
        <v>128</v>
      </c>
      <c r="AF22" s="107" t="s">
        <v>128</v>
      </c>
      <c r="AG22" s="107" t="s">
        <v>128</v>
      </c>
      <c r="AH22" s="107" t="s">
        <v>128</v>
      </c>
      <c r="AI22" s="228"/>
      <c r="AJ22" s="228"/>
      <c r="AK22" s="228"/>
      <c r="AL22" s="228"/>
      <c r="AM22" s="228"/>
      <c r="AN22" s="228"/>
      <c r="AO22" s="140"/>
      <c r="AP22" s="140"/>
    </row>
    <row r="23" spans="1:42" s="48" customFormat="1" x14ac:dyDescent="0.2">
      <c r="A23" s="22"/>
      <c r="B23" s="22"/>
      <c r="C23" s="22"/>
      <c r="D23" s="22"/>
      <c r="E23" s="22"/>
      <c r="F23" s="22"/>
      <c r="G23" s="22"/>
      <c r="H23" s="22"/>
      <c r="I23" s="22"/>
      <c r="J23" s="36"/>
      <c r="K23" s="19">
        <v>0</v>
      </c>
      <c r="L23" s="198" t="s">
        <v>128</v>
      </c>
      <c r="M23" s="198" t="s">
        <v>128</v>
      </c>
      <c r="N23" s="197" t="s">
        <v>128</v>
      </c>
      <c r="O23" s="195">
        <v>1</v>
      </c>
      <c r="P23" s="45" t="s">
        <v>128</v>
      </c>
      <c r="Q23" s="45" t="s">
        <v>128</v>
      </c>
      <c r="R23" s="45" t="s">
        <v>128</v>
      </c>
      <c r="S23" s="45" t="s">
        <v>128</v>
      </c>
      <c r="T23" s="45" t="s">
        <v>128</v>
      </c>
      <c r="U23" s="45" t="s">
        <v>128</v>
      </c>
      <c r="V23" s="45" t="s">
        <v>128</v>
      </c>
      <c r="W23" s="45" t="s">
        <v>128</v>
      </c>
      <c r="X23" s="45" t="s">
        <v>128</v>
      </c>
      <c r="Y23" s="45" t="s">
        <v>128</v>
      </c>
      <c r="Z23" s="45" t="s">
        <v>128</v>
      </c>
      <c r="AA23" s="45" t="s">
        <v>128</v>
      </c>
      <c r="AB23" s="45" t="s">
        <v>128</v>
      </c>
      <c r="AC23" s="107" t="s">
        <v>128</v>
      </c>
      <c r="AD23" s="107" t="s">
        <v>128</v>
      </c>
      <c r="AE23" s="107" t="s">
        <v>128</v>
      </c>
      <c r="AF23" s="107" t="s">
        <v>128</v>
      </c>
      <c r="AG23" s="107" t="s">
        <v>128</v>
      </c>
      <c r="AH23" s="107" t="s">
        <v>128</v>
      </c>
      <c r="AI23" s="228"/>
      <c r="AJ23" s="228"/>
      <c r="AK23" s="228"/>
      <c r="AL23" s="228"/>
      <c r="AM23" s="228"/>
      <c r="AN23" s="228"/>
      <c r="AO23" s="140"/>
      <c r="AP23" s="140"/>
    </row>
    <row r="24" spans="1:42" s="48" customFormat="1" x14ac:dyDescent="0.2">
      <c r="A24" s="209"/>
      <c r="B24" s="8"/>
      <c r="C24" s="8"/>
      <c r="D24" s="8"/>
      <c r="E24" s="8"/>
      <c r="F24" s="8"/>
      <c r="G24" s="8"/>
      <c r="H24" s="8"/>
      <c r="I24" s="8"/>
      <c r="J24" s="37"/>
      <c r="K24" s="19">
        <v>0</v>
      </c>
      <c r="L24" s="198" t="s">
        <v>128</v>
      </c>
      <c r="M24" s="198" t="s">
        <v>128</v>
      </c>
      <c r="N24" s="197" t="s">
        <v>128</v>
      </c>
      <c r="O24" s="195">
        <v>1</v>
      </c>
      <c r="P24" s="45" t="s">
        <v>128</v>
      </c>
      <c r="Q24" s="45" t="s">
        <v>128</v>
      </c>
      <c r="R24" s="45" t="s">
        <v>128</v>
      </c>
      <c r="S24" s="45" t="s">
        <v>128</v>
      </c>
      <c r="T24" s="45" t="s">
        <v>128</v>
      </c>
      <c r="U24" s="45" t="s">
        <v>128</v>
      </c>
      <c r="V24" s="45" t="s">
        <v>128</v>
      </c>
      <c r="W24" s="45" t="s">
        <v>128</v>
      </c>
      <c r="X24" s="45" t="s">
        <v>128</v>
      </c>
      <c r="Y24" s="45" t="s">
        <v>128</v>
      </c>
      <c r="Z24" s="45" t="s">
        <v>128</v>
      </c>
      <c r="AA24" s="45" t="s">
        <v>128</v>
      </c>
      <c r="AB24" s="45" t="s">
        <v>128</v>
      </c>
      <c r="AC24" s="107" t="s">
        <v>128</v>
      </c>
      <c r="AD24" s="107" t="s">
        <v>128</v>
      </c>
      <c r="AE24" s="107" t="s">
        <v>128</v>
      </c>
      <c r="AF24" s="107" t="s">
        <v>128</v>
      </c>
      <c r="AG24" s="107" t="s">
        <v>128</v>
      </c>
      <c r="AH24" s="107" t="s">
        <v>128</v>
      </c>
      <c r="AI24" s="228"/>
      <c r="AJ24" s="228"/>
      <c r="AK24" s="228"/>
      <c r="AL24" s="228"/>
      <c r="AM24" s="228"/>
      <c r="AN24" s="228"/>
      <c r="AO24" s="140"/>
      <c r="AP24" s="140"/>
    </row>
    <row r="25" spans="1:42" s="48" customFormat="1" x14ac:dyDescent="0.2">
      <c r="A25" s="22"/>
      <c r="B25" s="22"/>
      <c r="C25" s="22"/>
      <c r="D25" s="22"/>
      <c r="E25" s="22"/>
      <c r="F25" s="22"/>
      <c r="G25" s="22"/>
      <c r="H25" s="22"/>
      <c r="I25" s="22"/>
      <c r="J25" s="36"/>
      <c r="K25" s="19">
        <v>0</v>
      </c>
      <c r="L25" s="198" t="s">
        <v>128</v>
      </c>
      <c r="M25" s="198" t="s">
        <v>128</v>
      </c>
      <c r="N25" s="197" t="s">
        <v>128</v>
      </c>
      <c r="O25" s="195">
        <v>1</v>
      </c>
      <c r="P25" s="45" t="s">
        <v>128</v>
      </c>
      <c r="Q25" s="45" t="s">
        <v>128</v>
      </c>
      <c r="R25" s="45" t="s">
        <v>128</v>
      </c>
      <c r="S25" s="45" t="s">
        <v>128</v>
      </c>
      <c r="T25" s="45" t="s">
        <v>128</v>
      </c>
      <c r="U25" s="45" t="s">
        <v>128</v>
      </c>
      <c r="V25" s="45" t="s">
        <v>128</v>
      </c>
      <c r="W25" s="45" t="s">
        <v>128</v>
      </c>
      <c r="X25" s="45" t="s">
        <v>128</v>
      </c>
      <c r="Y25" s="45" t="s">
        <v>128</v>
      </c>
      <c r="Z25" s="45" t="s">
        <v>128</v>
      </c>
      <c r="AA25" s="45" t="s">
        <v>128</v>
      </c>
      <c r="AB25" s="45" t="s">
        <v>128</v>
      </c>
      <c r="AC25" s="107" t="s">
        <v>128</v>
      </c>
      <c r="AD25" s="107" t="s">
        <v>128</v>
      </c>
      <c r="AE25" s="107" t="s">
        <v>128</v>
      </c>
      <c r="AF25" s="107" t="s">
        <v>128</v>
      </c>
      <c r="AG25" s="107" t="s">
        <v>128</v>
      </c>
      <c r="AH25" s="107" t="s">
        <v>128</v>
      </c>
      <c r="AI25" s="228"/>
      <c r="AJ25" s="228"/>
      <c r="AK25" s="228"/>
      <c r="AL25" s="228"/>
      <c r="AM25" s="228"/>
      <c r="AN25" s="228"/>
      <c r="AO25" s="140"/>
      <c r="AP25" s="140"/>
    </row>
    <row r="26" spans="1:42" s="48" customFormat="1" x14ac:dyDescent="0.2">
      <c r="A26" s="209"/>
      <c r="B26" s="8"/>
      <c r="C26" s="8"/>
      <c r="D26" s="8"/>
      <c r="E26" s="8"/>
      <c r="F26" s="8"/>
      <c r="G26" s="8"/>
      <c r="H26" s="8"/>
      <c r="I26" s="8"/>
      <c r="J26" s="37"/>
      <c r="K26" s="19">
        <v>0</v>
      </c>
      <c r="L26" s="198" t="s">
        <v>128</v>
      </c>
      <c r="M26" s="198" t="s">
        <v>128</v>
      </c>
      <c r="N26" s="197" t="s">
        <v>128</v>
      </c>
      <c r="O26" s="195">
        <v>1</v>
      </c>
      <c r="P26" s="45" t="s">
        <v>128</v>
      </c>
      <c r="Q26" s="45" t="s">
        <v>128</v>
      </c>
      <c r="R26" s="45" t="s">
        <v>128</v>
      </c>
      <c r="S26" s="45" t="s">
        <v>128</v>
      </c>
      <c r="T26" s="45" t="s">
        <v>128</v>
      </c>
      <c r="U26" s="45" t="s">
        <v>128</v>
      </c>
      <c r="V26" s="45" t="s">
        <v>128</v>
      </c>
      <c r="W26" s="45" t="s">
        <v>128</v>
      </c>
      <c r="X26" s="45" t="s">
        <v>128</v>
      </c>
      <c r="Y26" s="45" t="s">
        <v>128</v>
      </c>
      <c r="Z26" s="45" t="s">
        <v>128</v>
      </c>
      <c r="AA26" s="45" t="s">
        <v>128</v>
      </c>
      <c r="AB26" s="45" t="s">
        <v>128</v>
      </c>
      <c r="AC26" s="107" t="s">
        <v>128</v>
      </c>
      <c r="AD26" s="107" t="s">
        <v>128</v>
      </c>
      <c r="AE26" s="107" t="s">
        <v>128</v>
      </c>
      <c r="AF26" s="107" t="s">
        <v>128</v>
      </c>
      <c r="AG26" s="107" t="s">
        <v>128</v>
      </c>
      <c r="AH26" s="107" t="s">
        <v>128</v>
      </c>
      <c r="AI26" s="228"/>
      <c r="AJ26" s="228"/>
      <c r="AK26" s="228"/>
      <c r="AL26" s="228"/>
      <c r="AM26" s="228"/>
      <c r="AN26" s="228"/>
      <c r="AO26" s="140"/>
      <c r="AP26" s="140"/>
    </row>
    <row r="27" spans="1:42" s="48" customFormat="1" x14ac:dyDescent="0.2">
      <c r="A27" s="22"/>
      <c r="B27" s="22"/>
      <c r="C27" s="22"/>
      <c r="D27" s="22"/>
      <c r="E27" s="22"/>
      <c r="F27" s="22"/>
      <c r="G27" s="22"/>
      <c r="H27" s="22"/>
      <c r="I27" s="22"/>
      <c r="J27" s="36"/>
      <c r="K27" s="19">
        <v>0</v>
      </c>
      <c r="L27" s="198" t="s">
        <v>128</v>
      </c>
      <c r="M27" s="198" t="s">
        <v>128</v>
      </c>
      <c r="N27" s="197" t="s">
        <v>128</v>
      </c>
      <c r="O27" s="195">
        <v>1</v>
      </c>
      <c r="P27" s="45" t="s">
        <v>128</v>
      </c>
      <c r="Q27" s="45" t="s">
        <v>128</v>
      </c>
      <c r="R27" s="45" t="s">
        <v>128</v>
      </c>
      <c r="S27" s="45" t="s">
        <v>128</v>
      </c>
      <c r="T27" s="45" t="s">
        <v>128</v>
      </c>
      <c r="U27" s="45" t="s">
        <v>128</v>
      </c>
      <c r="V27" s="45" t="s">
        <v>128</v>
      </c>
      <c r="W27" s="45" t="s">
        <v>128</v>
      </c>
      <c r="X27" s="45" t="s">
        <v>128</v>
      </c>
      <c r="Y27" s="45" t="s">
        <v>128</v>
      </c>
      <c r="Z27" s="45" t="s">
        <v>128</v>
      </c>
      <c r="AA27" s="45" t="s">
        <v>128</v>
      </c>
      <c r="AB27" s="45" t="s">
        <v>128</v>
      </c>
      <c r="AC27" s="107" t="s">
        <v>128</v>
      </c>
      <c r="AD27" s="107" t="s">
        <v>128</v>
      </c>
      <c r="AE27" s="107" t="s">
        <v>128</v>
      </c>
      <c r="AF27" s="107" t="s">
        <v>128</v>
      </c>
      <c r="AG27" s="107" t="s">
        <v>128</v>
      </c>
      <c r="AH27" s="107" t="s">
        <v>128</v>
      </c>
      <c r="AI27" s="228"/>
      <c r="AJ27" s="228"/>
      <c r="AK27" s="228"/>
      <c r="AL27" s="228"/>
      <c r="AM27" s="228"/>
      <c r="AN27" s="228"/>
      <c r="AO27" s="140"/>
      <c r="AP27" s="140"/>
    </row>
    <row r="28" spans="1:42" s="48" customFormat="1" x14ac:dyDescent="0.2">
      <c r="A28" s="209"/>
      <c r="B28" s="8"/>
      <c r="C28" s="8"/>
      <c r="D28" s="8"/>
      <c r="E28" s="8"/>
      <c r="F28" s="8"/>
      <c r="G28" s="8"/>
      <c r="H28" s="8"/>
      <c r="I28" s="8"/>
      <c r="J28" s="37"/>
      <c r="K28" s="19">
        <v>0</v>
      </c>
      <c r="L28" s="198" t="s">
        <v>128</v>
      </c>
      <c r="M28" s="198" t="s">
        <v>128</v>
      </c>
      <c r="N28" s="197" t="s">
        <v>128</v>
      </c>
      <c r="O28" s="195">
        <v>1</v>
      </c>
      <c r="P28" s="45" t="s">
        <v>128</v>
      </c>
      <c r="Q28" s="45" t="s">
        <v>128</v>
      </c>
      <c r="R28" s="45" t="s">
        <v>128</v>
      </c>
      <c r="S28" s="45" t="s">
        <v>128</v>
      </c>
      <c r="T28" s="45" t="s">
        <v>128</v>
      </c>
      <c r="U28" s="45" t="s">
        <v>128</v>
      </c>
      <c r="V28" s="45" t="s">
        <v>128</v>
      </c>
      <c r="W28" s="45" t="s">
        <v>128</v>
      </c>
      <c r="X28" s="45" t="s">
        <v>128</v>
      </c>
      <c r="Y28" s="45" t="s">
        <v>128</v>
      </c>
      <c r="Z28" s="45" t="s">
        <v>128</v>
      </c>
      <c r="AA28" s="45" t="s">
        <v>128</v>
      </c>
      <c r="AB28" s="45" t="s">
        <v>128</v>
      </c>
      <c r="AC28" s="107" t="s">
        <v>128</v>
      </c>
      <c r="AD28" s="107" t="s">
        <v>128</v>
      </c>
      <c r="AE28" s="107" t="s">
        <v>128</v>
      </c>
      <c r="AF28" s="107" t="s">
        <v>128</v>
      </c>
      <c r="AG28" s="107" t="s">
        <v>128</v>
      </c>
      <c r="AH28" s="107" t="s">
        <v>128</v>
      </c>
      <c r="AI28" s="228"/>
      <c r="AJ28" s="228"/>
      <c r="AK28" s="228"/>
      <c r="AL28" s="228"/>
      <c r="AM28" s="228"/>
      <c r="AN28" s="228"/>
      <c r="AO28" s="140"/>
      <c r="AP28" s="140"/>
    </row>
    <row r="29" spans="1:42" s="48" customFormat="1" x14ac:dyDescent="0.2">
      <c r="A29" s="22"/>
      <c r="B29" s="22"/>
      <c r="C29" s="22"/>
      <c r="D29" s="22"/>
      <c r="E29" s="22"/>
      <c r="F29" s="22"/>
      <c r="G29" s="22"/>
      <c r="H29" s="22"/>
      <c r="I29" s="22"/>
      <c r="J29" s="36"/>
      <c r="K29" s="19">
        <v>0</v>
      </c>
      <c r="L29" s="198" t="s">
        <v>128</v>
      </c>
      <c r="M29" s="198" t="s">
        <v>128</v>
      </c>
      <c r="N29" s="197" t="s">
        <v>128</v>
      </c>
      <c r="O29" s="195">
        <v>1</v>
      </c>
      <c r="P29" s="45" t="s">
        <v>128</v>
      </c>
      <c r="Q29" s="45" t="s">
        <v>128</v>
      </c>
      <c r="R29" s="45" t="s">
        <v>128</v>
      </c>
      <c r="S29" s="45" t="s">
        <v>128</v>
      </c>
      <c r="T29" s="45" t="s">
        <v>128</v>
      </c>
      <c r="U29" s="45" t="s">
        <v>128</v>
      </c>
      <c r="V29" s="45" t="s">
        <v>128</v>
      </c>
      <c r="W29" s="45" t="s">
        <v>128</v>
      </c>
      <c r="X29" s="45" t="s">
        <v>128</v>
      </c>
      <c r="Y29" s="45" t="s">
        <v>128</v>
      </c>
      <c r="Z29" s="45" t="s">
        <v>128</v>
      </c>
      <c r="AA29" s="45" t="s">
        <v>128</v>
      </c>
      <c r="AB29" s="45" t="s">
        <v>128</v>
      </c>
      <c r="AC29" s="107" t="s">
        <v>128</v>
      </c>
      <c r="AD29" s="107" t="s">
        <v>128</v>
      </c>
      <c r="AE29" s="107" t="s">
        <v>128</v>
      </c>
      <c r="AF29" s="107" t="s">
        <v>128</v>
      </c>
      <c r="AG29" s="107" t="s">
        <v>128</v>
      </c>
      <c r="AH29" s="107" t="s">
        <v>128</v>
      </c>
      <c r="AI29" s="228"/>
      <c r="AJ29" s="228"/>
      <c r="AK29" s="228"/>
      <c r="AL29" s="228"/>
      <c r="AM29" s="228"/>
      <c r="AN29" s="228"/>
      <c r="AO29" s="140"/>
      <c r="AP29" s="140"/>
    </row>
    <row r="30" spans="1:42" s="48" customFormat="1" x14ac:dyDescent="0.2">
      <c r="A30" s="209"/>
      <c r="B30" s="8"/>
      <c r="C30" s="8"/>
      <c r="D30" s="8"/>
      <c r="E30" s="8"/>
      <c r="F30" s="8"/>
      <c r="G30" s="8"/>
      <c r="H30" s="8"/>
      <c r="I30" s="8"/>
      <c r="J30" s="37"/>
      <c r="K30" s="19">
        <v>0</v>
      </c>
      <c r="L30" s="198" t="s">
        <v>128</v>
      </c>
      <c r="M30" s="198" t="s">
        <v>128</v>
      </c>
      <c r="N30" s="197" t="s">
        <v>128</v>
      </c>
      <c r="O30" s="195">
        <v>1</v>
      </c>
      <c r="P30" s="45" t="s">
        <v>128</v>
      </c>
      <c r="Q30" s="45" t="s">
        <v>128</v>
      </c>
      <c r="R30" s="45" t="s">
        <v>128</v>
      </c>
      <c r="S30" s="45" t="s">
        <v>128</v>
      </c>
      <c r="T30" s="45" t="s">
        <v>128</v>
      </c>
      <c r="U30" s="45" t="s">
        <v>128</v>
      </c>
      <c r="V30" s="45" t="s">
        <v>128</v>
      </c>
      <c r="W30" s="45" t="s">
        <v>128</v>
      </c>
      <c r="X30" s="45" t="s">
        <v>128</v>
      </c>
      <c r="Y30" s="45" t="s">
        <v>128</v>
      </c>
      <c r="Z30" s="45" t="s">
        <v>128</v>
      </c>
      <c r="AA30" s="45" t="s">
        <v>128</v>
      </c>
      <c r="AB30" s="45" t="s">
        <v>128</v>
      </c>
      <c r="AC30" s="107" t="s">
        <v>128</v>
      </c>
      <c r="AD30" s="107" t="s">
        <v>128</v>
      </c>
      <c r="AE30" s="107" t="s">
        <v>128</v>
      </c>
      <c r="AF30" s="107" t="s">
        <v>128</v>
      </c>
      <c r="AG30" s="107" t="s">
        <v>128</v>
      </c>
      <c r="AH30" s="107" t="s">
        <v>128</v>
      </c>
      <c r="AI30" s="228"/>
      <c r="AJ30" s="228"/>
      <c r="AK30" s="228"/>
      <c r="AL30" s="228"/>
      <c r="AM30" s="228"/>
      <c r="AN30" s="228"/>
      <c r="AO30" s="140"/>
      <c r="AP30" s="140"/>
    </row>
    <row r="31" spans="1:42" s="48" customFormat="1" x14ac:dyDescent="0.2">
      <c r="A31" s="22"/>
      <c r="B31" s="22"/>
      <c r="C31" s="22"/>
      <c r="D31" s="22"/>
      <c r="E31" s="22"/>
      <c r="F31" s="22"/>
      <c r="G31" s="22"/>
      <c r="H31" s="22"/>
      <c r="I31" s="22"/>
      <c r="J31" s="36"/>
      <c r="K31" s="19">
        <v>0</v>
      </c>
      <c r="L31" s="198" t="s">
        <v>128</v>
      </c>
      <c r="M31" s="198" t="s">
        <v>128</v>
      </c>
      <c r="N31" s="197" t="s">
        <v>128</v>
      </c>
      <c r="O31" s="195">
        <v>1</v>
      </c>
      <c r="P31" s="45" t="s">
        <v>128</v>
      </c>
      <c r="Q31" s="45" t="s">
        <v>128</v>
      </c>
      <c r="R31" s="45" t="s">
        <v>128</v>
      </c>
      <c r="S31" s="45" t="s">
        <v>128</v>
      </c>
      <c r="T31" s="45" t="s">
        <v>128</v>
      </c>
      <c r="U31" s="45" t="s">
        <v>128</v>
      </c>
      <c r="V31" s="45" t="s">
        <v>128</v>
      </c>
      <c r="W31" s="45" t="s">
        <v>128</v>
      </c>
      <c r="X31" s="45" t="s">
        <v>128</v>
      </c>
      <c r="Y31" s="45" t="s">
        <v>128</v>
      </c>
      <c r="Z31" s="45" t="s">
        <v>128</v>
      </c>
      <c r="AA31" s="45" t="s">
        <v>128</v>
      </c>
      <c r="AB31" s="45" t="s">
        <v>128</v>
      </c>
      <c r="AC31" s="107" t="s">
        <v>128</v>
      </c>
      <c r="AD31" s="107" t="s">
        <v>128</v>
      </c>
      <c r="AE31" s="107" t="s">
        <v>128</v>
      </c>
      <c r="AF31" s="107" t="s">
        <v>128</v>
      </c>
      <c r="AG31" s="107" t="s">
        <v>128</v>
      </c>
      <c r="AH31" s="107" t="s">
        <v>128</v>
      </c>
      <c r="AI31" s="228"/>
      <c r="AJ31" s="228"/>
      <c r="AK31" s="228"/>
      <c r="AL31" s="228"/>
      <c r="AM31" s="228"/>
      <c r="AN31" s="228"/>
      <c r="AO31" s="140"/>
      <c r="AP31" s="140"/>
    </row>
    <row r="32" spans="1:42" s="48" customFormat="1" x14ac:dyDescent="0.2">
      <c r="A32" s="209"/>
      <c r="B32" s="8"/>
      <c r="C32" s="8"/>
      <c r="D32" s="8"/>
      <c r="E32" s="8"/>
      <c r="F32" s="8"/>
      <c r="G32" s="8"/>
      <c r="H32" s="8"/>
      <c r="I32" s="8"/>
      <c r="J32" s="37"/>
      <c r="K32" s="19">
        <v>0</v>
      </c>
      <c r="L32" s="198" t="s">
        <v>128</v>
      </c>
      <c r="M32" s="198" t="s">
        <v>128</v>
      </c>
      <c r="N32" s="197" t="s">
        <v>128</v>
      </c>
      <c r="O32" s="195">
        <v>1</v>
      </c>
      <c r="P32" s="45" t="s">
        <v>128</v>
      </c>
      <c r="Q32" s="45" t="s">
        <v>128</v>
      </c>
      <c r="R32" s="45" t="s">
        <v>128</v>
      </c>
      <c r="S32" s="45" t="s">
        <v>128</v>
      </c>
      <c r="T32" s="45" t="s">
        <v>128</v>
      </c>
      <c r="U32" s="45" t="s">
        <v>128</v>
      </c>
      <c r="V32" s="45" t="s">
        <v>128</v>
      </c>
      <c r="W32" s="45" t="s">
        <v>128</v>
      </c>
      <c r="X32" s="45" t="s">
        <v>128</v>
      </c>
      <c r="Y32" s="45" t="s">
        <v>128</v>
      </c>
      <c r="Z32" s="45" t="s">
        <v>128</v>
      </c>
      <c r="AA32" s="45" t="s">
        <v>128</v>
      </c>
      <c r="AB32" s="45" t="s">
        <v>128</v>
      </c>
      <c r="AC32" s="107" t="s">
        <v>128</v>
      </c>
      <c r="AD32" s="107" t="s">
        <v>128</v>
      </c>
      <c r="AE32" s="107" t="s">
        <v>128</v>
      </c>
      <c r="AF32" s="107" t="s">
        <v>128</v>
      </c>
      <c r="AG32" s="107" t="s">
        <v>128</v>
      </c>
      <c r="AH32" s="107" t="s">
        <v>128</v>
      </c>
      <c r="AI32" s="228"/>
      <c r="AJ32" s="228"/>
      <c r="AK32" s="228"/>
      <c r="AL32" s="228"/>
      <c r="AM32" s="228"/>
      <c r="AN32" s="228"/>
      <c r="AO32" s="140"/>
      <c r="AP32" s="140"/>
    </row>
    <row r="33" spans="1:42" s="48" customFormat="1" x14ac:dyDescent="0.2">
      <c r="A33" s="22"/>
      <c r="B33" s="22"/>
      <c r="C33" s="22"/>
      <c r="D33" s="22"/>
      <c r="E33" s="22"/>
      <c r="F33" s="22"/>
      <c r="G33" s="22"/>
      <c r="H33" s="22"/>
      <c r="I33" s="22"/>
      <c r="J33" s="36"/>
      <c r="K33" s="19">
        <v>0</v>
      </c>
      <c r="L33" s="198" t="s">
        <v>128</v>
      </c>
      <c r="M33" s="198" t="s">
        <v>128</v>
      </c>
      <c r="N33" s="197" t="s">
        <v>128</v>
      </c>
      <c r="O33" s="195">
        <v>1</v>
      </c>
      <c r="P33" s="45" t="s">
        <v>128</v>
      </c>
      <c r="Q33" s="45" t="s">
        <v>128</v>
      </c>
      <c r="R33" s="45" t="s">
        <v>128</v>
      </c>
      <c r="S33" s="45" t="s">
        <v>128</v>
      </c>
      <c r="T33" s="45" t="s">
        <v>128</v>
      </c>
      <c r="U33" s="45" t="s">
        <v>128</v>
      </c>
      <c r="V33" s="45" t="s">
        <v>128</v>
      </c>
      <c r="W33" s="45" t="s">
        <v>128</v>
      </c>
      <c r="X33" s="45" t="s">
        <v>128</v>
      </c>
      <c r="Y33" s="45" t="s">
        <v>128</v>
      </c>
      <c r="Z33" s="45" t="s">
        <v>128</v>
      </c>
      <c r="AA33" s="45" t="s">
        <v>128</v>
      </c>
      <c r="AB33" s="45" t="s">
        <v>128</v>
      </c>
      <c r="AC33" s="107" t="s">
        <v>128</v>
      </c>
      <c r="AD33" s="107" t="s">
        <v>128</v>
      </c>
      <c r="AE33" s="107" t="s">
        <v>128</v>
      </c>
      <c r="AF33" s="107" t="s">
        <v>128</v>
      </c>
      <c r="AG33" s="107" t="s">
        <v>128</v>
      </c>
      <c r="AH33" s="107" t="s">
        <v>128</v>
      </c>
      <c r="AI33" s="228"/>
      <c r="AJ33" s="228"/>
      <c r="AK33" s="228"/>
      <c r="AL33" s="228"/>
      <c r="AM33" s="228"/>
      <c r="AN33" s="228"/>
      <c r="AO33" s="140"/>
      <c r="AP33" s="140"/>
    </row>
    <row r="34" spans="1:42" s="48" customFormat="1" x14ac:dyDescent="0.2">
      <c r="A34" s="209"/>
      <c r="B34" s="8"/>
      <c r="C34" s="8"/>
      <c r="D34" s="8"/>
      <c r="E34" s="8"/>
      <c r="F34" s="8"/>
      <c r="G34" s="8"/>
      <c r="H34" s="8"/>
      <c r="I34" s="8"/>
      <c r="J34" s="37"/>
      <c r="K34" s="19">
        <v>0</v>
      </c>
      <c r="L34" s="198" t="s">
        <v>128</v>
      </c>
      <c r="M34" s="198" t="s">
        <v>128</v>
      </c>
      <c r="N34" s="197" t="s">
        <v>128</v>
      </c>
      <c r="O34" s="195">
        <v>1</v>
      </c>
      <c r="P34" s="45" t="s">
        <v>128</v>
      </c>
      <c r="Q34" s="45" t="s">
        <v>128</v>
      </c>
      <c r="R34" s="45" t="s">
        <v>128</v>
      </c>
      <c r="S34" s="45" t="s">
        <v>128</v>
      </c>
      <c r="T34" s="45" t="s">
        <v>128</v>
      </c>
      <c r="U34" s="45" t="s">
        <v>128</v>
      </c>
      <c r="V34" s="45" t="s">
        <v>128</v>
      </c>
      <c r="W34" s="45" t="s">
        <v>128</v>
      </c>
      <c r="X34" s="45" t="s">
        <v>128</v>
      </c>
      <c r="Y34" s="45" t="s">
        <v>128</v>
      </c>
      <c r="Z34" s="45" t="s">
        <v>128</v>
      </c>
      <c r="AA34" s="45" t="s">
        <v>128</v>
      </c>
      <c r="AB34" s="45" t="s">
        <v>128</v>
      </c>
      <c r="AC34" s="107" t="s">
        <v>128</v>
      </c>
      <c r="AD34" s="107" t="s">
        <v>128</v>
      </c>
      <c r="AE34" s="107" t="s">
        <v>128</v>
      </c>
      <c r="AF34" s="107" t="s">
        <v>128</v>
      </c>
      <c r="AG34" s="107" t="s">
        <v>128</v>
      </c>
      <c r="AH34" s="107" t="s">
        <v>128</v>
      </c>
      <c r="AI34" s="228"/>
      <c r="AJ34" s="228"/>
      <c r="AK34" s="228"/>
      <c r="AL34" s="228"/>
      <c r="AM34" s="228"/>
      <c r="AN34" s="228"/>
      <c r="AO34" s="228"/>
      <c r="AP34" s="228"/>
    </row>
    <row r="35" spans="1:42" s="48" customFormat="1" x14ac:dyDescent="0.2">
      <c r="A35" s="22"/>
      <c r="B35" s="22"/>
      <c r="C35" s="22"/>
      <c r="D35" s="22"/>
      <c r="E35" s="22"/>
      <c r="F35" s="22"/>
      <c r="G35" s="22"/>
      <c r="H35" s="22"/>
      <c r="I35" s="22"/>
      <c r="J35" s="36"/>
      <c r="K35" s="19">
        <v>0</v>
      </c>
      <c r="L35" s="198" t="s">
        <v>128</v>
      </c>
      <c r="M35" s="198" t="s">
        <v>128</v>
      </c>
      <c r="N35" s="197" t="s">
        <v>128</v>
      </c>
      <c r="O35" s="195">
        <v>1</v>
      </c>
      <c r="P35" s="45" t="s">
        <v>128</v>
      </c>
      <c r="Q35" s="45" t="s">
        <v>128</v>
      </c>
      <c r="R35" s="45" t="s">
        <v>128</v>
      </c>
      <c r="S35" s="45" t="s">
        <v>128</v>
      </c>
      <c r="T35" s="45" t="s">
        <v>128</v>
      </c>
      <c r="U35" s="45" t="s">
        <v>128</v>
      </c>
      <c r="V35" s="45" t="s">
        <v>128</v>
      </c>
      <c r="W35" s="45" t="s">
        <v>128</v>
      </c>
      <c r="X35" s="45" t="s">
        <v>128</v>
      </c>
      <c r="Y35" s="45" t="s">
        <v>128</v>
      </c>
      <c r="Z35" s="45" t="s">
        <v>128</v>
      </c>
      <c r="AA35" s="45" t="s">
        <v>128</v>
      </c>
      <c r="AB35" s="45" t="s">
        <v>128</v>
      </c>
      <c r="AC35" s="107" t="s">
        <v>128</v>
      </c>
      <c r="AD35" s="107" t="s">
        <v>128</v>
      </c>
      <c r="AE35" s="107" t="s">
        <v>128</v>
      </c>
      <c r="AF35" s="107" t="s">
        <v>128</v>
      </c>
      <c r="AG35" s="107" t="s">
        <v>128</v>
      </c>
      <c r="AH35" s="107" t="s">
        <v>128</v>
      </c>
      <c r="AI35" s="228"/>
      <c r="AJ35" s="228"/>
      <c r="AK35" s="228"/>
      <c r="AL35" s="228"/>
      <c r="AM35" s="228"/>
      <c r="AN35" s="228"/>
      <c r="AO35" s="228"/>
      <c r="AP35" s="228"/>
    </row>
    <row r="36" spans="1:42" s="48" customFormat="1" x14ac:dyDescent="0.2">
      <c r="A36" s="209"/>
      <c r="B36" s="8"/>
      <c r="C36" s="8"/>
      <c r="D36" s="8"/>
      <c r="E36" s="8"/>
      <c r="F36" s="8"/>
      <c r="G36" s="8"/>
      <c r="H36" s="8"/>
      <c r="I36" s="8"/>
      <c r="J36" s="37"/>
      <c r="K36" s="19">
        <v>0</v>
      </c>
      <c r="L36" s="198" t="s">
        <v>128</v>
      </c>
      <c r="M36" s="198" t="s">
        <v>128</v>
      </c>
      <c r="N36" s="197" t="s">
        <v>128</v>
      </c>
      <c r="O36" s="195">
        <v>1</v>
      </c>
      <c r="P36" s="45" t="s">
        <v>128</v>
      </c>
      <c r="Q36" s="45" t="s">
        <v>128</v>
      </c>
      <c r="R36" s="45" t="s">
        <v>128</v>
      </c>
      <c r="S36" s="45" t="s">
        <v>128</v>
      </c>
      <c r="T36" s="45" t="s">
        <v>128</v>
      </c>
      <c r="U36" s="45" t="s">
        <v>128</v>
      </c>
      <c r="V36" s="45" t="s">
        <v>128</v>
      </c>
      <c r="W36" s="45" t="s">
        <v>128</v>
      </c>
      <c r="X36" s="45" t="s">
        <v>128</v>
      </c>
      <c r="Y36" s="45" t="s">
        <v>128</v>
      </c>
      <c r="Z36" s="45" t="s">
        <v>128</v>
      </c>
      <c r="AA36" s="45" t="s">
        <v>128</v>
      </c>
      <c r="AB36" s="45" t="s">
        <v>128</v>
      </c>
      <c r="AC36" s="107" t="s">
        <v>128</v>
      </c>
      <c r="AD36" s="107" t="s">
        <v>128</v>
      </c>
      <c r="AE36" s="107" t="s">
        <v>128</v>
      </c>
      <c r="AF36" s="107" t="s">
        <v>128</v>
      </c>
      <c r="AG36" s="107" t="s">
        <v>128</v>
      </c>
      <c r="AH36" s="107" t="s">
        <v>128</v>
      </c>
      <c r="AI36" s="228"/>
      <c r="AJ36" s="228"/>
      <c r="AK36" s="228"/>
      <c r="AL36" s="228"/>
      <c r="AM36" s="228"/>
      <c r="AN36" s="228"/>
      <c r="AO36" s="228"/>
      <c r="AP36" s="228"/>
    </row>
    <row r="37" spans="1:42" s="48" customFormat="1" x14ac:dyDescent="0.2">
      <c r="A37" s="22"/>
      <c r="B37" s="22"/>
      <c r="C37" s="22"/>
      <c r="D37" s="22"/>
      <c r="E37" s="22"/>
      <c r="F37" s="22"/>
      <c r="G37" s="22"/>
      <c r="H37" s="22"/>
      <c r="I37" s="22"/>
      <c r="J37" s="36"/>
      <c r="K37" s="19">
        <v>0</v>
      </c>
      <c r="L37" s="198" t="s">
        <v>128</v>
      </c>
      <c r="M37" s="198" t="s">
        <v>128</v>
      </c>
      <c r="N37" s="197" t="s">
        <v>128</v>
      </c>
      <c r="O37" s="195">
        <v>1</v>
      </c>
      <c r="P37" s="45" t="s">
        <v>128</v>
      </c>
      <c r="Q37" s="45" t="s">
        <v>128</v>
      </c>
      <c r="R37" s="45" t="s">
        <v>128</v>
      </c>
      <c r="S37" s="45" t="s">
        <v>128</v>
      </c>
      <c r="T37" s="45" t="s">
        <v>128</v>
      </c>
      <c r="U37" s="45" t="s">
        <v>128</v>
      </c>
      <c r="V37" s="45" t="s">
        <v>128</v>
      </c>
      <c r="W37" s="45" t="s">
        <v>128</v>
      </c>
      <c r="X37" s="45" t="s">
        <v>128</v>
      </c>
      <c r="Y37" s="45" t="s">
        <v>128</v>
      </c>
      <c r="Z37" s="45" t="s">
        <v>128</v>
      </c>
      <c r="AA37" s="45" t="s">
        <v>128</v>
      </c>
      <c r="AB37" s="45" t="s">
        <v>128</v>
      </c>
      <c r="AC37" s="107" t="s">
        <v>128</v>
      </c>
      <c r="AD37" s="107" t="s">
        <v>128</v>
      </c>
      <c r="AE37" s="107" t="s">
        <v>128</v>
      </c>
      <c r="AF37" s="107" t="s">
        <v>128</v>
      </c>
      <c r="AG37" s="107" t="s">
        <v>128</v>
      </c>
      <c r="AH37" s="107" t="s">
        <v>128</v>
      </c>
      <c r="AI37" s="228"/>
      <c r="AJ37" s="228"/>
      <c r="AK37" s="228"/>
      <c r="AL37" s="228"/>
      <c r="AM37" s="228"/>
      <c r="AN37" s="228"/>
      <c r="AO37" s="228"/>
      <c r="AP37" s="228"/>
    </row>
    <row r="38" spans="1:42" s="48" customFormat="1" x14ac:dyDescent="0.15">
      <c r="A38" s="209"/>
      <c r="B38" s="8"/>
      <c r="C38" s="8"/>
      <c r="D38" s="8"/>
      <c r="E38" s="8"/>
      <c r="F38" s="8"/>
      <c r="G38" s="8"/>
      <c r="H38" s="8"/>
      <c r="I38" s="8"/>
      <c r="J38" s="37"/>
      <c r="K38" s="19">
        <v>0</v>
      </c>
      <c r="L38" s="198" t="s">
        <v>128</v>
      </c>
      <c r="M38" s="198" t="s">
        <v>128</v>
      </c>
      <c r="N38" s="197" t="s">
        <v>128</v>
      </c>
      <c r="O38" s="195">
        <v>1</v>
      </c>
      <c r="P38" s="45" t="s">
        <v>128</v>
      </c>
      <c r="Q38" s="45" t="s">
        <v>128</v>
      </c>
      <c r="R38" s="45" t="s">
        <v>128</v>
      </c>
      <c r="S38" s="45" t="s">
        <v>128</v>
      </c>
      <c r="T38" s="45" t="s">
        <v>128</v>
      </c>
      <c r="U38" s="45" t="s">
        <v>128</v>
      </c>
      <c r="V38" s="45" t="s">
        <v>128</v>
      </c>
      <c r="W38" s="45" t="s">
        <v>128</v>
      </c>
      <c r="X38" s="45" t="s">
        <v>128</v>
      </c>
      <c r="Y38" s="45" t="s">
        <v>128</v>
      </c>
      <c r="Z38" s="45" t="s">
        <v>128</v>
      </c>
      <c r="AA38" s="45" t="s">
        <v>128</v>
      </c>
      <c r="AB38" s="45" t="s">
        <v>128</v>
      </c>
      <c r="AC38" s="107" t="s">
        <v>128</v>
      </c>
      <c r="AD38" s="107" t="s">
        <v>128</v>
      </c>
      <c r="AE38" s="107" t="s">
        <v>128</v>
      </c>
      <c r="AF38" s="107" t="s">
        <v>128</v>
      </c>
      <c r="AG38" s="107" t="s">
        <v>128</v>
      </c>
      <c r="AH38" s="107" t="s">
        <v>128</v>
      </c>
      <c r="AI38" s="205"/>
      <c r="AJ38" s="140"/>
      <c r="AK38" s="305"/>
      <c r="AL38" s="306"/>
      <c r="AM38" s="228"/>
      <c r="AN38" s="140"/>
      <c r="AO38" s="140"/>
      <c r="AP38" s="140"/>
    </row>
    <row r="39" spans="1:42" s="48" customFormat="1" x14ac:dyDescent="0.2">
      <c r="A39" s="22"/>
      <c r="B39" s="22"/>
      <c r="C39" s="22"/>
      <c r="D39" s="22"/>
      <c r="E39" s="22"/>
      <c r="F39" s="22"/>
      <c r="G39" s="22"/>
      <c r="H39" s="22"/>
      <c r="I39" s="22"/>
      <c r="J39" s="36"/>
      <c r="K39" s="19">
        <v>0</v>
      </c>
      <c r="L39" s="198" t="s">
        <v>128</v>
      </c>
      <c r="M39" s="198" t="s">
        <v>128</v>
      </c>
      <c r="N39" s="197" t="s">
        <v>128</v>
      </c>
      <c r="O39" s="195">
        <v>1</v>
      </c>
      <c r="P39" s="45" t="s">
        <v>128</v>
      </c>
      <c r="Q39" s="45" t="s">
        <v>128</v>
      </c>
      <c r="R39" s="45" t="s">
        <v>128</v>
      </c>
      <c r="S39" s="45" t="s">
        <v>128</v>
      </c>
      <c r="T39" s="45" t="s">
        <v>128</v>
      </c>
      <c r="U39" s="45" t="s">
        <v>128</v>
      </c>
      <c r="V39" s="45" t="s">
        <v>128</v>
      </c>
      <c r="W39" s="45" t="s">
        <v>128</v>
      </c>
      <c r="X39" s="45" t="s">
        <v>128</v>
      </c>
      <c r="Y39" s="45" t="s">
        <v>128</v>
      </c>
      <c r="Z39" s="45" t="s">
        <v>128</v>
      </c>
      <c r="AA39" s="45" t="s">
        <v>128</v>
      </c>
      <c r="AB39" s="45" t="s">
        <v>128</v>
      </c>
      <c r="AC39" s="107" t="s">
        <v>128</v>
      </c>
      <c r="AD39" s="107" t="s">
        <v>128</v>
      </c>
      <c r="AE39" s="107" t="s">
        <v>128</v>
      </c>
      <c r="AF39" s="107" t="s">
        <v>128</v>
      </c>
      <c r="AG39" s="107" t="s">
        <v>128</v>
      </c>
      <c r="AH39" s="107" t="s">
        <v>128</v>
      </c>
      <c r="AI39" s="228"/>
      <c r="AJ39" s="228"/>
      <c r="AK39" s="228"/>
      <c r="AL39" s="228"/>
      <c r="AM39" s="228"/>
      <c r="AN39" s="140"/>
      <c r="AO39" s="228"/>
      <c r="AP39" s="228"/>
    </row>
    <row r="40" spans="1:42" s="48" customFormat="1" x14ac:dyDescent="0.2">
      <c r="A40" s="209"/>
      <c r="B40" s="8"/>
      <c r="C40" s="8"/>
      <c r="D40" s="8"/>
      <c r="E40" s="8"/>
      <c r="F40" s="8"/>
      <c r="G40" s="8"/>
      <c r="H40" s="8"/>
      <c r="I40" s="8"/>
      <c r="J40" s="37"/>
      <c r="K40" s="19">
        <v>0</v>
      </c>
      <c r="L40" s="198" t="s">
        <v>128</v>
      </c>
      <c r="M40" s="198" t="s">
        <v>128</v>
      </c>
      <c r="N40" s="197" t="s">
        <v>128</v>
      </c>
      <c r="O40" s="195">
        <v>1</v>
      </c>
      <c r="P40" s="45" t="s">
        <v>128</v>
      </c>
      <c r="Q40" s="45" t="s">
        <v>128</v>
      </c>
      <c r="R40" s="45" t="s">
        <v>128</v>
      </c>
      <c r="S40" s="45" t="s">
        <v>128</v>
      </c>
      <c r="T40" s="45" t="s">
        <v>128</v>
      </c>
      <c r="U40" s="45" t="s">
        <v>128</v>
      </c>
      <c r="V40" s="45" t="s">
        <v>128</v>
      </c>
      <c r="W40" s="45" t="s">
        <v>128</v>
      </c>
      <c r="X40" s="45" t="s">
        <v>128</v>
      </c>
      <c r="Y40" s="45" t="s">
        <v>128</v>
      </c>
      <c r="Z40" s="45" t="s">
        <v>128</v>
      </c>
      <c r="AA40" s="45" t="s">
        <v>128</v>
      </c>
      <c r="AB40" s="45" t="s">
        <v>128</v>
      </c>
      <c r="AC40" s="107" t="s">
        <v>128</v>
      </c>
      <c r="AD40" s="107" t="s">
        <v>128</v>
      </c>
      <c r="AE40" s="107" t="s">
        <v>128</v>
      </c>
      <c r="AF40" s="107" t="s">
        <v>128</v>
      </c>
      <c r="AG40" s="107" t="s">
        <v>128</v>
      </c>
      <c r="AH40" s="107" t="s">
        <v>128</v>
      </c>
      <c r="AI40" s="228"/>
      <c r="AJ40" s="228"/>
      <c r="AK40" s="228"/>
      <c r="AL40" s="228"/>
      <c r="AM40" s="228"/>
      <c r="AN40" s="140"/>
      <c r="AO40" s="228"/>
      <c r="AP40" s="228"/>
    </row>
    <row r="41" spans="1:42" s="48" customFormat="1" x14ac:dyDescent="0.15">
      <c r="A41" s="22"/>
      <c r="B41" s="22"/>
      <c r="C41" s="22"/>
      <c r="D41" s="22"/>
      <c r="E41" s="22"/>
      <c r="F41" s="22"/>
      <c r="G41" s="22"/>
      <c r="H41" s="22"/>
      <c r="I41" s="22"/>
      <c r="J41" s="36"/>
      <c r="K41" s="19">
        <v>0</v>
      </c>
      <c r="L41" s="198" t="s">
        <v>128</v>
      </c>
      <c r="M41" s="198" t="s">
        <v>128</v>
      </c>
      <c r="N41" s="197" t="s">
        <v>128</v>
      </c>
      <c r="O41" s="195">
        <v>1</v>
      </c>
      <c r="P41" s="45" t="s">
        <v>128</v>
      </c>
      <c r="Q41" s="45" t="s">
        <v>128</v>
      </c>
      <c r="R41" s="45" t="s">
        <v>128</v>
      </c>
      <c r="S41" s="45" t="s">
        <v>128</v>
      </c>
      <c r="T41" s="45" t="s">
        <v>128</v>
      </c>
      <c r="U41" s="45" t="s">
        <v>128</v>
      </c>
      <c r="V41" s="45" t="s">
        <v>128</v>
      </c>
      <c r="W41" s="45" t="s">
        <v>128</v>
      </c>
      <c r="X41" s="45" t="s">
        <v>128</v>
      </c>
      <c r="Y41" s="45" t="s">
        <v>128</v>
      </c>
      <c r="Z41" s="45" t="s">
        <v>128</v>
      </c>
      <c r="AA41" s="45" t="s">
        <v>128</v>
      </c>
      <c r="AB41" s="45" t="s">
        <v>128</v>
      </c>
      <c r="AC41" s="107" t="s">
        <v>128</v>
      </c>
      <c r="AD41" s="107" t="s">
        <v>128</v>
      </c>
      <c r="AE41" s="107" t="s">
        <v>128</v>
      </c>
      <c r="AF41" s="107" t="s">
        <v>128</v>
      </c>
      <c r="AG41" s="107" t="s">
        <v>128</v>
      </c>
      <c r="AH41" s="107" t="s">
        <v>128</v>
      </c>
      <c r="AI41" s="205"/>
      <c r="AJ41" s="140"/>
      <c r="AK41" s="305"/>
      <c r="AL41" s="306"/>
      <c r="AM41" s="228"/>
      <c r="AN41" s="140"/>
      <c r="AO41" s="140"/>
      <c r="AP41" s="140"/>
    </row>
    <row r="42" spans="1:42" s="48" customFormat="1" x14ac:dyDescent="0.2">
      <c r="A42" s="209"/>
      <c r="B42" s="8"/>
      <c r="C42" s="8"/>
      <c r="D42" s="8"/>
      <c r="E42" s="8"/>
      <c r="F42" s="8"/>
      <c r="G42" s="8"/>
      <c r="H42" s="8"/>
      <c r="I42" s="8"/>
      <c r="J42" s="37"/>
      <c r="K42" s="19">
        <v>0</v>
      </c>
      <c r="L42" s="198" t="s">
        <v>128</v>
      </c>
      <c r="M42" s="198" t="s">
        <v>128</v>
      </c>
      <c r="N42" s="197" t="s">
        <v>128</v>
      </c>
      <c r="O42" s="195">
        <v>1</v>
      </c>
      <c r="P42" s="45" t="s">
        <v>128</v>
      </c>
      <c r="Q42" s="45" t="s">
        <v>128</v>
      </c>
      <c r="R42" s="45" t="s">
        <v>128</v>
      </c>
      <c r="S42" s="45" t="s">
        <v>128</v>
      </c>
      <c r="T42" s="45" t="s">
        <v>128</v>
      </c>
      <c r="U42" s="45" t="s">
        <v>128</v>
      </c>
      <c r="V42" s="45" t="s">
        <v>128</v>
      </c>
      <c r="W42" s="45" t="s">
        <v>128</v>
      </c>
      <c r="X42" s="45" t="s">
        <v>128</v>
      </c>
      <c r="Y42" s="45" t="s">
        <v>128</v>
      </c>
      <c r="Z42" s="45" t="s">
        <v>128</v>
      </c>
      <c r="AA42" s="45" t="s">
        <v>128</v>
      </c>
      <c r="AB42" s="45" t="s">
        <v>128</v>
      </c>
      <c r="AC42" s="107" t="s">
        <v>128</v>
      </c>
      <c r="AD42" s="107" t="s">
        <v>128</v>
      </c>
      <c r="AE42" s="107" t="s">
        <v>128</v>
      </c>
      <c r="AF42" s="107" t="s">
        <v>128</v>
      </c>
      <c r="AG42" s="107" t="s">
        <v>128</v>
      </c>
      <c r="AH42" s="107" t="s">
        <v>128</v>
      </c>
      <c r="AI42" s="228"/>
      <c r="AJ42" s="140"/>
      <c r="AK42" s="228"/>
      <c r="AL42" s="228"/>
      <c r="AM42" s="228"/>
      <c r="AN42" s="140"/>
      <c r="AO42" s="228"/>
      <c r="AP42" s="228"/>
    </row>
    <row r="43" spans="1:42" s="48" customFormat="1" x14ac:dyDescent="0.15">
      <c r="A43" s="22"/>
      <c r="B43" s="22"/>
      <c r="C43" s="22"/>
      <c r="D43" s="22"/>
      <c r="E43" s="22"/>
      <c r="F43" s="22"/>
      <c r="G43" s="22"/>
      <c r="H43" s="22"/>
      <c r="I43" s="22"/>
      <c r="J43" s="36"/>
      <c r="K43" s="19">
        <v>0</v>
      </c>
      <c r="L43" s="198" t="s">
        <v>128</v>
      </c>
      <c r="M43" s="198" t="s">
        <v>128</v>
      </c>
      <c r="N43" s="197" t="s">
        <v>128</v>
      </c>
      <c r="O43" s="195">
        <v>1</v>
      </c>
      <c r="P43" s="45" t="s">
        <v>128</v>
      </c>
      <c r="Q43" s="45" t="s">
        <v>128</v>
      </c>
      <c r="R43" s="45" t="s">
        <v>128</v>
      </c>
      <c r="S43" s="45" t="s">
        <v>128</v>
      </c>
      <c r="T43" s="45" t="s">
        <v>128</v>
      </c>
      <c r="U43" s="45" t="s">
        <v>128</v>
      </c>
      <c r="V43" s="45" t="s">
        <v>128</v>
      </c>
      <c r="W43" s="45" t="s">
        <v>128</v>
      </c>
      <c r="X43" s="45" t="s">
        <v>128</v>
      </c>
      <c r="Y43" s="45" t="s">
        <v>128</v>
      </c>
      <c r="Z43" s="45" t="s">
        <v>128</v>
      </c>
      <c r="AA43" s="45" t="s">
        <v>128</v>
      </c>
      <c r="AB43" s="45" t="s">
        <v>128</v>
      </c>
      <c r="AC43" s="107" t="s">
        <v>128</v>
      </c>
      <c r="AD43" s="107" t="s">
        <v>128</v>
      </c>
      <c r="AE43" s="107" t="s">
        <v>128</v>
      </c>
      <c r="AF43" s="107" t="s">
        <v>128</v>
      </c>
      <c r="AG43" s="107" t="s">
        <v>128</v>
      </c>
      <c r="AH43" s="107" t="s">
        <v>128</v>
      </c>
      <c r="AI43" s="280"/>
      <c r="AJ43" s="274"/>
      <c r="AK43" s="307"/>
      <c r="AL43" s="308"/>
      <c r="AM43" s="273"/>
      <c r="AN43" s="274"/>
      <c r="AO43" s="274"/>
      <c r="AP43" s="274"/>
    </row>
    <row r="44" spans="1:42" s="48" customFormat="1" x14ac:dyDescent="0.2">
      <c r="A44" s="209"/>
      <c r="B44" s="8"/>
      <c r="C44" s="8"/>
      <c r="D44" s="8"/>
      <c r="E44" s="8"/>
      <c r="F44" s="8"/>
      <c r="G44" s="8"/>
      <c r="H44" s="8"/>
      <c r="I44" s="8"/>
      <c r="J44" s="37"/>
      <c r="K44" s="19">
        <v>0</v>
      </c>
      <c r="L44" s="198" t="s">
        <v>128</v>
      </c>
      <c r="M44" s="198" t="s">
        <v>128</v>
      </c>
      <c r="N44" s="197" t="s">
        <v>128</v>
      </c>
      <c r="O44" s="195">
        <v>1</v>
      </c>
      <c r="P44" s="45" t="s">
        <v>128</v>
      </c>
      <c r="Q44" s="45" t="s">
        <v>128</v>
      </c>
      <c r="R44" s="45" t="s">
        <v>128</v>
      </c>
      <c r="S44" s="45" t="s">
        <v>128</v>
      </c>
      <c r="T44" s="45" t="s">
        <v>128</v>
      </c>
      <c r="U44" s="45" t="s">
        <v>128</v>
      </c>
      <c r="V44" s="45" t="s">
        <v>128</v>
      </c>
      <c r="W44" s="45" t="s">
        <v>128</v>
      </c>
      <c r="X44" s="45" t="s">
        <v>128</v>
      </c>
      <c r="Y44" s="45" t="s">
        <v>128</v>
      </c>
      <c r="Z44" s="45" t="s">
        <v>128</v>
      </c>
      <c r="AA44" s="45" t="s">
        <v>128</v>
      </c>
      <c r="AB44" s="45" t="s">
        <v>128</v>
      </c>
      <c r="AC44" s="107" t="s">
        <v>128</v>
      </c>
      <c r="AD44" s="107" t="s">
        <v>128</v>
      </c>
      <c r="AE44" s="107" t="s">
        <v>128</v>
      </c>
      <c r="AF44" s="107" t="s">
        <v>128</v>
      </c>
      <c r="AG44" s="107" t="s">
        <v>128</v>
      </c>
      <c r="AH44" s="107" t="s">
        <v>128</v>
      </c>
      <c r="AI44" s="228"/>
      <c r="AJ44" s="228"/>
      <c r="AK44" s="228"/>
      <c r="AL44" s="228"/>
      <c r="AM44" s="228"/>
      <c r="AN44" s="228"/>
      <c r="AO44" s="228"/>
      <c r="AP44" s="228"/>
    </row>
    <row r="45" spans="1:42" s="48" customFormat="1" x14ac:dyDescent="0.2">
      <c r="A45" s="22"/>
      <c r="B45" s="22"/>
      <c r="C45" s="22"/>
      <c r="D45" s="22"/>
      <c r="E45" s="22"/>
      <c r="F45" s="22"/>
      <c r="G45" s="22"/>
      <c r="H45" s="22"/>
      <c r="I45" s="22"/>
      <c r="J45" s="36"/>
      <c r="K45" s="19">
        <v>0</v>
      </c>
      <c r="L45" s="198" t="s">
        <v>128</v>
      </c>
      <c r="M45" s="198" t="s">
        <v>128</v>
      </c>
      <c r="N45" s="197" t="s">
        <v>128</v>
      </c>
      <c r="O45" s="195">
        <v>1</v>
      </c>
      <c r="P45" s="45" t="s">
        <v>128</v>
      </c>
      <c r="Q45" s="45" t="s">
        <v>128</v>
      </c>
      <c r="R45" s="45" t="s">
        <v>128</v>
      </c>
      <c r="S45" s="45" t="s">
        <v>128</v>
      </c>
      <c r="T45" s="45" t="s">
        <v>128</v>
      </c>
      <c r="U45" s="45" t="s">
        <v>128</v>
      </c>
      <c r="V45" s="45" t="s">
        <v>128</v>
      </c>
      <c r="W45" s="45" t="s">
        <v>128</v>
      </c>
      <c r="X45" s="45" t="s">
        <v>128</v>
      </c>
      <c r="Y45" s="45" t="s">
        <v>128</v>
      </c>
      <c r="Z45" s="45" t="s">
        <v>128</v>
      </c>
      <c r="AA45" s="45" t="s">
        <v>128</v>
      </c>
      <c r="AB45" s="45" t="s">
        <v>128</v>
      </c>
      <c r="AC45" s="107" t="s">
        <v>128</v>
      </c>
      <c r="AD45" s="107" t="s">
        <v>128</v>
      </c>
      <c r="AE45" s="107" t="s">
        <v>128</v>
      </c>
      <c r="AF45" s="107" t="s">
        <v>128</v>
      </c>
      <c r="AG45" s="107" t="s">
        <v>128</v>
      </c>
      <c r="AH45" s="107" t="s">
        <v>128</v>
      </c>
      <c r="AI45" s="228"/>
      <c r="AJ45" s="228"/>
      <c r="AK45" s="228"/>
      <c r="AL45" s="228"/>
      <c r="AM45" s="228"/>
      <c r="AN45" s="228"/>
      <c r="AO45" s="228"/>
      <c r="AP45" s="228"/>
    </row>
    <row r="46" spans="1:42" s="48" customFormat="1" x14ac:dyDescent="0.2">
      <c r="A46" s="209"/>
      <c r="B46" s="8"/>
      <c r="C46" s="8"/>
      <c r="D46" s="8"/>
      <c r="E46" s="8"/>
      <c r="F46" s="8"/>
      <c r="G46" s="8"/>
      <c r="H46" s="8"/>
      <c r="I46" s="8"/>
      <c r="J46" s="37"/>
      <c r="K46" s="19">
        <v>0</v>
      </c>
      <c r="L46" s="198" t="s">
        <v>128</v>
      </c>
      <c r="M46" s="198" t="s">
        <v>128</v>
      </c>
      <c r="N46" s="197" t="s">
        <v>128</v>
      </c>
      <c r="O46" s="195">
        <v>1</v>
      </c>
      <c r="P46" s="45" t="s">
        <v>128</v>
      </c>
      <c r="Q46" s="45" t="s">
        <v>128</v>
      </c>
      <c r="R46" s="45" t="s">
        <v>128</v>
      </c>
      <c r="S46" s="45" t="s">
        <v>128</v>
      </c>
      <c r="T46" s="45" t="s">
        <v>128</v>
      </c>
      <c r="U46" s="45" t="s">
        <v>128</v>
      </c>
      <c r="V46" s="45" t="s">
        <v>128</v>
      </c>
      <c r="W46" s="45" t="s">
        <v>128</v>
      </c>
      <c r="X46" s="45" t="s">
        <v>128</v>
      </c>
      <c r="Y46" s="45" t="s">
        <v>128</v>
      </c>
      <c r="Z46" s="45" t="s">
        <v>128</v>
      </c>
      <c r="AA46" s="45" t="s">
        <v>128</v>
      </c>
      <c r="AB46" s="45" t="s">
        <v>128</v>
      </c>
      <c r="AC46" s="107" t="s">
        <v>128</v>
      </c>
      <c r="AD46" s="107" t="s">
        <v>128</v>
      </c>
      <c r="AE46" s="107" t="s">
        <v>128</v>
      </c>
      <c r="AF46" s="107" t="s">
        <v>128</v>
      </c>
      <c r="AG46" s="107" t="s">
        <v>128</v>
      </c>
      <c r="AH46" s="107" t="s">
        <v>128</v>
      </c>
      <c r="AI46" s="228"/>
      <c r="AJ46" s="228"/>
      <c r="AK46" s="228"/>
      <c r="AL46" s="228"/>
      <c r="AM46" s="228"/>
      <c r="AN46" s="228"/>
      <c r="AO46" s="228"/>
      <c r="AP46" s="228"/>
    </row>
    <row r="47" spans="1:42" s="48" customFormat="1" x14ac:dyDescent="0.2">
      <c r="A47" s="22"/>
      <c r="B47" s="22"/>
      <c r="C47" s="22"/>
      <c r="D47" s="22"/>
      <c r="E47" s="22"/>
      <c r="F47" s="22"/>
      <c r="G47" s="22"/>
      <c r="H47" s="22"/>
      <c r="I47" s="22"/>
      <c r="J47" s="36"/>
      <c r="K47" s="19">
        <v>0</v>
      </c>
      <c r="L47" s="198" t="s">
        <v>128</v>
      </c>
      <c r="M47" s="198" t="s">
        <v>128</v>
      </c>
      <c r="N47" s="197" t="s">
        <v>128</v>
      </c>
      <c r="O47" s="195">
        <v>1</v>
      </c>
      <c r="P47" s="45" t="s">
        <v>128</v>
      </c>
      <c r="Q47" s="45" t="s">
        <v>128</v>
      </c>
      <c r="R47" s="45" t="s">
        <v>128</v>
      </c>
      <c r="S47" s="45" t="s">
        <v>128</v>
      </c>
      <c r="T47" s="45" t="s">
        <v>128</v>
      </c>
      <c r="U47" s="45" t="s">
        <v>128</v>
      </c>
      <c r="V47" s="45" t="s">
        <v>128</v>
      </c>
      <c r="W47" s="45" t="s">
        <v>128</v>
      </c>
      <c r="X47" s="45" t="s">
        <v>128</v>
      </c>
      <c r="Y47" s="45" t="s">
        <v>128</v>
      </c>
      <c r="Z47" s="45" t="s">
        <v>128</v>
      </c>
      <c r="AA47" s="45" t="s">
        <v>128</v>
      </c>
      <c r="AB47" s="45" t="s">
        <v>128</v>
      </c>
      <c r="AC47" s="107" t="s">
        <v>128</v>
      </c>
      <c r="AD47" s="107" t="s">
        <v>128</v>
      </c>
      <c r="AE47" s="107" t="s">
        <v>128</v>
      </c>
      <c r="AF47" s="107" t="s">
        <v>128</v>
      </c>
      <c r="AG47" s="107" t="s">
        <v>128</v>
      </c>
      <c r="AH47" s="107" t="s">
        <v>128</v>
      </c>
      <c r="AI47" s="228"/>
      <c r="AJ47" s="228"/>
      <c r="AK47" s="228"/>
      <c r="AL47" s="228"/>
      <c r="AM47" s="228"/>
      <c r="AN47" s="228"/>
      <c r="AO47" s="228"/>
      <c r="AP47" s="228"/>
    </row>
    <row r="48" spans="1:42" s="48" customFormat="1" x14ac:dyDescent="0.2">
      <c r="A48" s="209"/>
      <c r="B48" s="8"/>
      <c r="C48" s="8"/>
      <c r="D48" s="8"/>
      <c r="E48" s="8"/>
      <c r="F48" s="8"/>
      <c r="G48" s="8"/>
      <c r="H48" s="8"/>
      <c r="I48" s="8"/>
      <c r="J48" s="37"/>
      <c r="K48" s="19">
        <v>0</v>
      </c>
      <c r="L48" s="198" t="s">
        <v>128</v>
      </c>
      <c r="M48" s="198" t="s">
        <v>128</v>
      </c>
      <c r="N48" s="197" t="s">
        <v>128</v>
      </c>
      <c r="O48" s="195">
        <v>1</v>
      </c>
      <c r="P48" s="45" t="s">
        <v>128</v>
      </c>
      <c r="Q48" s="45" t="s">
        <v>128</v>
      </c>
      <c r="R48" s="45" t="s">
        <v>128</v>
      </c>
      <c r="S48" s="45" t="s">
        <v>128</v>
      </c>
      <c r="T48" s="45" t="s">
        <v>128</v>
      </c>
      <c r="U48" s="45" t="s">
        <v>128</v>
      </c>
      <c r="V48" s="45" t="s">
        <v>128</v>
      </c>
      <c r="W48" s="45" t="s">
        <v>128</v>
      </c>
      <c r="X48" s="45" t="s">
        <v>128</v>
      </c>
      <c r="Y48" s="45" t="s">
        <v>128</v>
      </c>
      <c r="Z48" s="45" t="s">
        <v>128</v>
      </c>
      <c r="AA48" s="45" t="s">
        <v>128</v>
      </c>
      <c r="AB48" s="45" t="s">
        <v>128</v>
      </c>
      <c r="AC48" s="107" t="s">
        <v>128</v>
      </c>
      <c r="AD48" s="107" t="s">
        <v>128</v>
      </c>
      <c r="AE48" s="107" t="s">
        <v>128</v>
      </c>
      <c r="AF48" s="107" t="s">
        <v>128</v>
      </c>
      <c r="AG48" s="107" t="s">
        <v>128</v>
      </c>
      <c r="AH48" s="107" t="s">
        <v>128</v>
      </c>
      <c r="AI48" s="228"/>
      <c r="AJ48" s="228"/>
      <c r="AK48" s="228"/>
      <c r="AL48" s="228"/>
      <c r="AM48" s="228"/>
      <c r="AN48" s="228"/>
      <c r="AO48" s="228"/>
      <c r="AP48" s="228"/>
    </row>
    <row r="49" spans="1:42" s="48" customFormat="1" x14ac:dyDescent="0.2">
      <c r="A49" s="22"/>
      <c r="B49" s="22"/>
      <c r="C49" s="22"/>
      <c r="D49" s="22"/>
      <c r="E49" s="22"/>
      <c r="F49" s="22"/>
      <c r="G49" s="22"/>
      <c r="H49" s="22"/>
      <c r="I49" s="22"/>
      <c r="J49" s="36"/>
      <c r="K49" s="19">
        <v>0</v>
      </c>
      <c r="L49" s="198" t="s">
        <v>128</v>
      </c>
      <c r="M49" s="198" t="s">
        <v>128</v>
      </c>
      <c r="N49" s="197" t="s">
        <v>128</v>
      </c>
      <c r="O49" s="195">
        <v>1</v>
      </c>
      <c r="P49" s="45" t="s">
        <v>128</v>
      </c>
      <c r="Q49" s="45" t="s">
        <v>128</v>
      </c>
      <c r="R49" s="45" t="s">
        <v>128</v>
      </c>
      <c r="S49" s="45" t="s">
        <v>128</v>
      </c>
      <c r="T49" s="45" t="s">
        <v>128</v>
      </c>
      <c r="U49" s="45" t="s">
        <v>128</v>
      </c>
      <c r="V49" s="45" t="s">
        <v>128</v>
      </c>
      <c r="W49" s="45" t="s">
        <v>128</v>
      </c>
      <c r="X49" s="45" t="s">
        <v>128</v>
      </c>
      <c r="Y49" s="45" t="s">
        <v>128</v>
      </c>
      <c r="Z49" s="45" t="s">
        <v>128</v>
      </c>
      <c r="AA49" s="45" t="s">
        <v>128</v>
      </c>
      <c r="AB49" s="45" t="s">
        <v>128</v>
      </c>
      <c r="AC49" s="107" t="s">
        <v>128</v>
      </c>
      <c r="AD49" s="107" t="s">
        <v>128</v>
      </c>
      <c r="AE49" s="107" t="s">
        <v>128</v>
      </c>
      <c r="AF49" s="107" t="s">
        <v>128</v>
      </c>
      <c r="AG49" s="107" t="s">
        <v>128</v>
      </c>
      <c r="AH49" s="107" t="s">
        <v>128</v>
      </c>
      <c r="AI49" s="228"/>
      <c r="AJ49" s="228"/>
      <c r="AK49" s="228"/>
      <c r="AL49" s="228"/>
      <c r="AM49" s="228"/>
      <c r="AN49" s="228"/>
      <c r="AO49" s="228"/>
      <c r="AP49" s="228"/>
    </row>
    <row r="50" spans="1:42" s="48" customFormat="1" x14ac:dyDescent="0.2">
      <c r="A50" s="209"/>
      <c r="B50" s="8"/>
      <c r="C50" s="8"/>
      <c r="D50" s="8"/>
      <c r="E50" s="8"/>
      <c r="F50" s="8"/>
      <c r="G50" s="8"/>
      <c r="H50" s="8"/>
      <c r="I50" s="8"/>
      <c r="J50" s="37"/>
      <c r="K50" s="19">
        <v>0</v>
      </c>
      <c r="L50" s="198" t="s">
        <v>128</v>
      </c>
      <c r="M50" s="198" t="s">
        <v>128</v>
      </c>
      <c r="N50" s="197" t="s">
        <v>128</v>
      </c>
      <c r="O50" s="195">
        <v>1</v>
      </c>
      <c r="P50" s="45" t="s">
        <v>128</v>
      </c>
      <c r="Q50" s="45" t="s">
        <v>128</v>
      </c>
      <c r="R50" s="45" t="s">
        <v>128</v>
      </c>
      <c r="S50" s="45" t="s">
        <v>128</v>
      </c>
      <c r="T50" s="45" t="s">
        <v>128</v>
      </c>
      <c r="U50" s="45" t="s">
        <v>128</v>
      </c>
      <c r="V50" s="45" t="s">
        <v>128</v>
      </c>
      <c r="W50" s="45" t="s">
        <v>128</v>
      </c>
      <c r="X50" s="45" t="s">
        <v>128</v>
      </c>
      <c r="Y50" s="45" t="s">
        <v>128</v>
      </c>
      <c r="Z50" s="45" t="s">
        <v>128</v>
      </c>
      <c r="AA50" s="45" t="s">
        <v>128</v>
      </c>
      <c r="AB50" s="45" t="s">
        <v>128</v>
      </c>
      <c r="AC50" s="107" t="s">
        <v>128</v>
      </c>
      <c r="AD50" s="107" t="s">
        <v>128</v>
      </c>
      <c r="AE50" s="107" t="s">
        <v>128</v>
      </c>
      <c r="AF50" s="107" t="s">
        <v>128</v>
      </c>
      <c r="AG50" s="107" t="s">
        <v>128</v>
      </c>
      <c r="AH50" s="107" t="s">
        <v>128</v>
      </c>
      <c r="AI50" s="228"/>
      <c r="AJ50" s="228"/>
      <c r="AK50" s="228"/>
      <c r="AL50" s="228"/>
      <c r="AM50" s="228"/>
      <c r="AN50" s="228"/>
      <c r="AO50" s="228"/>
      <c r="AP50" s="228"/>
    </row>
    <row r="51" spans="1:42" s="48" customFormat="1" x14ac:dyDescent="0.2">
      <c r="A51" s="22"/>
      <c r="B51" s="22"/>
      <c r="C51" s="22"/>
      <c r="D51" s="22"/>
      <c r="E51" s="22"/>
      <c r="F51" s="22"/>
      <c r="G51" s="22"/>
      <c r="H51" s="22"/>
      <c r="I51" s="22"/>
      <c r="J51" s="36"/>
      <c r="K51" s="19">
        <v>0</v>
      </c>
      <c r="L51" s="198" t="s">
        <v>128</v>
      </c>
      <c r="M51" s="198" t="s">
        <v>128</v>
      </c>
      <c r="N51" s="197" t="s">
        <v>128</v>
      </c>
      <c r="O51" s="195">
        <v>1</v>
      </c>
      <c r="P51" s="45" t="s">
        <v>128</v>
      </c>
      <c r="Q51" s="45" t="s">
        <v>128</v>
      </c>
      <c r="R51" s="45" t="s">
        <v>128</v>
      </c>
      <c r="S51" s="45" t="s">
        <v>128</v>
      </c>
      <c r="T51" s="45" t="s">
        <v>128</v>
      </c>
      <c r="U51" s="45" t="s">
        <v>128</v>
      </c>
      <c r="V51" s="45" t="s">
        <v>128</v>
      </c>
      <c r="W51" s="45" t="s">
        <v>128</v>
      </c>
      <c r="X51" s="45" t="s">
        <v>128</v>
      </c>
      <c r="Y51" s="45" t="s">
        <v>128</v>
      </c>
      <c r="Z51" s="45" t="s">
        <v>128</v>
      </c>
      <c r="AA51" s="45" t="s">
        <v>128</v>
      </c>
      <c r="AB51" s="45" t="s">
        <v>128</v>
      </c>
      <c r="AC51" s="107" t="s">
        <v>128</v>
      </c>
      <c r="AD51" s="107" t="s">
        <v>128</v>
      </c>
      <c r="AE51" s="107" t="s">
        <v>128</v>
      </c>
      <c r="AF51" s="107" t="s">
        <v>128</v>
      </c>
      <c r="AG51" s="107" t="s">
        <v>128</v>
      </c>
      <c r="AH51" s="107" t="s">
        <v>128</v>
      </c>
      <c r="AI51" s="228"/>
      <c r="AJ51" s="228"/>
      <c r="AK51" s="228"/>
      <c r="AL51" s="228"/>
      <c r="AM51" s="228"/>
      <c r="AN51" s="228"/>
      <c r="AO51" s="228"/>
      <c r="AP51" s="228"/>
    </row>
    <row r="52" spans="1:42" s="48" customFormat="1" x14ac:dyDescent="0.2">
      <c r="A52" s="209"/>
      <c r="B52" s="8"/>
      <c r="C52" s="8"/>
      <c r="D52" s="8"/>
      <c r="E52" s="8"/>
      <c r="F52" s="8"/>
      <c r="G52" s="8"/>
      <c r="H52" s="8"/>
      <c r="I52" s="8"/>
      <c r="J52" s="37"/>
      <c r="K52" s="19">
        <v>0</v>
      </c>
      <c r="L52" s="198" t="s">
        <v>128</v>
      </c>
      <c r="M52" s="198" t="s">
        <v>128</v>
      </c>
      <c r="N52" s="197" t="s">
        <v>128</v>
      </c>
      <c r="O52" s="195">
        <v>1</v>
      </c>
      <c r="P52" s="45" t="s">
        <v>128</v>
      </c>
      <c r="Q52" s="45" t="s">
        <v>128</v>
      </c>
      <c r="R52" s="45" t="s">
        <v>128</v>
      </c>
      <c r="S52" s="45" t="s">
        <v>128</v>
      </c>
      <c r="T52" s="45" t="s">
        <v>128</v>
      </c>
      <c r="U52" s="45" t="s">
        <v>128</v>
      </c>
      <c r="V52" s="45" t="s">
        <v>128</v>
      </c>
      <c r="W52" s="45" t="s">
        <v>128</v>
      </c>
      <c r="X52" s="45" t="s">
        <v>128</v>
      </c>
      <c r="Y52" s="45" t="s">
        <v>128</v>
      </c>
      <c r="Z52" s="45" t="s">
        <v>128</v>
      </c>
      <c r="AA52" s="45" t="s">
        <v>128</v>
      </c>
      <c r="AB52" s="45" t="s">
        <v>128</v>
      </c>
      <c r="AC52" s="107" t="s">
        <v>128</v>
      </c>
      <c r="AD52" s="107" t="s">
        <v>128</v>
      </c>
      <c r="AE52" s="107" t="s">
        <v>128</v>
      </c>
      <c r="AF52" s="107" t="s">
        <v>128</v>
      </c>
      <c r="AG52" s="107" t="s">
        <v>128</v>
      </c>
      <c r="AH52" s="107" t="s">
        <v>128</v>
      </c>
      <c r="AI52" s="228"/>
      <c r="AJ52" s="228"/>
      <c r="AK52" s="228"/>
      <c r="AL52" s="228"/>
      <c r="AM52" s="228"/>
      <c r="AN52" s="228"/>
      <c r="AO52" s="228"/>
      <c r="AP52" s="228"/>
    </row>
    <row r="53" spans="1:42" s="48" customFormat="1" x14ac:dyDescent="0.2">
      <c r="A53" s="22"/>
      <c r="B53" s="22"/>
      <c r="C53" s="22"/>
      <c r="D53" s="22"/>
      <c r="E53" s="22"/>
      <c r="F53" s="22"/>
      <c r="G53" s="22"/>
      <c r="H53" s="22"/>
      <c r="I53" s="22"/>
      <c r="J53" s="36"/>
      <c r="K53" s="19">
        <v>0</v>
      </c>
      <c r="L53" s="198" t="s">
        <v>128</v>
      </c>
      <c r="M53" s="198" t="s">
        <v>128</v>
      </c>
      <c r="N53" s="197" t="s">
        <v>128</v>
      </c>
      <c r="O53" s="195">
        <v>1</v>
      </c>
      <c r="P53" s="45" t="s">
        <v>128</v>
      </c>
      <c r="Q53" s="45" t="s">
        <v>128</v>
      </c>
      <c r="R53" s="45" t="s">
        <v>128</v>
      </c>
      <c r="S53" s="45" t="s">
        <v>128</v>
      </c>
      <c r="T53" s="45" t="s">
        <v>128</v>
      </c>
      <c r="U53" s="45" t="s">
        <v>128</v>
      </c>
      <c r="V53" s="45" t="s">
        <v>128</v>
      </c>
      <c r="W53" s="45" t="s">
        <v>128</v>
      </c>
      <c r="X53" s="45" t="s">
        <v>128</v>
      </c>
      <c r="Y53" s="45" t="s">
        <v>128</v>
      </c>
      <c r="Z53" s="45" t="s">
        <v>128</v>
      </c>
      <c r="AA53" s="45" t="s">
        <v>128</v>
      </c>
      <c r="AB53" s="45" t="s">
        <v>128</v>
      </c>
      <c r="AC53" s="107" t="s">
        <v>128</v>
      </c>
      <c r="AD53" s="107" t="s">
        <v>128</v>
      </c>
      <c r="AE53" s="107" t="s">
        <v>128</v>
      </c>
      <c r="AF53" s="107" t="s">
        <v>128</v>
      </c>
      <c r="AG53" s="107" t="s">
        <v>128</v>
      </c>
      <c r="AH53" s="107" t="s">
        <v>128</v>
      </c>
      <c r="AI53" s="228"/>
      <c r="AJ53" s="228"/>
      <c r="AK53" s="228"/>
      <c r="AL53" s="228"/>
      <c r="AM53" s="228"/>
      <c r="AN53" s="228"/>
      <c r="AO53" s="228"/>
      <c r="AP53" s="228"/>
    </row>
    <row r="54" spans="1:42" s="48" customFormat="1" x14ac:dyDescent="0.2">
      <c r="A54" s="209"/>
      <c r="B54" s="8"/>
      <c r="C54" s="8"/>
      <c r="D54" s="8"/>
      <c r="E54" s="8"/>
      <c r="F54" s="8"/>
      <c r="G54" s="8"/>
      <c r="H54" s="8"/>
      <c r="I54" s="8"/>
      <c r="J54" s="37"/>
      <c r="K54" s="19">
        <v>0</v>
      </c>
      <c r="L54" s="198" t="s">
        <v>128</v>
      </c>
      <c r="M54" s="198" t="s">
        <v>128</v>
      </c>
      <c r="N54" s="197" t="s">
        <v>128</v>
      </c>
      <c r="O54" s="195">
        <v>1</v>
      </c>
      <c r="P54" s="45" t="s">
        <v>128</v>
      </c>
      <c r="Q54" s="45" t="s">
        <v>128</v>
      </c>
      <c r="R54" s="45" t="s">
        <v>128</v>
      </c>
      <c r="S54" s="45" t="s">
        <v>128</v>
      </c>
      <c r="T54" s="45" t="s">
        <v>128</v>
      </c>
      <c r="U54" s="45" t="s">
        <v>128</v>
      </c>
      <c r="V54" s="45" t="s">
        <v>128</v>
      </c>
      <c r="W54" s="45" t="s">
        <v>128</v>
      </c>
      <c r="X54" s="45" t="s">
        <v>128</v>
      </c>
      <c r="Y54" s="45" t="s">
        <v>128</v>
      </c>
      <c r="Z54" s="45" t="s">
        <v>128</v>
      </c>
      <c r="AA54" s="45" t="s">
        <v>128</v>
      </c>
      <c r="AB54" s="45" t="s">
        <v>128</v>
      </c>
      <c r="AC54" s="107" t="s">
        <v>128</v>
      </c>
      <c r="AD54" s="107" t="s">
        <v>128</v>
      </c>
      <c r="AE54" s="107" t="s">
        <v>128</v>
      </c>
      <c r="AF54" s="107" t="s">
        <v>128</v>
      </c>
      <c r="AG54" s="107" t="s">
        <v>128</v>
      </c>
      <c r="AH54" s="107" t="s">
        <v>128</v>
      </c>
      <c r="AI54" s="228"/>
      <c r="AJ54" s="228"/>
      <c r="AK54" s="228"/>
      <c r="AL54" s="228"/>
      <c r="AM54" s="228"/>
      <c r="AN54" s="228"/>
      <c r="AO54" s="228"/>
      <c r="AP54" s="228"/>
    </row>
    <row r="55" spans="1:42" s="48" customFormat="1" x14ac:dyDescent="0.2">
      <c r="A55" s="22"/>
      <c r="B55" s="22"/>
      <c r="C55" s="22"/>
      <c r="D55" s="22"/>
      <c r="E55" s="22"/>
      <c r="F55" s="22"/>
      <c r="G55" s="22"/>
      <c r="H55" s="22"/>
      <c r="I55" s="22"/>
      <c r="J55" s="36"/>
      <c r="K55" s="19">
        <v>0</v>
      </c>
      <c r="L55" s="198" t="s">
        <v>128</v>
      </c>
      <c r="M55" s="198" t="s">
        <v>128</v>
      </c>
      <c r="N55" s="197" t="s">
        <v>128</v>
      </c>
      <c r="O55" s="195">
        <v>1</v>
      </c>
      <c r="P55" s="45" t="s">
        <v>128</v>
      </c>
      <c r="Q55" s="45" t="s">
        <v>128</v>
      </c>
      <c r="R55" s="45" t="s">
        <v>128</v>
      </c>
      <c r="S55" s="45" t="s">
        <v>128</v>
      </c>
      <c r="T55" s="45" t="s">
        <v>128</v>
      </c>
      <c r="U55" s="45" t="s">
        <v>128</v>
      </c>
      <c r="V55" s="45" t="s">
        <v>128</v>
      </c>
      <c r="W55" s="45" t="s">
        <v>128</v>
      </c>
      <c r="X55" s="45" t="s">
        <v>128</v>
      </c>
      <c r="Y55" s="45" t="s">
        <v>128</v>
      </c>
      <c r="Z55" s="45" t="s">
        <v>128</v>
      </c>
      <c r="AA55" s="45" t="s">
        <v>128</v>
      </c>
      <c r="AB55" s="45" t="s">
        <v>128</v>
      </c>
      <c r="AC55" s="107" t="s">
        <v>128</v>
      </c>
      <c r="AD55" s="107" t="s">
        <v>128</v>
      </c>
      <c r="AE55" s="107" t="s">
        <v>128</v>
      </c>
      <c r="AF55" s="107" t="s">
        <v>128</v>
      </c>
      <c r="AG55" s="107" t="s">
        <v>128</v>
      </c>
      <c r="AH55" s="107" t="s">
        <v>128</v>
      </c>
      <c r="AI55" s="228"/>
      <c r="AJ55" s="228"/>
      <c r="AK55" s="228"/>
      <c r="AL55" s="228"/>
      <c r="AM55" s="228"/>
      <c r="AN55" s="228"/>
      <c r="AO55" s="228"/>
      <c r="AP55" s="228"/>
    </row>
    <row r="56" spans="1:42" s="48" customFormat="1" x14ac:dyDescent="0.2">
      <c r="A56" s="209"/>
      <c r="B56" s="8"/>
      <c r="C56" s="8"/>
      <c r="D56" s="8"/>
      <c r="E56" s="8"/>
      <c r="F56" s="8"/>
      <c r="G56" s="8"/>
      <c r="H56" s="8"/>
      <c r="I56" s="8"/>
      <c r="J56" s="37"/>
      <c r="K56" s="19">
        <v>0</v>
      </c>
      <c r="L56" s="198" t="s">
        <v>128</v>
      </c>
      <c r="M56" s="198" t="s">
        <v>128</v>
      </c>
      <c r="N56" s="197" t="s">
        <v>128</v>
      </c>
      <c r="O56" s="195">
        <v>1</v>
      </c>
      <c r="P56" s="45" t="s">
        <v>128</v>
      </c>
      <c r="Q56" s="45" t="s">
        <v>128</v>
      </c>
      <c r="R56" s="45" t="s">
        <v>128</v>
      </c>
      <c r="S56" s="45" t="s">
        <v>128</v>
      </c>
      <c r="T56" s="45" t="s">
        <v>128</v>
      </c>
      <c r="U56" s="45" t="s">
        <v>128</v>
      </c>
      <c r="V56" s="45" t="s">
        <v>128</v>
      </c>
      <c r="W56" s="45" t="s">
        <v>128</v>
      </c>
      <c r="X56" s="45" t="s">
        <v>128</v>
      </c>
      <c r="Y56" s="45" t="s">
        <v>128</v>
      </c>
      <c r="Z56" s="45" t="s">
        <v>128</v>
      </c>
      <c r="AA56" s="45" t="s">
        <v>128</v>
      </c>
      <c r="AB56" s="45" t="s">
        <v>128</v>
      </c>
      <c r="AC56" s="107" t="s">
        <v>128</v>
      </c>
      <c r="AD56" s="107" t="s">
        <v>128</v>
      </c>
      <c r="AE56" s="107" t="s">
        <v>128</v>
      </c>
      <c r="AF56" s="107" t="s">
        <v>128</v>
      </c>
      <c r="AG56" s="107" t="s">
        <v>128</v>
      </c>
      <c r="AH56" s="107" t="s">
        <v>128</v>
      </c>
      <c r="AI56" s="228"/>
      <c r="AJ56" s="228"/>
      <c r="AK56" s="228"/>
      <c r="AL56" s="228"/>
      <c r="AM56" s="228"/>
      <c r="AN56" s="228"/>
      <c r="AO56" s="228"/>
      <c r="AP56" s="228"/>
    </row>
    <row r="57" spans="1:42" s="48" customFormat="1" x14ac:dyDescent="0.2">
      <c r="A57" s="22"/>
      <c r="B57" s="22"/>
      <c r="C57" s="22"/>
      <c r="D57" s="22"/>
      <c r="E57" s="22"/>
      <c r="F57" s="22"/>
      <c r="G57" s="22"/>
      <c r="H57" s="22"/>
      <c r="I57" s="22"/>
      <c r="J57" s="36"/>
      <c r="K57" s="19">
        <v>0</v>
      </c>
      <c r="L57" s="198" t="s">
        <v>128</v>
      </c>
      <c r="M57" s="198" t="s">
        <v>128</v>
      </c>
      <c r="N57" s="197" t="s">
        <v>128</v>
      </c>
      <c r="O57" s="195">
        <v>1</v>
      </c>
      <c r="P57" s="45" t="s">
        <v>128</v>
      </c>
      <c r="Q57" s="45" t="s">
        <v>128</v>
      </c>
      <c r="R57" s="45" t="s">
        <v>128</v>
      </c>
      <c r="S57" s="45" t="s">
        <v>128</v>
      </c>
      <c r="T57" s="45" t="s">
        <v>128</v>
      </c>
      <c r="U57" s="45" t="s">
        <v>128</v>
      </c>
      <c r="V57" s="45" t="s">
        <v>128</v>
      </c>
      <c r="W57" s="45" t="s">
        <v>128</v>
      </c>
      <c r="X57" s="45" t="s">
        <v>128</v>
      </c>
      <c r="Y57" s="45" t="s">
        <v>128</v>
      </c>
      <c r="Z57" s="45" t="s">
        <v>128</v>
      </c>
      <c r="AA57" s="45" t="s">
        <v>128</v>
      </c>
      <c r="AB57" s="45" t="s">
        <v>128</v>
      </c>
      <c r="AC57" s="107" t="s">
        <v>128</v>
      </c>
      <c r="AD57" s="107" t="s">
        <v>128</v>
      </c>
      <c r="AE57" s="107" t="s">
        <v>128</v>
      </c>
      <c r="AF57" s="107" t="s">
        <v>128</v>
      </c>
      <c r="AG57" s="107" t="s">
        <v>128</v>
      </c>
      <c r="AH57" s="107" t="s">
        <v>128</v>
      </c>
      <c r="AI57" s="228"/>
      <c r="AJ57" s="228"/>
      <c r="AK57" s="228"/>
      <c r="AL57" s="228"/>
      <c r="AM57" s="228"/>
      <c r="AN57" s="228"/>
      <c r="AO57" s="228"/>
      <c r="AP57" s="228"/>
    </row>
    <row r="58" spans="1:42" s="48" customFormat="1" x14ac:dyDescent="0.2">
      <c r="A58" s="209"/>
      <c r="B58" s="8"/>
      <c r="C58" s="8"/>
      <c r="D58" s="8"/>
      <c r="E58" s="8"/>
      <c r="F58" s="8"/>
      <c r="G58" s="8"/>
      <c r="H58" s="8"/>
      <c r="I58" s="8"/>
      <c r="J58" s="37"/>
      <c r="K58" s="19">
        <v>0</v>
      </c>
      <c r="L58" s="198" t="s">
        <v>128</v>
      </c>
      <c r="M58" s="198" t="s">
        <v>128</v>
      </c>
      <c r="N58" s="197" t="s">
        <v>128</v>
      </c>
      <c r="O58" s="195">
        <v>1</v>
      </c>
      <c r="P58" s="45" t="s">
        <v>128</v>
      </c>
      <c r="Q58" s="45" t="s">
        <v>128</v>
      </c>
      <c r="R58" s="45" t="s">
        <v>128</v>
      </c>
      <c r="S58" s="45" t="s">
        <v>128</v>
      </c>
      <c r="T58" s="45" t="s">
        <v>128</v>
      </c>
      <c r="U58" s="45" t="s">
        <v>128</v>
      </c>
      <c r="V58" s="45" t="s">
        <v>128</v>
      </c>
      <c r="W58" s="45" t="s">
        <v>128</v>
      </c>
      <c r="X58" s="45" t="s">
        <v>128</v>
      </c>
      <c r="Y58" s="45" t="s">
        <v>128</v>
      </c>
      <c r="Z58" s="45" t="s">
        <v>128</v>
      </c>
      <c r="AA58" s="45" t="s">
        <v>128</v>
      </c>
      <c r="AB58" s="45" t="s">
        <v>128</v>
      </c>
      <c r="AC58" s="107" t="s">
        <v>128</v>
      </c>
      <c r="AD58" s="107" t="s">
        <v>128</v>
      </c>
      <c r="AE58" s="107" t="s">
        <v>128</v>
      </c>
      <c r="AF58" s="107" t="s">
        <v>128</v>
      </c>
      <c r="AG58" s="107" t="s">
        <v>128</v>
      </c>
      <c r="AH58" s="107" t="s">
        <v>128</v>
      </c>
      <c r="AI58" s="228"/>
      <c r="AJ58" s="228"/>
      <c r="AK58" s="228"/>
      <c r="AL58" s="228"/>
      <c r="AM58" s="228"/>
      <c r="AN58" s="228"/>
      <c r="AO58" s="228"/>
      <c r="AP58" s="228"/>
    </row>
    <row r="59" spans="1:42" s="48" customFormat="1" x14ac:dyDescent="0.2">
      <c r="A59" s="22"/>
      <c r="B59" s="22"/>
      <c r="C59" s="22"/>
      <c r="D59" s="22"/>
      <c r="E59" s="22"/>
      <c r="F59" s="22"/>
      <c r="G59" s="22"/>
      <c r="H59" s="22"/>
      <c r="I59" s="22"/>
      <c r="J59" s="36"/>
      <c r="K59" s="19">
        <v>0</v>
      </c>
      <c r="L59" s="198" t="s">
        <v>128</v>
      </c>
      <c r="M59" s="198" t="s">
        <v>128</v>
      </c>
      <c r="N59" s="197" t="s">
        <v>128</v>
      </c>
      <c r="O59" s="195">
        <v>1</v>
      </c>
      <c r="P59" s="45" t="s">
        <v>128</v>
      </c>
      <c r="Q59" s="45" t="s">
        <v>128</v>
      </c>
      <c r="R59" s="45" t="s">
        <v>128</v>
      </c>
      <c r="S59" s="45" t="s">
        <v>128</v>
      </c>
      <c r="T59" s="45" t="s">
        <v>128</v>
      </c>
      <c r="U59" s="45" t="s">
        <v>128</v>
      </c>
      <c r="V59" s="45" t="s">
        <v>128</v>
      </c>
      <c r="W59" s="45" t="s">
        <v>128</v>
      </c>
      <c r="X59" s="45" t="s">
        <v>128</v>
      </c>
      <c r="Y59" s="45" t="s">
        <v>128</v>
      </c>
      <c r="Z59" s="45" t="s">
        <v>128</v>
      </c>
      <c r="AA59" s="45" t="s">
        <v>128</v>
      </c>
      <c r="AB59" s="45" t="s">
        <v>128</v>
      </c>
      <c r="AC59" s="107" t="s">
        <v>128</v>
      </c>
      <c r="AD59" s="107" t="s">
        <v>128</v>
      </c>
      <c r="AE59" s="107" t="s">
        <v>128</v>
      </c>
      <c r="AF59" s="107" t="s">
        <v>128</v>
      </c>
      <c r="AG59" s="107" t="s">
        <v>128</v>
      </c>
      <c r="AH59" s="107" t="s">
        <v>128</v>
      </c>
      <c r="AI59" s="228"/>
      <c r="AJ59" s="228"/>
      <c r="AK59" s="228"/>
      <c r="AL59" s="228"/>
      <c r="AM59" s="228"/>
      <c r="AN59" s="228"/>
      <c r="AO59" s="228"/>
      <c r="AP59" s="228"/>
    </row>
    <row r="60" spans="1:42" s="48" customFormat="1" x14ac:dyDescent="0.2">
      <c r="A60" s="209"/>
      <c r="B60" s="8"/>
      <c r="C60" s="8"/>
      <c r="D60" s="8"/>
      <c r="E60" s="8"/>
      <c r="F60" s="8"/>
      <c r="G60" s="8"/>
      <c r="H60" s="8"/>
      <c r="I60" s="8"/>
      <c r="J60" s="37"/>
      <c r="K60" s="19">
        <v>0</v>
      </c>
      <c r="L60" s="198" t="s">
        <v>128</v>
      </c>
      <c r="M60" s="198" t="s">
        <v>128</v>
      </c>
      <c r="N60" s="197" t="s">
        <v>128</v>
      </c>
      <c r="O60" s="195">
        <v>1</v>
      </c>
      <c r="P60" s="45" t="s">
        <v>128</v>
      </c>
      <c r="Q60" s="45" t="s">
        <v>128</v>
      </c>
      <c r="R60" s="45" t="s">
        <v>128</v>
      </c>
      <c r="S60" s="45" t="s">
        <v>128</v>
      </c>
      <c r="T60" s="45" t="s">
        <v>128</v>
      </c>
      <c r="U60" s="45" t="s">
        <v>128</v>
      </c>
      <c r="V60" s="45" t="s">
        <v>128</v>
      </c>
      <c r="W60" s="45" t="s">
        <v>128</v>
      </c>
      <c r="X60" s="45" t="s">
        <v>128</v>
      </c>
      <c r="Y60" s="45" t="s">
        <v>128</v>
      </c>
      <c r="Z60" s="45" t="s">
        <v>128</v>
      </c>
      <c r="AA60" s="45" t="s">
        <v>128</v>
      </c>
      <c r="AB60" s="45" t="s">
        <v>128</v>
      </c>
      <c r="AC60" s="107" t="s">
        <v>128</v>
      </c>
      <c r="AD60" s="107" t="s">
        <v>128</v>
      </c>
      <c r="AE60" s="107" t="s">
        <v>128</v>
      </c>
      <c r="AF60" s="107" t="s">
        <v>128</v>
      </c>
      <c r="AG60" s="107" t="s">
        <v>128</v>
      </c>
      <c r="AH60" s="107" t="s">
        <v>128</v>
      </c>
      <c r="AI60" s="228"/>
      <c r="AJ60" s="228"/>
      <c r="AK60" s="228"/>
      <c r="AL60" s="228"/>
      <c r="AM60" s="228"/>
      <c r="AN60" s="228"/>
      <c r="AO60" s="228"/>
      <c r="AP60" s="228"/>
    </row>
    <row r="61" spans="1:42" s="48" customFormat="1" x14ac:dyDescent="0.2">
      <c r="A61" s="22"/>
      <c r="B61" s="22"/>
      <c r="C61" s="22"/>
      <c r="D61" s="22"/>
      <c r="E61" s="22"/>
      <c r="F61" s="22"/>
      <c r="G61" s="22"/>
      <c r="H61" s="22"/>
      <c r="I61" s="22"/>
      <c r="J61" s="36"/>
      <c r="K61" s="19">
        <v>0</v>
      </c>
      <c r="L61" s="198" t="s">
        <v>128</v>
      </c>
      <c r="M61" s="198" t="s">
        <v>128</v>
      </c>
      <c r="N61" s="197" t="s">
        <v>128</v>
      </c>
      <c r="O61" s="195">
        <v>1</v>
      </c>
      <c r="P61" s="45" t="s">
        <v>128</v>
      </c>
      <c r="Q61" s="45" t="s">
        <v>128</v>
      </c>
      <c r="R61" s="45" t="s">
        <v>128</v>
      </c>
      <c r="S61" s="45" t="s">
        <v>128</v>
      </c>
      <c r="T61" s="45" t="s">
        <v>128</v>
      </c>
      <c r="U61" s="45" t="s">
        <v>128</v>
      </c>
      <c r="V61" s="45" t="s">
        <v>128</v>
      </c>
      <c r="W61" s="45" t="s">
        <v>128</v>
      </c>
      <c r="X61" s="45" t="s">
        <v>128</v>
      </c>
      <c r="Y61" s="45" t="s">
        <v>128</v>
      </c>
      <c r="Z61" s="45" t="s">
        <v>128</v>
      </c>
      <c r="AA61" s="45" t="s">
        <v>128</v>
      </c>
      <c r="AB61" s="45" t="s">
        <v>128</v>
      </c>
      <c r="AC61" s="107" t="s">
        <v>128</v>
      </c>
      <c r="AD61" s="107" t="s">
        <v>128</v>
      </c>
      <c r="AE61" s="107" t="s">
        <v>128</v>
      </c>
      <c r="AF61" s="107" t="s">
        <v>128</v>
      </c>
      <c r="AG61" s="107" t="s">
        <v>128</v>
      </c>
      <c r="AH61" s="107" t="s">
        <v>128</v>
      </c>
      <c r="AI61" s="228"/>
      <c r="AJ61" s="228"/>
      <c r="AK61" s="228"/>
      <c r="AL61" s="228"/>
      <c r="AM61" s="228"/>
      <c r="AN61" s="228"/>
      <c r="AO61" s="228"/>
      <c r="AP61" s="228"/>
    </row>
    <row r="62" spans="1:42" x14ac:dyDescent="0.2">
      <c r="A62" s="209"/>
      <c r="C62" s="8"/>
      <c r="D62" s="8"/>
      <c r="E62" s="8"/>
      <c r="F62" s="8"/>
      <c r="G62" s="8"/>
      <c r="H62" s="8"/>
      <c r="I62" s="8"/>
      <c r="J62" s="37"/>
      <c r="K62" s="19"/>
      <c r="L62" s="33"/>
      <c r="M62" s="19"/>
      <c r="N62"/>
      <c r="O62"/>
      <c r="P62"/>
      <c r="Q62"/>
      <c r="R62"/>
      <c r="S62"/>
      <c r="T62"/>
      <c r="U62"/>
      <c r="V62"/>
      <c r="W62"/>
      <c r="X62"/>
      <c r="Y62"/>
      <c r="Z62"/>
      <c r="AA62"/>
      <c r="AB62"/>
      <c r="AC62"/>
    </row>
    <row r="63" spans="1:42" s="8" customFormat="1" x14ac:dyDescent="0.2">
      <c r="C63" s="366" t="s">
        <v>83</v>
      </c>
      <c r="D63" s="366"/>
      <c r="E63" s="43" t="s">
        <v>4</v>
      </c>
      <c r="F63" s="1"/>
      <c r="G63" s="1"/>
      <c r="H63" s="285" t="s">
        <v>741</v>
      </c>
      <c r="I63" s="30">
        <f>SUM(O2:O61)</f>
        <v>60</v>
      </c>
      <c r="J63" s="20">
        <f>SUM(J2:J61)</f>
        <v>0</v>
      </c>
      <c r="K63" s="24">
        <f>SUM(P63:AH63)</f>
        <v>1</v>
      </c>
      <c r="L63" s="1"/>
      <c r="M63" s="1"/>
      <c r="N63" s="21"/>
      <c r="P63" s="271">
        <v>0.03</v>
      </c>
      <c r="Q63" s="209"/>
      <c r="R63" s="271">
        <v>0.1</v>
      </c>
      <c r="S63" s="209"/>
      <c r="T63" s="436">
        <v>0.3</v>
      </c>
      <c r="U63" s="438"/>
      <c r="V63" s="438"/>
      <c r="W63" s="436">
        <v>0.3</v>
      </c>
      <c r="X63" s="438"/>
      <c r="Y63" s="438"/>
      <c r="Z63" s="436">
        <v>0.1</v>
      </c>
      <c r="AA63" s="438"/>
      <c r="AB63" s="438"/>
      <c r="AC63" s="436">
        <v>0.12</v>
      </c>
      <c r="AD63" s="438"/>
      <c r="AE63" s="438"/>
      <c r="AF63" s="436">
        <v>0.05</v>
      </c>
      <c r="AG63" s="438"/>
      <c r="AH63" s="438"/>
    </row>
    <row r="64" spans="1:42" x14ac:dyDescent="0.2">
      <c r="C64" s="23" t="s">
        <v>24</v>
      </c>
      <c r="D64" s="8">
        <f t="shared" ref="D64:D70" si="0">SUMIF($E$2:$E$61,C64,$O$2:$O$61)</f>
        <v>0</v>
      </c>
      <c r="E64" s="23" t="s">
        <v>29</v>
      </c>
      <c r="F64" s="8">
        <f>SUMIF($C$2:$C$61,E64,$O$2:$O$61)</f>
        <v>0</v>
      </c>
      <c r="M64" s="360" t="s">
        <v>406</v>
      </c>
      <c r="N64" s="360"/>
      <c r="O64" s="360"/>
    </row>
    <row r="65" spans="1:32" s="8" customFormat="1" x14ac:dyDescent="0.2">
      <c r="C65" s="23" t="s">
        <v>66</v>
      </c>
      <c r="D65" s="8">
        <f t="shared" si="0"/>
        <v>0</v>
      </c>
      <c r="E65" s="23" t="s">
        <v>22</v>
      </c>
      <c r="F65" s="8">
        <f t="shared" ref="F65:F66" si="1">SUMIF($C$2:$C$61,E65,$O$2:$O$61)</f>
        <v>0</v>
      </c>
      <c r="G65" s="1"/>
      <c r="H65" s="348" t="s">
        <v>75</v>
      </c>
      <c r="I65" s="348"/>
      <c r="J65" s="20">
        <f>SUMIF(K2:K61,K65,J2:J61)</f>
        <v>0</v>
      </c>
      <c r="K65" s="24">
        <v>1</v>
      </c>
      <c r="L65" s="1"/>
      <c r="M65" s="48"/>
      <c r="N65" s="43">
        <f>SUMIF($K$2:$K$61,K65,$O$2:$O$61)</f>
        <v>0</v>
      </c>
      <c r="O65" s="43"/>
      <c r="P65" s="1"/>
      <c r="Q65" s="1"/>
      <c r="R65" s="1"/>
      <c r="S65" s="1"/>
      <c r="T65" s="1"/>
      <c r="U65" s="1"/>
      <c r="V65" s="1"/>
      <c r="W65" s="1"/>
      <c r="X65" s="1"/>
      <c r="Y65" s="1"/>
      <c r="Z65" s="1"/>
      <c r="AA65" s="1"/>
      <c r="AB65" s="1"/>
      <c r="AC65" s="1"/>
      <c r="AD65" s="43"/>
      <c r="AE65" s="43"/>
      <c r="AF65" s="43"/>
    </row>
    <row r="66" spans="1:32" s="8" customFormat="1" x14ac:dyDescent="0.2">
      <c r="C66" s="1" t="s">
        <v>34</v>
      </c>
      <c r="D66" s="8">
        <f t="shared" si="0"/>
        <v>0</v>
      </c>
      <c r="E66" s="1" t="s">
        <v>735</v>
      </c>
      <c r="F66" s="8">
        <f t="shared" si="1"/>
        <v>0</v>
      </c>
      <c r="G66" s="1"/>
      <c r="H66" s="1" t="s">
        <v>76</v>
      </c>
      <c r="I66" s="39" t="s">
        <v>734</v>
      </c>
      <c r="J66" s="20">
        <f>SUMIF($L$2:$L$61,K66,$J$2:$J$61)</f>
        <v>0</v>
      </c>
      <c r="K66" s="25">
        <v>1</v>
      </c>
      <c r="L66" s="1"/>
      <c r="M66" s="1"/>
      <c r="N66" s="21"/>
      <c r="P66" s="1"/>
      <c r="Q66" s="1"/>
      <c r="R66" s="1"/>
      <c r="S66" s="1"/>
      <c r="T66" s="1"/>
      <c r="U66" s="1"/>
      <c r="V66" s="1"/>
      <c r="W66" s="1"/>
      <c r="X66" s="1"/>
      <c r="Y66" s="1"/>
      <c r="Z66" s="1"/>
      <c r="AA66" s="1"/>
      <c r="AB66" s="1"/>
      <c r="AC66" s="1"/>
      <c r="AD66" s="43"/>
      <c r="AE66" s="43"/>
      <c r="AF66" s="43"/>
    </row>
    <row r="67" spans="1:32" s="8" customFormat="1" x14ac:dyDescent="0.2">
      <c r="C67" s="23" t="s">
        <v>31</v>
      </c>
      <c r="D67" s="8">
        <f t="shared" si="0"/>
        <v>0</v>
      </c>
      <c r="E67" s="1"/>
      <c r="F67" s="1"/>
      <c r="G67" s="1"/>
      <c r="H67" s="1" t="s">
        <v>76</v>
      </c>
      <c r="I67" s="39" t="s">
        <v>742</v>
      </c>
      <c r="J67" s="20">
        <f>SUMIF($L$2:$L$61,K67,$J$2:$J$61)</f>
        <v>0</v>
      </c>
      <c r="K67" s="25">
        <v>2</v>
      </c>
      <c r="L67" s="1"/>
      <c r="M67" s="1"/>
      <c r="N67" s="21"/>
      <c r="P67" s="1"/>
      <c r="Q67" s="1"/>
      <c r="R67" s="1"/>
      <c r="S67" s="1"/>
      <c r="T67" s="1"/>
      <c r="U67" s="1"/>
      <c r="V67" s="1"/>
      <c r="W67" s="1"/>
      <c r="X67" s="1"/>
      <c r="Y67" s="1"/>
      <c r="Z67" s="1"/>
      <c r="AA67" s="1"/>
      <c r="AB67" s="1"/>
      <c r="AC67" s="1"/>
      <c r="AD67" s="43"/>
      <c r="AE67" s="43"/>
      <c r="AF67" s="43"/>
    </row>
    <row r="68" spans="1:32" s="8" customFormat="1" x14ac:dyDescent="0.2">
      <c r="C68" s="23" t="s">
        <v>85</v>
      </c>
      <c r="D68" s="8">
        <f t="shared" si="0"/>
        <v>0</v>
      </c>
      <c r="E68" s="1"/>
      <c r="F68" s="1"/>
      <c r="G68" s="1"/>
      <c r="H68" s="1" t="s">
        <v>76</v>
      </c>
      <c r="I68" s="39" t="s">
        <v>743</v>
      </c>
      <c r="J68" s="20">
        <f>SUMIF($L$2:$L$61,K68,$J$2:$J$61)</f>
        <v>0</v>
      </c>
      <c r="K68" s="25">
        <v>3</v>
      </c>
      <c r="L68" s="1"/>
      <c r="M68" s="1"/>
      <c r="N68" s="21"/>
      <c r="P68" s="1"/>
      <c r="Q68" s="1"/>
      <c r="R68" s="1"/>
      <c r="S68" s="1"/>
      <c r="T68" s="1"/>
      <c r="U68" s="1"/>
      <c r="V68" s="1"/>
      <c r="W68" s="1"/>
      <c r="X68" s="1"/>
      <c r="Y68" s="1"/>
      <c r="Z68" s="1"/>
      <c r="AA68" s="1"/>
      <c r="AB68" s="1"/>
      <c r="AC68" s="1"/>
      <c r="AD68" s="43"/>
      <c r="AE68" s="43"/>
      <c r="AF68" s="43"/>
    </row>
    <row r="69" spans="1:32" s="8" customFormat="1" x14ac:dyDescent="0.2">
      <c r="C69" s="23" t="s">
        <v>46</v>
      </c>
      <c r="D69" s="8">
        <f t="shared" si="0"/>
        <v>0</v>
      </c>
      <c r="E69" s="1"/>
      <c r="F69" s="1"/>
      <c r="G69" s="1"/>
      <c r="H69" s="1" t="s">
        <v>76</v>
      </c>
      <c r="I69" s="39" t="s">
        <v>744</v>
      </c>
      <c r="J69" s="20">
        <f>SUMIF($L$2:$L$61,K69,$J$2:$J$61)</f>
        <v>0</v>
      </c>
      <c r="K69" s="25">
        <v>4</v>
      </c>
      <c r="L69" s="1"/>
      <c r="M69" s="1"/>
      <c r="N69" s="21"/>
      <c r="P69" s="1"/>
      <c r="Q69" s="1"/>
      <c r="R69" s="1"/>
      <c r="S69" s="1"/>
      <c r="T69" s="1"/>
      <c r="U69" s="1"/>
      <c r="V69" s="1"/>
      <c r="W69" s="1"/>
      <c r="X69" s="1"/>
      <c r="Y69" s="1"/>
      <c r="Z69" s="1"/>
      <c r="AA69" s="1"/>
      <c r="AB69" s="1"/>
      <c r="AC69" s="1"/>
      <c r="AD69" s="43"/>
      <c r="AE69" s="43"/>
      <c r="AF69" s="43"/>
    </row>
    <row r="70" spans="1:32" x14ac:dyDescent="0.2">
      <c r="C70" s="23" t="s">
        <v>38</v>
      </c>
      <c r="D70" s="8">
        <f t="shared" si="0"/>
        <v>0</v>
      </c>
      <c r="H70" s="1" t="s">
        <v>76</v>
      </c>
      <c r="I70" s="39" t="s">
        <v>745</v>
      </c>
      <c r="J70" s="20">
        <f>SUMIF($L$2:$L$61,K70,$J$2:$J$61)</f>
        <v>0</v>
      </c>
      <c r="K70" s="25">
        <v>5</v>
      </c>
    </row>
    <row r="72" spans="1:32" x14ac:dyDescent="0.2">
      <c r="C72" s="23"/>
      <c r="D72" s="8"/>
    </row>
    <row r="73" spans="1:32" x14ac:dyDescent="0.2">
      <c r="L73" s="33"/>
    </row>
    <row r="74" spans="1:32" x14ac:dyDescent="0.2">
      <c r="C74" s="3" t="s">
        <v>157</v>
      </c>
      <c r="D74" s="8">
        <f>SUM(D64:D73)</f>
        <v>0</v>
      </c>
      <c r="E74" s="3" t="s">
        <v>157</v>
      </c>
      <c r="F74" s="8">
        <f>SUM(F64:F73)</f>
        <v>0</v>
      </c>
    </row>
    <row r="75" spans="1:32" s="57" customFormat="1" ht="29.25" customHeight="1" x14ac:dyDescent="0.2">
      <c r="A75" s="383" t="s">
        <v>158</v>
      </c>
      <c r="B75" s="383"/>
      <c r="C75" s="383"/>
      <c r="I75" s="58" t="s">
        <v>159</v>
      </c>
      <c r="J75" s="58" t="s">
        <v>160</v>
      </c>
      <c r="N75" s="59"/>
      <c r="O75" s="7"/>
      <c r="AD75" s="60"/>
      <c r="AE75" s="60"/>
      <c r="AF75" s="60"/>
    </row>
    <row r="76" spans="1:32" x14ac:dyDescent="0.2">
      <c r="A76" s="286">
        <v>44896</v>
      </c>
      <c r="B76" s="287" t="s">
        <v>163</v>
      </c>
      <c r="C76" s="353"/>
      <c r="D76" s="353"/>
      <c r="E76" s="353"/>
      <c r="F76" s="353"/>
      <c r="G76" s="353"/>
      <c r="H76" s="353"/>
      <c r="I76" s="51"/>
      <c r="J76" s="51"/>
    </row>
    <row r="77" spans="1:32" x14ac:dyDescent="0.2">
      <c r="A77" s="49">
        <f>+A76+1</f>
        <v>44897</v>
      </c>
      <c r="B77" s="50" t="s">
        <v>164</v>
      </c>
      <c r="C77" s="353"/>
      <c r="D77" s="353"/>
      <c r="E77" s="353"/>
      <c r="F77" s="353"/>
      <c r="G77" s="353"/>
      <c r="H77" s="353"/>
      <c r="I77" s="51"/>
      <c r="J77" s="51"/>
    </row>
    <row r="78" spans="1:32" x14ac:dyDescent="0.2">
      <c r="A78" s="49">
        <f t="shared" ref="A78:A106" si="2">+A77+1</f>
        <v>44898</v>
      </c>
      <c r="B78" s="50" t="s">
        <v>165</v>
      </c>
      <c r="C78" s="353"/>
      <c r="D78" s="353"/>
      <c r="E78" s="353"/>
      <c r="F78" s="353"/>
      <c r="G78" s="353"/>
      <c r="H78" s="353"/>
      <c r="I78" s="51"/>
      <c r="J78" s="51"/>
    </row>
    <row r="79" spans="1:32" x14ac:dyDescent="0.2">
      <c r="A79" s="49">
        <f t="shared" si="2"/>
        <v>44899</v>
      </c>
      <c r="B79" s="50" t="s">
        <v>166</v>
      </c>
      <c r="C79" s="353"/>
      <c r="D79" s="353"/>
      <c r="E79" s="353"/>
      <c r="F79" s="353"/>
      <c r="G79" s="353"/>
      <c r="H79" s="353"/>
      <c r="I79" s="51"/>
      <c r="J79" s="51"/>
    </row>
    <row r="80" spans="1:32" x14ac:dyDescent="0.2">
      <c r="A80" s="49">
        <f t="shared" si="2"/>
        <v>44900</v>
      </c>
      <c r="B80" s="50" t="s">
        <v>167</v>
      </c>
      <c r="C80" s="353"/>
      <c r="D80" s="353"/>
      <c r="E80" s="353"/>
      <c r="F80" s="353"/>
      <c r="G80" s="353"/>
      <c r="H80" s="353"/>
      <c r="I80" s="51"/>
      <c r="J80" s="51"/>
    </row>
    <row r="81" spans="1:10" x14ac:dyDescent="0.2">
      <c r="A81" s="49">
        <f t="shared" si="2"/>
        <v>44901</v>
      </c>
      <c r="B81" s="50" t="s">
        <v>161</v>
      </c>
      <c r="C81" s="353"/>
      <c r="D81" s="353"/>
      <c r="E81" s="353"/>
      <c r="F81" s="353"/>
      <c r="G81" s="353"/>
      <c r="H81" s="353"/>
      <c r="I81" s="51"/>
      <c r="J81" s="51"/>
    </row>
    <row r="82" spans="1:10" x14ac:dyDescent="0.2">
      <c r="A82" s="49">
        <f t="shared" si="2"/>
        <v>44902</v>
      </c>
      <c r="B82" s="50" t="s">
        <v>162</v>
      </c>
      <c r="C82" s="353"/>
      <c r="D82" s="353"/>
      <c r="E82" s="353"/>
      <c r="F82" s="353"/>
      <c r="G82" s="353"/>
      <c r="H82" s="353"/>
      <c r="I82" s="51"/>
      <c r="J82" s="51"/>
    </row>
    <row r="83" spans="1:10" x14ac:dyDescent="0.2">
      <c r="A83" s="61">
        <f t="shared" si="2"/>
        <v>44903</v>
      </c>
      <c r="B83" s="62" t="s">
        <v>163</v>
      </c>
      <c r="C83" s="429"/>
      <c r="D83" s="429"/>
      <c r="E83" s="429"/>
      <c r="F83" s="429"/>
      <c r="G83" s="429"/>
      <c r="H83" s="429"/>
      <c r="I83" s="63"/>
      <c r="J83" s="63"/>
    </row>
    <row r="84" spans="1:10" x14ac:dyDescent="0.2">
      <c r="A84" s="49">
        <f t="shared" si="2"/>
        <v>44904</v>
      </c>
      <c r="B84" s="50" t="s">
        <v>164</v>
      </c>
      <c r="C84" s="353"/>
      <c r="D84" s="353"/>
      <c r="E84" s="353"/>
      <c r="F84" s="353"/>
      <c r="G84" s="353"/>
      <c r="H84" s="353"/>
      <c r="I84" s="51"/>
      <c r="J84" s="51"/>
    </row>
    <row r="85" spans="1:10" x14ac:dyDescent="0.2">
      <c r="A85" s="49">
        <f t="shared" si="2"/>
        <v>44905</v>
      </c>
      <c r="B85" s="50" t="s">
        <v>165</v>
      </c>
      <c r="C85" s="353"/>
      <c r="D85" s="353"/>
      <c r="E85" s="353"/>
      <c r="F85" s="353"/>
      <c r="G85" s="353"/>
      <c r="H85" s="353"/>
      <c r="I85" s="51"/>
      <c r="J85" s="51"/>
    </row>
    <row r="86" spans="1:10" x14ac:dyDescent="0.2">
      <c r="A86" s="49">
        <f t="shared" si="2"/>
        <v>44906</v>
      </c>
      <c r="B86" s="50" t="s">
        <v>166</v>
      </c>
      <c r="C86" s="353"/>
      <c r="D86" s="353"/>
      <c r="E86" s="353"/>
      <c r="F86" s="353"/>
      <c r="G86" s="353"/>
      <c r="H86" s="353"/>
      <c r="I86" s="51"/>
      <c r="J86" s="51"/>
    </row>
    <row r="87" spans="1:10" x14ac:dyDescent="0.2">
      <c r="A87" s="49">
        <f t="shared" si="2"/>
        <v>44907</v>
      </c>
      <c r="B87" s="50" t="s">
        <v>167</v>
      </c>
      <c r="C87" s="353"/>
      <c r="D87" s="353"/>
      <c r="E87" s="353"/>
      <c r="F87" s="353"/>
      <c r="G87" s="353"/>
      <c r="H87" s="353"/>
      <c r="I87" s="51"/>
      <c r="J87" s="51"/>
    </row>
    <row r="88" spans="1:10" x14ac:dyDescent="0.2">
      <c r="A88" s="49">
        <f t="shared" si="2"/>
        <v>44908</v>
      </c>
      <c r="B88" s="50" t="s">
        <v>161</v>
      </c>
      <c r="C88" s="353"/>
      <c r="D88" s="353"/>
      <c r="E88" s="353"/>
      <c r="F88" s="353"/>
      <c r="G88" s="353"/>
      <c r="H88" s="353"/>
      <c r="I88" s="51"/>
      <c r="J88" s="51"/>
    </row>
    <row r="89" spans="1:10" x14ac:dyDescent="0.2">
      <c r="A89" s="49">
        <f t="shared" si="2"/>
        <v>44909</v>
      </c>
      <c r="B89" s="50" t="s">
        <v>162</v>
      </c>
      <c r="C89" s="353"/>
      <c r="D89" s="353"/>
      <c r="E89" s="353"/>
      <c r="F89" s="353"/>
      <c r="G89" s="353"/>
      <c r="H89" s="353"/>
      <c r="I89" s="51"/>
      <c r="J89" s="51"/>
    </row>
    <row r="90" spans="1:10" x14ac:dyDescent="0.2">
      <c r="A90" s="49">
        <f t="shared" si="2"/>
        <v>44910</v>
      </c>
      <c r="B90" s="50" t="s">
        <v>163</v>
      </c>
      <c r="C90" s="353"/>
      <c r="D90" s="353"/>
      <c r="E90" s="353"/>
      <c r="F90" s="353"/>
      <c r="G90" s="353"/>
      <c r="H90" s="353"/>
      <c r="I90" s="51"/>
      <c r="J90" s="51"/>
    </row>
    <row r="91" spans="1:10" x14ac:dyDescent="0.2">
      <c r="A91" s="49">
        <f t="shared" si="2"/>
        <v>44911</v>
      </c>
      <c r="B91" s="50" t="s">
        <v>164</v>
      </c>
      <c r="C91" s="353"/>
      <c r="D91" s="353"/>
      <c r="E91" s="353"/>
      <c r="F91" s="353"/>
      <c r="G91" s="353"/>
      <c r="H91" s="353"/>
      <c r="I91" s="51"/>
      <c r="J91" s="51"/>
    </row>
    <row r="92" spans="1:10" x14ac:dyDescent="0.2">
      <c r="A92" s="49">
        <f t="shared" si="2"/>
        <v>44912</v>
      </c>
      <c r="B92" s="50" t="s">
        <v>165</v>
      </c>
      <c r="C92" s="353"/>
      <c r="D92" s="353"/>
      <c r="E92" s="353"/>
      <c r="F92" s="353"/>
      <c r="G92" s="353"/>
      <c r="H92" s="353"/>
      <c r="I92" s="51"/>
      <c r="J92" s="51"/>
    </row>
    <row r="93" spans="1:10" x14ac:dyDescent="0.2">
      <c r="A93" s="49">
        <f t="shared" si="2"/>
        <v>44913</v>
      </c>
      <c r="B93" s="50" t="s">
        <v>166</v>
      </c>
      <c r="C93" s="353"/>
      <c r="D93" s="353"/>
      <c r="E93" s="353"/>
      <c r="F93" s="353"/>
      <c r="G93" s="353"/>
      <c r="H93" s="353"/>
      <c r="I93" s="51"/>
      <c r="J93" s="51"/>
    </row>
    <row r="94" spans="1:10" x14ac:dyDescent="0.2">
      <c r="A94" s="49">
        <f t="shared" si="2"/>
        <v>44914</v>
      </c>
      <c r="B94" s="50" t="s">
        <v>167</v>
      </c>
      <c r="C94" s="353"/>
      <c r="D94" s="353"/>
      <c r="E94" s="353"/>
      <c r="F94" s="353"/>
      <c r="G94" s="353"/>
      <c r="H94" s="353"/>
      <c r="I94" s="51"/>
      <c r="J94" s="51"/>
    </row>
    <row r="95" spans="1:10" x14ac:dyDescent="0.2">
      <c r="A95" s="49">
        <f t="shared" si="2"/>
        <v>44915</v>
      </c>
      <c r="B95" s="50" t="s">
        <v>161</v>
      </c>
      <c r="C95" s="353"/>
      <c r="D95" s="353"/>
      <c r="E95" s="353"/>
      <c r="F95" s="353"/>
      <c r="G95" s="353"/>
      <c r="H95" s="353"/>
      <c r="I95" s="51"/>
      <c r="J95" s="51"/>
    </row>
    <row r="96" spans="1:10" x14ac:dyDescent="0.2">
      <c r="A96" s="49">
        <f t="shared" si="2"/>
        <v>44916</v>
      </c>
      <c r="B96" s="50" t="s">
        <v>162</v>
      </c>
      <c r="C96" s="353"/>
      <c r="D96" s="353"/>
      <c r="E96" s="353"/>
      <c r="F96" s="353"/>
      <c r="G96" s="353"/>
      <c r="H96" s="353"/>
      <c r="I96" s="51"/>
      <c r="J96" s="51"/>
    </row>
    <row r="97" spans="1:21" x14ac:dyDescent="0.2">
      <c r="A97" s="49">
        <f t="shared" si="2"/>
        <v>44917</v>
      </c>
      <c r="B97" s="50" t="s">
        <v>163</v>
      </c>
      <c r="C97" s="353"/>
      <c r="D97" s="353"/>
      <c r="E97" s="353"/>
      <c r="F97" s="353"/>
      <c r="G97" s="353"/>
      <c r="H97" s="353"/>
      <c r="I97" s="51"/>
      <c r="J97" s="51"/>
    </row>
    <row r="98" spans="1:21" x14ac:dyDescent="0.2">
      <c r="A98" s="49">
        <f t="shared" si="2"/>
        <v>44918</v>
      </c>
      <c r="B98" s="50" t="s">
        <v>164</v>
      </c>
      <c r="C98" s="353"/>
      <c r="D98" s="353"/>
      <c r="E98" s="353"/>
      <c r="F98" s="353"/>
      <c r="G98" s="353"/>
      <c r="H98" s="353"/>
      <c r="I98" s="51"/>
      <c r="J98" s="51"/>
    </row>
    <row r="99" spans="1:21" x14ac:dyDescent="0.2">
      <c r="A99" s="49">
        <f t="shared" si="2"/>
        <v>44919</v>
      </c>
      <c r="B99" s="50" t="s">
        <v>165</v>
      </c>
      <c r="C99" s="353"/>
      <c r="D99" s="353"/>
      <c r="E99" s="353"/>
      <c r="F99" s="353"/>
      <c r="G99" s="353"/>
      <c r="H99" s="353"/>
      <c r="I99" s="51"/>
      <c r="J99" s="51"/>
    </row>
    <row r="100" spans="1:21" x14ac:dyDescent="0.2">
      <c r="A100" s="61">
        <f t="shared" si="2"/>
        <v>44920</v>
      </c>
      <c r="B100" s="62" t="s">
        <v>166</v>
      </c>
      <c r="C100" s="429"/>
      <c r="D100" s="429"/>
      <c r="E100" s="429"/>
      <c r="F100" s="429"/>
      <c r="G100" s="429"/>
      <c r="H100" s="429"/>
      <c r="I100" s="63"/>
      <c r="J100" s="63"/>
    </row>
    <row r="101" spans="1:21" x14ac:dyDescent="0.2">
      <c r="A101" s="49">
        <f t="shared" si="2"/>
        <v>44921</v>
      </c>
      <c r="B101" s="50" t="s">
        <v>167</v>
      </c>
      <c r="C101" s="353"/>
      <c r="D101" s="353"/>
      <c r="E101" s="353"/>
      <c r="F101" s="353"/>
      <c r="G101" s="353"/>
      <c r="H101" s="353"/>
      <c r="I101" s="51"/>
      <c r="J101" s="51"/>
    </row>
    <row r="102" spans="1:21" x14ac:dyDescent="0.2">
      <c r="A102" s="49">
        <f t="shared" si="2"/>
        <v>44922</v>
      </c>
      <c r="B102" s="50" t="s">
        <v>161</v>
      </c>
      <c r="C102" s="353"/>
      <c r="D102" s="353"/>
      <c r="E102" s="353"/>
      <c r="F102" s="353"/>
      <c r="G102" s="353"/>
      <c r="H102" s="353"/>
      <c r="I102" s="51"/>
      <c r="J102" s="51"/>
    </row>
    <row r="103" spans="1:21" x14ac:dyDescent="0.2">
      <c r="A103" s="49">
        <f t="shared" si="2"/>
        <v>44923</v>
      </c>
      <c r="B103" s="50" t="s">
        <v>162</v>
      </c>
      <c r="C103" s="353"/>
      <c r="D103" s="353"/>
      <c r="E103" s="353"/>
      <c r="F103" s="353"/>
      <c r="G103" s="353"/>
      <c r="H103" s="353"/>
      <c r="I103" s="51"/>
      <c r="J103" s="51"/>
    </row>
    <row r="104" spans="1:21" x14ac:dyDescent="0.2">
      <c r="A104" s="49">
        <f t="shared" si="2"/>
        <v>44924</v>
      </c>
      <c r="B104" s="50" t="s">
        <v>163</v>
      </c>
      <c r="C104" s="353"/>
      <c r="D104" s="353"/>
      <c r="E104" s="353"/>
      <c r="F104" s="353"/>
      <c r="G104" s="353"/>
      <c r="H104" s="353"/>
      <c r="I104" s="51"/>
      <c r="J104" s="51"/>
    </row>
    <row r="105" spans="1:21" x14ac:dyDescent="0.2">
      <c r="A105" s="49">
        <f t="shared" si="2"/>
        <v>44925</v>
      </c>
      <c r="B105" s="50" t="s">
        <v>164</v>
      </c>
      <c r="C105" s="353"/>
      <c r="D105" s="353"/>
      <c r="E105" s="353"/>
      <c r="F105" s="353"/>
      <c r="G105" s="353"/>
      <c r="H105" s="353"/>
      <c r="I105" s="51"/>
      <c r="J105" s="51"/>
    </row>
    <row r="106" spans="1:21" x14ac:dyDescent="0.2">
      <c r="A106" s="49">
        <f t="shared" si="2"/>
        <v>44926</v>
      </c>
      <c r="B106" s="50" t="s">
        <v>165</v>
      </c>
      <c r="C106" s="353"/>
      <c r="D106" s="353"/>
      <c r="E106" s="353"/>
      <c r="F106" s="353"/>
      <c r="G106" s="353"/>
      <c r="H106" s="353"/>
      <c r="I106" s="51"/>
      <c r="J106" s="51"/>
    </row>
    <row r="107" spans="1:21" x14ac:dyDescent="0.2">
      <c r="A107" s="32"/>
      <c r="I107" s="8"/>
      <c r="J107" s="8"/>
      <c r="R107" s="21"/>
      <c r="S107" s="21"/>
      <c r="T107" s="8"/>
      <c r="U107" s="8"/>
    </row>
    <row r="108" spans="1:21" x14ac:dyDescent="0.2">
      <c r="A108" s="367" t="s">
        <v>207</v>
      </c>
      <c r="B108" s="368"/>
      <c r="C108" s="368"/>
      <c r="D108" s="368"/>
      <c r="I108" s="8"/>
      <c r="J108" s="8"/>
      <c r="R108" s="21"/>
      <c r="S108" s="21"/>
      <c r="T108" s="8"/>
      <c r="U108" s="8"/>
    </row>
    <row r="109" spans="1:21" x14ac:dyDescent="0.2">
      <c r="A109" s="52">
        <f>COUNTIF($I$76:$I$109,B109)</f>
        <v>0</v>
      </c>
      <c r="B109" s="53" t="s">
        <v>208</v>
      </c>
      <c r="C109" s="370" t="s">
        <v>209</v>
      </c>
      <c r="D109" s="370"/>
      <c r="I109" s="8"/>
      <c r="J109" s="8"/>
      <c r="R109" s="21"/>
      <c r="S109" s="21"/>
      <c r="T109" s="8"/>
      <c r="U109" s="8"/>
    </row>
    <row r="110" spans="1:21" x14ac:dyDescent="0.2">
      <c r="A110" s="52">
        <f t="shared" ref="A110:A119" si="3">COUNTIF($I$76:$I$109,B110)</f>
        <v>0</v>
      </c>
      <c r="B110" s="53" t="s">
        <v>172</v>
      </c>
      <c r="C110" s="370" t="s">
        <v>210</v>
      </c>
      <c r="D110" s="370"/>
      <c r="I110" s="8"/>
      <c r="J110" s="8"/>
      <c r="R110" s="21"/>
      <c r="S110" s="21"/>
      <c r="T110" s="8"/>
      <c r="U110" s="8"/>
    </row>
    <row r="111" spans="1:21" x14ac:dyDescent="0.2">
      <c r="A111" s="52">
        <f t="shared" si="3"/>
        <v>0</v>
      </c>
      <c r="B111" s="53" t="s">
        <v>169</v>
      </c>
      <c r="C111" s="370" t="s">
        <v>211</v>
      </c>
      <c r="D111" s="370"/>
      <c r="I111" s="8"/>
      <c r="J111" s="8"/>
      <c r="R111" s="21"/>
      <c r="S111" s="21"/>
      <c r="T111" s="8"/>
      <c r="U111" s="8"/>
    </row>
    <row r="112" spans="1:21" x14ac:dyDescent="0.2">
      <c r="A112" s="52">
        <f t="shared" si="3"/>
        <v>0</v>
      </c>
      <c r="B112" s="53" t="s">
        <v>181</v>
      </c>
      <c r="C112" s="370" t="s">
        <v>212</v>
      </c>
      <c r="D112" s="370"/>
      <c r="I112" s="8"/>
      <c r="J112" s="8"/>
      <c r="R112" s="21"/>
      <c r="S112" s="21"/>
      <c r="T112" s="8"/>
      <c r="U112" s="8"/>
    </row>
    <row r="113" spans="1:21" x14ac:dyDescent="0.2">
      <c r="A113" s="52">
        <f t="shared" si="3"/>
        <v>0</v>
      </c>
      <c r="B113" s="53" t="s">
        <v>183</v>
      </c>
      <c r="C113" s="370" t="s">
        <v>213</v>
      </c>
      <c r="D113" s="370"/>
      <c r="I113" s="8"/>
      <c r="J113" s="8"/>
      <c r="R113" s="21"/>
      <c r="S113" s="21"/>
      <c r="T113" s="8"/>
      <c r="U113" s="8"/>
    </row>
    <row r="114" spans="1:21" x14ac:dyDescent="0.2">
      <c r="A114" s="52">
        <f t="shared" si="3"/>
        <v>0</v>
      </c>
      <c r="B114" s="53" t="s">
        <v>214</v>
      </c>
      <c r="C114" s="370" t="s">
        <v>215</v>
      </c>
      <c r="D114" s="370"/>
      <c r="I114" s="8"/>
      <c r="J114" s="8"/>
      <c r="R114" s="21"/>
      <c r="S114" s="21"/>
      <c r="T114" s="8"/>
      <c r="U114" s="8"/>
    </row>
    <row r="115" spans="1:21" x14ac:dyDescent="0.2">
      <c r="A115" s="52">
        <f t="shared" si="3"/>
        <v>0</v>
      </c>
      <c r="B115" s="53" t="s">
        <v>216</v>
      </c>
      <c r="C115" s="370" t="s">
        <v>217</v>
      </c>
      <c r="D115" s="370"/>
      <c r="I115" s="8"/>
      <c r="J115" s="8"/>
      <c r="R115" s="21"/>
      <c r="S115" s="21"/>
      <c r="T115" s="8"/>
      <c r="U115" s="8"/>
    </row>
    <row r="116" spans="1:21" x14ac:dyDescent="0.2">
      <c r="A116" s="52">
        <f t="shared" si="3"/>
        <v>0</v>
      </c>
      <c r="B116" s="53" t="s">
        <v>218</v>
      </c>
      <c r="C116" s="371" t="s">
        <v>219</v>
      </c>
      <c r="D116" s="372"/>
      <c r="I116" s="8"/>
      <c r="J116" s="8"/>
      <c r="R116" s="21"/>
      <c r="S116" s="21"/>
      <c r="T116" s="8"/>
      <c r="U116" s="8"/>
    </row>
    <row r="117" spans="1:21" x14ac:dyDescent="0.2">
      <c r="A117" s="52">
        <f t="shared" si="3"/>
        <v>0</v>
      </c>
      <c r="B117" s="53" t="s">
        <v>220</v>
      </c>
      <c r="C117" s="370" t="s">
        <v>221</v>
      </c>
      <c r="D117" s="370"/>
      <c r="I117" s="8"/>
      <c r="J117" s="8"/>
    </row>
    <row r="118" spans="1:21" x14ac:dyDescent="0.2">
      <c r="A118" s="52">
        <f>COUNTIF($I$76:$I$109,B118)</f>
        <v>0</v>
      </c>
      <c r="B118" s="53" t="s">
        <v>178</v>
      </c>
      <c r="C118" s="370" t="s">
        <v>222</v>
      </c>
      <c r="D118" s="370"/>
      <c r="I118" s="8"/>
      <c r="J118" s="8"/>
    </row>
    <row r="119" spans="1:21" x14ac:dyDescent="0.2">
      <c r="A119" s="52">
        <f t="shared" si="3"/>
        <v>0</v>
      </c>
      <c r="B119" s="53" t="s">
        <v>223</v>
      </c>
      <c r="C119" s="370" t="s">
        <v>224</v>
      </c>
      <c r="D119" s="370"/>
      <c r="I119" s="8"/>
      <c r="J119" s="8"/>
    </row>
    <row r="120" spans="1:21" x14ac:dyDescent="0.2">
      <c r="A120" s="54"/>
      <c r="B120" s="55"/>
      <c r="C120" s="56"/>
      <c r="D120" s="56"/>
      <c r="I120" s="8"/>
      <c r="J120" s="8"/>
    </row>
    <row r="121" spans="1:21" x14ac:dyDescent="0.2">
      <c r="A121" s="54"/>
      <c r="B121" s="55"/>
      <c r="C121" s="56"/>
      <c r="D121" s="56"/>
      <c r="I121" s="8"/>
      <c r="J121" s="8"/>
    </row>
    <row r="122" spans="1:21" x14ac:dyDescent="0.2">
      <c r="A122" s="54"/>
      <c r="B122" s="55"/>
      <c r="C122" s="56"/>
      <c r="D122" s="56"/>
      <c r="I122" s="8"/>
      <c r="J122" s="8"/>
    </row>
    <row r="123" spans="1:21" x14ac:dyDescent="0.2">
      <c r="A123" s="54"/>
      <c r="B123" s="55"/>
      <c r="C123" s="56"/>
      <c r="D123" s="56"/>
      <c r="I123" s="8"/>
      <c r="J123" s="8"/>
    </row>
    <row r="124" spans="1:21" x14ac:dyDescent="0.2">
      <c r="A124" s="32"/>
      <c r="I124" s="8"/>
      <c r="J124" s="8"/>
    </row>
    <row r="125" spans="1:21" x14ac:dyDescent="0.2">
      <c r="A125" s="367" t="s">
        <v>225</v>
      </c>
      <c r="B125" s="368"/>
      <c r="C125" s="368"/>
      <c r="D125" s="368"/>
      <c r="I125" s="8"/>
      <c r="J125" s="8"/>
    </row>
    <row r="126" spans="1:21" x14ac:dyDescent="0.2">
      <c r="A126" s="52">
        <f>COUNTIF($J$76:$J$109,B126)</f>
        <v>0</v>
      </c>
      <c r="B126" s="52" t="s">
        <v>170</v>
      </c>
      <c r="C126" s="356" t="s">
        <v>226</v>
      </c>
      <c r="D126" s="356"/>
      <c r="I126" s="8"/>
      <c r="J126" s="8"/>
    </row>
    <row r="127" spans="1:21" x14ac:dyDescent="0.2">
      <c r="A127" s="52">
        <f t="shared" ref="A127:A138" si="4">COUNTIF($J$76:$J$109,B127)</f>
        <v>0</v>
      </c>
      <c r="B127" s="52" t="s">
        <v>191</v>
      </c>
      <c r="C127" s="356" t="s">
        <v>227</v>
      </c>
      <c r="D127" s="356"/>
      <c r="I127" s="8"/>
      <c r="J127" s="8"/>
    </row>
    <row r="128" spans="1:21" x14ac:dyDescent="0.2">
      <c r="A128" s="52">
        <f t="shared" si="4"/>
        <v>0</v>
      </c>
      <c r="B128" s="52" t="s">
        <v>179</v>
      </c>
      <c r="C128" s="356" t="s">
        <v>228</v>
      </c>
      <c r="D128" s="356"/>
      <c r="I128" s="8"/>
      <c r="J128" s="8"/>
    </row>
    <row r="129" spans="1:10" x14ac:dyDescent="0.2">
      <c r="A129" s="52">
        <f t="shared" si="4"/>
        <v>0</v>
      </c>
      <c r="B129" s="52" t="s">
        <v>229</v>
      </c>
      <c r="C129" s="356" t="s">
        <v>230</v>
      </c>
      <c r="D129" s="356"/>
      <c r="I129" s="8"/>
      <c r="J129" s="8"/>
    </row>
    <row r="130" spans="1:10" x14ac:dyDescent="0.2">
      <c r="A130" s="52">
        <f t="shared" si="4"/>
        <v>0</v>
      </c>
      <c r="B130" s="52" t="s">
        <v>174</v>
      </c>
      <c r="C130" s="356" t="s">
        <v>231</v>
      </c>
      <c r="D130" s="356"/>
      <c r="I130" s="8"/>
      <c r="J130" s="8"/>
    </row>
    <row r="131" spans="1:10" x14ac:dyDescent="0.2">
      <c r="A131" s="52">
        <f t="shared" si="4"/>
        <v>0</v>
      </c>
      <c r="B131" s="52" t="s">
        <v>232</v>
      </c>
      <c r="C131" s="356" t="s">
        <v>233</v>
      </c>
      <c r="D131" s="356"/>
      <c r="I131" s="8"/>
      <c r="J131" s="8"/>
    </row>
    <row r="132" spans="1:10" x14ac:dyDescent="0.2">
      <c r="A132" s="52">
        <f t="shared" si="4"/>
        <v>0</v>
      </c>
      <c r="B132" s="52" t="s">
        <v>187</v>
      </c>
      <c r="C132" s="356" t="s">
        <v>234</v>
      </c>
      <c r="D132" s="356"/>
      <c r="I132" s="8"/>
      <c r="J132" s="8"/>
    </row>
    <row r="133" spans="1:10" x14ac:dyDescent="0.2">
      <c r="A133" s="52">
        <f t="shared" si="4"/>
        <v>0</v>
      </c>
      <c r="B133" s="52" t="s">
        <v>235</v>
      </c>
      <c r="C133" s="356" t="s">
        <v>236</v>
      </c>
      <c r="D133" s="356"/>
      <c r="I133" s="8"/>
      <c r="J133" s="8"/>
    </row>
    <row r="134" spans="1:10" x14ac:dyDescent="0.2">
      <c r="A134" s="52">
        <f t="shared" si="4"/>
        <v>0</v>
      </c>
      <c r="B134" s="52" t="s">
        <v>185</v>
      </c>
      <c r="C134" s="356" t="s">
        <v>237</v>
      </c>
      <c r="D134" s="356"/>
      <c r="I134" s="8"/>
      <c r="J134" s="8"/>
    </row>
    <row r="135" spans="1:10" x14ac:dyDescent="0.2">
      <c r="A135" s="52">
        <f t="shared" si="4"/>
        <v>0</v>
      </c>
      <c r="B135" s="52" t="s">
        <v>238</v>
      </c>
      <c r="C135" s="356" t="s">
        <v>239</v>
      </c>
      <c r="D135" s="356"/>
      <c r="I135" s="8"/>
      <c r="J135" s="8"/>
    </row>
    <row r="136" spans="1:10" x14ac:dyDescent="0.2">
      <c r="A136" s="52">
        <f>COUNTIF($J$76:$J$109,B136)</f>
        <v>0</v>
      </c>
      <c r="B136" s="52" t="s">
        <v>240</v>
      </c>
      <c r="C136" s="356" t="s">
        <v>241</v>
      </c>
      <c r="D136" s="356"/>
      <c r="I136" s="8"/>
      <c r="J136" s="8"/>
    </row>
    <row r="137" spans="1:10" x14ac:dyDescent="0.2">
      <c r="A137" s="52">
        <f>COUNTIF($J$76:$J$109,B137)</f>
        <v>0</v>
      </c>
      <c r="B137" s="52" t="s">
        <v>242</v>
      </c>
      <c r="C137" s="356" t="s">
        <v>243</v>
      </c>
      <c r="D137" s="356"/>
      <c r="I137" s="8"/>
      <c r="J137" s="8"/>
    </row>
    <row r="138" spans="1:10" x14ac:dyDescent="0.2">
      <c r="A138" s="52">
        <f t="shared" si="4"/>
        <v>0</v>
      </c>
      <c r="B138" s="52" t="s">
        <v>244</v>
      </c>
      <c r="C138" s="356" t="s">
        <v>245</v>
      </c>
      <c r="D138" s="356"/>
      <c r="I138" s="8"/>
      <c r="J138" s="8"/>
    </row>
    <row r="139" spans="1:10" x14ac:dyDescent="0.2">
      <c r="A139" s="32"/>
      <c r="I139" s="8"/>
      <c r="J139" s="8"/>
    </row>
    <row r="140" spans="1:10" x14ac:dyDescent="0.2">
      <c r="A140" s="32"/>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ht="19" x14ac:dyDescent="0.2">
      <c r="A145" s="32"/>
      <c r="C145" s="349" t="s">
        <v>86</v>
      </c>
      <c r="D145" s="350"/>
      <c r="E145" s="350"/>
      <c r="F145" s="350"/>
      <c r="G145" s="351"/>
      <c r="I145" s="8"/>
      <c r="J145" s="8"/>
    </row>
    <row r="146" spans="1:10" ht="32" x14ac:dyDescent="0.2">
      <c r="A146" s="32"/>
      <c r="C146" s="68" t="s">
        <v>87</v>
      </c>
      <c r="D146" s="64" t="s">
        <v>88</v>
      </c>
      <c r="E146" s="64" t="s">
        <v>89</v>
      </c>
      <c r="F146" s="64" t="s">
        <v>90</v>
      </c>
      <c r="G146" s="66" t="s">
        <v>91</v>
      </c>
      <c r="I146" s="8"/>
      <c r="J146" s="8"/>
    </row>
    <row r="147" spans="1:10" x14ac:dyDescent="0.2">
      <c r="A147" s="32"/>
      <c r="C147" s="65"/>
      <c r="D147" s="65"/>
      <c r="E147" s="65"/>
      <c r="F147" s="65"/>
      <c r="G147" s="67">
        <f>SUM(B147:F147)</f>
        <v>0</v>
      </c>
      <c r="I147" s="8"/>
      <c r="J147" s="8"/>
    </row>
    <row r="148" spans="1:10" x14ac:dyDescent="0.2">
      <c r="A148" s="32"/>
      <c r="G148"/>
      <c r="I148" s="8"/>
      <c r="J148" s="8"/>
    </row>
    <row r="149" spans="1:10" x14ac:dyDescent="0.2">
      <c r="A149" s="32"/>
      <c r="I149" s="8"/>
      <c r="J149" s="8"/>
    </row>
    <row r="150" spans="1:10" x14ac:dyDescent="0.2">
      <c r="A150" s="32"/>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row>
    <row r="224" spans="1:10" x14ac:dyDescent="0.2">
      <c r="A224" s="32"/>
    </row>
    <row r="225" spans="1:1" x14ac:dyDescent="0.2">
      <c r="A225" s="32"/>
    </row>
    <row r="226" spans="1:1" x14ac:dyDescent="0.2">
      <c r="A226" s="32"/>
    </row>
    <row r="227" spans="1:1" x14ac:dyDescent="0.2">
      <c r="A227" s="32"/>
    </row>
    <row r="228" spans="1:1" x14ac:dyDescent="0.2">
      <c r="A228" s="32"/>
    </row>
    <row r="229" spans="1:1" x14ac:dyDescent="0.2">
      <c r="A229" s="32"/>
    </row>
    <row r="230" spans="1:1" x14ac:dyDescent="0.2">
      <c r="A230" s="32"/>
    </row>
    <row r="231" spans="1:1" x14ac:dyDescent="0.2">
      <c r="A231" s="32"/>
    </row>
    <row r="232" spans="1:1" x14ac:dyDescent="0.2">
      <c r="A232" s="32"/>
    </row>
    <row r="233" spans="1:1" x14ac:dyDescent="0.2">
      <c r="A233" s="32"/>
    </row>
    <row r="234" spans="1:1" x14ac:dyDescent="0.2">
      <c r="A234" s="32"/>
    </row>
    <row r="235" spans="1:1" x14ac:dyDescent="0.2">
      <c r="A235" s="32"/>
    </row>
    <row r="236" spans="1:1" x14ac:dyDescent="0.2">
      <c r="A236" s="32"/>
    </row>
    <row r="237" spans="1:1" x14ac:dyDescent="0.2">
      <c r="A237" s="32"/>
    </row>
    <row r="238" spans="1:1" x14ac:dyDescent="0.2">
      <c r="A238" s="32"/>
    </row>
    <row r="239" spans="1:1" x14ac:dyDescent="0.2">
      <c r="A239" s="32"/>
    </row>
    <row r="240" spans="1:1" x14ac:dyDescent="0.2">
      <c r="A240" s="32"/>
    </row>
    <row r="241" spans="1:1" x14ac:dyDescent="0.2">
      <c r="A241" s="32"/>
    </row>
    <row r="242" spans="1:1" x14ac:dyDescent="0.2">
      <c r="A242" s="32"/>
    </row>
    <row r="243" spans="1:1" x14ac:dyDescent="0.2">
      <c r="A243" s="32"/>
    </row>
    <row r="244" spans="1:1" x14ac:dyDescent="0.2">
      <c r="A244" s="32"/>
    </row>
    <row r="245" spans="1:1" x14ac:dyDescent="0.2">
      <c r="A245" s="32"/>
    </row>
    <row r="246" spans="1:1" x14ac:dyDescent="0.2">
      <c r="A246" s="32"/>
    </row>
    <row r="247" spans="1:1" x14ac:dyDescent="0.2">
      <c r="A247" s="32"/>
    </row>
    <row r="248" spans="1:1" x14ac:dyDescent="0.2">
      <c r="A248" s="32"/>
    </row>
  </sheetData>
  <autoFilter ref="A1:AH1" xr:uid="{00000000-0001-0000-0800-000000000000}"/>
  <mergeCells count="67">
    <mergeCell ref="AC63:AE63"/>
    <mergeCell ref="AF63:AH63"/>
    <mergeCell ref="C78:H78"/>
    <mergeCell ref="C63:D63"/>
    <mergeCell ref="T63:V63"/>
    <mergeCell ref="W63:Y63"/>
    <mergeCell ref="Z63:AB63"/>
    <mergeCell ref="M64:O64"/>
    <mergeCell ref="H65:I65"/>
    <mergeCell ref="A75:C75"/>
    <mergeCell ref="C76:H76"/>
    <mergeCell ref="C77:H77"/>
    <mergeCell ref="C90:H90"/>
    <mergeCell ref="C79:H79"/>
    <mergeCell ref="C80:H80"/>
    <mergeCell ref="C81:H81"/>
    <mergeCell ref="C82:H82"/>
    <mergeCell ref="C83:H83"/>
    <mergeCell ref="C84:H84"/>
    <mergeCell ref="C85:H85"/>
    <mergeCell ref="C86:H86"/>
    <mergeCell ref="C87:H87"/>
    <mergeCell ref="C88:H88"/>
    <mergeCell ref="C89:H89"/>
    <mergeCell ref="C102:H102"/>
    <mergeCell ref="C91:H91"/>
    <mergeCell ref="C92:H92"/>
    <mergeCell ref="C93:H93"/>
    <mergeCell ref="C94:H94"/>
    <mergeCell ref="C95:H95"/>
    <mergeCell ref="C96:H96"/>
    <mergeCell ref="C97:H97"/>
    <mergeCell ref="C98:H98"/>
    <mergeCell ref="C99:H99"/>
    <mergeCell ref="C100:H100"/>
    <mergeCell ref="C101:H101"/>
    <mergeCell ref="C115:D115"/>
    <mergeCell ref="C103:H103"/>
    <mergeCell ref="C104:H104"/>
    <mergeCell ref="C105:H105"/>
    <mergeCell ref="C106:H106"/>
    <mergeCell ref="A108:D108"/>
    <mergeCell ref="C109:D109"/>
    <mergeCell ref="C110:D110"/>
    <mergeCell ref="C111:D111"/>
    <mergeCell ref="C112:D112"/>
    <mergeCell ref="C113:D113"/>
    <mergeCell ref="C114:D114"/>
    <mergeCell ref="C132:D132"/>
    <mergeCell ref="C116:D116"/>
    <mergeCell ref="C117:D117"/>
    <mergeCell ref="C118:D118"/>
    <mergeCell ref="C119:D119"/>
    <mergeCell ref="A125:D125"/>
    <mergeCell ref="C126:D126"/>
    <mergeCell ref="C127:D127"/>
    <mergeCell ref="C128:D128"/>
    <mergeCell ref="C129:D129"/>
    <mergeCell ref="C130:D130"/>
    <mergeCell ref="C131:D131"/>
    <mergeCell ref="C145:G145"/>
    <mergeCell ref="C133:D133"/>
    <mergeCell ref="C134:D134"/>
    <mergeCell ref="C135:D135"/>
    <mergeCell ref="C136:D136"/>
    <mergeCell ref="C137:D137"/>
    <mergeCell ref="C138:D138"/>
  </mergeCells>
  <dataValidations count="2">
    <dataValidation type="list" allowBlank="1" showInputMessage="1" showErrorMessage="1" sqref="J76:J106" xr:uid="{A7E25001-FEB6-412C-A74C-815F667B0771}">
      <formula1>$B$125:$B$138</formula1>
    </dataValidation>
    <dataValidation type="list" allowBlank="1" showInputMessage="1" showErrorMessage="1" sqref="I76:I106" xr:uid="{9B8D27E7-D17C-4778-BCC8-8F70746B8060}">
      <formula1>$B$109:$B$119</formula1>
    </dataValidation>
  </dataValidation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23589-3437-48EB-810A-6271D701C5DE}">
  <sheetPr codeName="Hoja23">
    <tabColor rgb="FFFF0000"/>
  </sheetPr>
  <dimension ref="A1:BI233"/>
  <sheetViews>
    <sheetView zoomScale="85" zoomScaleNormal="85" workbookViewId="0">
      <pane xSplit="11" ySplit="1" topLeftCell="L2"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3.5" style="1" customWidth="1"/>
    <col min="19" max="19" width="4.6640625" style="1" customWidth="1"/>
    <col min="20" max="20" width="13.5" style="1" customWidth="1"/>
    <col min="21" max="21" width="4.6640625" style="1" customWidth="1"/>
    <col min="22" max="22" width="21.6640625" style="1" customWidth="1"/>
    <col min="23" max="23" width="13.5" style="1" customWidth="1"/>
    <col min="24" max="24" width="4.6640625" style="1" customWidth="1"/>
    <col min="25" max="25" width="21.6640625" style="1" customWidth="1"/>
    <col min="26" max="26" width="13.5" style="1" customWidth="1"/>
    <col min="27" max="27" width="4.6640625" style="1" customWidth="1"/>
    <col min="28" max="28" width="21.6640625" style="1" customWidth="1"/>
    <col min="29" max="29" width="13.5" style="1" customWidth="1"/>
    <col min="30" max="30" width="4.6640625" style="1" customWidth="1"/>
    <col min="31" max="31" width="21.6640625" style="1" customWidth="1"/>
    <col min="32" max="32" width="13.5" style="1" customWidth="1"/>
    <col min="33" max="33" width="4.6640625" style="1" customWidth="1"/>
    <col min="34" max="34" width="21.6640625" style="1" customWidth="1"/>
    <col min="35" max="38" width="11.5" style="1"/>
    <col min="39" max="39" width="15.5" style="1" bestFit="1" customWidth="1"/>
    <col min="40" max="58" width="11.5" style="1"/>
    <col min="59" max="61" width="11.5" style="8"/>
    <col min="62" max="16384" width="11.5" style="1"/>
  </cols>
  <sheetData>
    <row r="1" spans="1:61"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246</v>
      </c>
      <c r="AO1" s="150" t="s">
        <v>123</v>
      </c>
      <c r="AP1" s="150" t="s">
        <v>124</v>
      </c>
      <c r="AQ1" s="150" t="s">
        <v>125</v>
      </c>
      <c r="AR1" s="150" t="s">
        <v>126</v>
      </c>
      <c r="AS1" s="143" t="s">
        <v>247</v>
      </c>
      <c r="AT1" s="139" t="s">
        <v>248</v>
      </c>
      <c r="AU1" s="139" t="s">
        <v>249</v>
      </c>
      <c r="AV1" s="139" t="s">
        <v>248</v>
      </c>
      <c r="AW1" s="139" t="s">
        <v>250</v>
      </c>
      <c r="AX1" s="139" t="s">
        <v>248</v>
      </c>
      <c r="AY1" s="309" t="s">
        <v>251</v>
      </c>
      <c r="AZ1" s="309" t="s">
        <v>248</v>
      </c>
      <c r="BA1" s="309" t="s">
        <v>252</v>
      </c>
      <c r="BB1" s="309" t="s">
        <v>248</v>
      </c>
      <c r="BC1" s="309" t="s">
        <v>253</v>
      </c>
      <c r="BD1" s="309" t="s">
        <v>248</v>
      </c>
      <c r="BE1" s="309" t="s">
        <v>254</v>
      </c>
      <c r="BF1" s="309" t="s">
        <v>246</v>
      </c>
      <c r="BG1" s="309" t="s">
        <v>255</v>
      </c>
      <c r="BH1" s="309" t="s">
        <v>256</v>
      </c>
      <c r="BI1" s="309" t="s">
        <v>257</v>
      </c>
    </row>
    <row r="2" spans="1:61" s="48" customFormat="1" x14ac:dyDescent="0.15">
      <c r="A2" s="215" t="s">
        <v>354</v>
      </c>
      <c r="B2" s="200">
        <v>1156</v>
      </c>
      <c r="C2" s="200" t="s">
        <v>22</v>
      </c>
      <c r="D2" s="200" t="s">
        <v>138</v>
      </c>
      <c r="E2" s="200" t="s">
        <v>46</v>
      </c>
      <c r="F2" s="200" t="s">
        <v>139</v>
      </c>
      <c r="G2" s="200" t="s">
        <v>33</v>
      </c>
      <c r="H2" s="200">
        <v>3342</v>
      </c>
      <c r="I2" s="200">
        <v>574793</v>
      </c>
      <c r="J2" s="42">
        <v>188843650</v>
      </c>
      <c r="K2" s="208">
        <v>1</v>
      </c>
      <c r="L2" s="206">
        <v>8</v>
      </c>
      <c r="M2" s="206" t="s">
        <v>27</v>
      </c>
      <c r="N2" s="196">
        <v>44855</v>
      </c>
      <c r="O2" s="195">
        <v>1</v>
      </c>
      <c r="P2" s="240" t="s">
        <v>27</v>
      </c>
      <c r="Q2" s="241" t="s">
        <v>128</v>
      </c>
      <c r="R2" s="242" t="s">
        <v>27</v>
      </c>
      <c r="S2" s="276" t="s">
        <v>128</v>
      </c>
      <c r="T2" s="242" t="s">
        <v>27</v>
      </c>
      <c r="U2" s="276" t="s">
        <v>128</v>
      </c>
      <c r="V2" s="242" t="s">
        <v>559</v>
      </c>
      <c r="W2" s="242" t="s">
        <v>27</v>
      </c>
      <c r="X2" s="276" t="s">
        <v>128</v>
      </c>
      <c r="Y2" s="242" t="s">
        <v>697</v>
      </c>
      <c r="Z2" s="242" t="s">
        <v>27</v>
      </c>
      <c r="AA2" s="276" t="s">
        <v>128</v>
      </c>
      <c r="AB2" s="242" t="s">
        <v>558</v>
      </c>
      <c r="AC2" s="242" t="s">
        <v>27</v>
      </c>
      <c r="AD2" s="276" t="s">
        <v>128</v>
      </c>
      <c r="AE2" s="242" t="s">
        <v>697</v>
      </c>
      <c r="AF2" s="242" t="s">
        <v>27</v>
      </c>
      <c r="AG2" s="276" t="s">
        <v>128</v>
      </c>
      <c r="AH2" s="276" t="s">
        <v>128</v>
      </c>
      <c r="AI2" s="242"/>
      <c r="AJ2" s="276" t="s">
        <v>128</v>
      </c>
      <c r="AK2" s="276" t="s">
        <v>128</v>
      </c>
      <c r="AL2" s="276" t="s">
        <v>128</v>
      </c>
      <c r="AM2" s="103"/>
      <c r="AN2" s="103"/>
      <c r="AO2" s="104"/>
      <c r="AP2" s="297"/>
      <c r="AQ2" s="228"/>
      <c r="AR2" s="194"/>
      <c r="AS2" s="140"/>
      <c r="AT2" s="140"/>
      <c r="AU2" s="140"/>
      <c r="AV2" s="140"/>
      <c r="AW2" s="140"/>
      <c r="AX2" s="179"/>
      <c r="AY2" s="140"/>
      <c r="AZ2" s="228"/>
      <c r="BA2" s="228"/>
      <c r="BB2" s="228"/>
      <c r="BC2" s="228"/>
      <c r="BD2" s="228"/>
      <c r="BE2" s="228"/>
      <c r="BF2" s="228"/>
      <c r="BG2" s="140"/>
      <c r="BH2" s="140"/>
      <c r="BI2" s="140" t="s">
        <v>264</v>
      </c>
    </row>
    <row r="3" spans="1:61" s="48" customFormat="1" x14ac:dyDescent="0.15">
      <c r="A3" s="206" t="s">
        <v>354</v>
      </c>
      <c r="B3" s="206">
        <v>1306</v>
      </c>
      <c r="C3" s="206" t="s">
        <v>22</v>
      </c>
      <c r="D3" s="206" t="s">
        <v>23</v>
      </c>
      <c r="E3" s="206" t="s">
        <v>38</v>
      </c>
      <c r="F3" s="206" t="s">
        <v>659</v>
      </c>
      <c r="G3" s="206" t="s">
        <v>23</v>
      </c>
      <c r="H3" s="206" t="s">
        <v>26</v>
      </c>
      <c r="I3" s="206">
        <v>184859</v>
      </c>
      <c r="J3" s="42">
        <v>14700000</v>
      </c>
      <c r="K3" s="208">
        <v>1</v>
      </c>
      <c r="L3" s="206">
        <v>4</v>
      </c>
      <c r="M3" s="206" t="s">
        <v>27</v>
      </c>
      <c r="N3" s="196">
        <v>44825</v>
      </c>
      <c r="O3" s="195">
        <v>1</v>
      </c>
      <c r="P3" s="261" t="s">
        <v>27</v>
      </c>
      <c r="Q3" s="243" t="s">
        <v>128</v>
      </c>
      <c r="R3" s="262" t="s">
        <v>27</v>
      </c>
      <c r="S3" s="244" t="s">
        <v>128</v>
      </c>
      <c r="T3" s="262" t="s">
        <v>27</v>
      </c>
      <c r="U3" s="244" t="s">
        <v>128</v>
      </c>
      <c r="V3" s="244" t="s">
        <v>128</v>
      </c>
      <c r="W3" s="262" t="s">
        <v>27</v>
      </c>
      <c r="X3" s="244" t="s">
        <v>128</v>
      </c>
      <c r="Y3" s="244" t="s">
        <v>128</v>
      </c>
      <c r="Z3" s="262" t="s">
        <v>27</v>
      </c>
      <c r="AA3" s="262">
        <v>1</v>
      </c>
      <c r="AB3" s="262" t="s">
        <v>546</v>
      </c>
      <c r="AC3" s="262" t="s">
        <v>27</v>
      </c>
      <c r="AD3" s="244" t="s">
        <v>128</v>
      </c>
      <c r="AE3" s="262" t="s">
        <v>547</v>
      </c>
      <c r="AF3" s="262" t="s">
        <v>27</v>
      </c>
      <c r="AG3" s="244" t="s">
        <v>128</v>
      </c>
      <c r="AH3" s="244" t="s">
        <v>128</v>
      </c>
      <c r="AI3" s="262"/>
      <c r="AJ3" s="262"/>
      <c r="AK3" s="244" t="s">
        <v>128</v>
      </c>
      <c r="AL3" s="244" t="s">
        <v>128</v>
      </c>
      <c r="AM3" s="205" t="s">
        <v>660</v>
      </c>
      <c r="AN3" s="194" t="s">
        <v>240</v>
      </c>
      <c r="AO3" s="104"/>
      <c r="AP3" s="297"/>
      <c r="AQ3" s="205"/>
      <c r="AR3" s="194"/>
      <c r="AS3" s="140"/>
      <c r="AT3" s="140"/>
      <c r="AU3" s="140"/>
      <c r="AV3" s="140"/>
      <c r="AW3" s="140"/>
      <c r="AX3" s="179"/>
      <c r="AY3" s="140"/>
      <c r="AZ3" s="228"/>
      <c r="BA3" s="228"/>
      <c r="BB3" s="228"/>
      <c r="BC3" s="228"/>
      <c r="BD3" s="228"/>
      <c r="BE3" s="228"/>
      <c r="BF3" s="228"/>
      <c r="BG3" s="140" t="s">
        <v>269</v>
      </c>
      <c r="BH3" s="140" t="s">
        <v>264</v>
      </c>
      <c r="BI3" s="140" t="s">
        <v>264</v>
      </c>
    </row>
    <row r="4" spans="1:61" s="48" customFormat="1" x14ac:dyDescent="0.15">
      <c r="A4" s="206" t="s">
        <v>354</v>
      </c>
      <c r="B4" s="206">
        <v>1307</v>
      </c>
      <c r="C4" s="206" t="s">
        <v>22</v>
      </c>
      <c r="D4" s="206" t="s">
        <v>23</v>
      </c>
      <c r="E4" s="206" t="s">
        <v>38</v>
      </c>
      <c r="F4" s="206" t="s">
        <v>659</v>
      </c>
      <c r="G4" s="206" t="s">
        <v>23</v>
      </c>
      <c r="H4" s="206" t="s">
        <v>26</v>
      </c>
      <c r="I4" s="206">
        <v>185432</v>
      </c>
      <c r="J4" s="42">
        <v>14700000</v>
      </c>
      <c r="K4" s="208">
        <v>1</v>
      </c>
      <c r="L4" s="206">
        <v>6</v>
      </c>
      <c r="M4" s="206" t="s">
        <v>27</v>
      </c>
      <c r="N4" s="196">
        <v>44837</v>
      </c>
      <c r="O4" s="195">
        <v>1</v>
      </c>
      <c r="P4" s="261" t="s">
        <v>27</v>
      </c>
      <c r="Q4" s="243" t="s">
        <v>128</v>
      </c>
      <c r="R4" s="262" t="s">
        <v>27</v>
      </c>
      <c r="S4" s="244" t="s">
        <v>128</v>
      </c>
      <c r="T4" s="262" t="s">
        <v>27</v>
      </c>
      <c r="U4" s="262">
        <v>2.5</v>
      </c>
      <c r="V4" s="262" t="s">
        <v>694</v>
      </c>
      <c r="W4" s="262" t="s">
        <v>27</v>
      </c>
      <c r="X4" s="262">
        <v>2.5</v>
      </c>
      <c r="Y4" s="262" t="s">
        <v>569</v>
      </c>
      <c r="Z4" s="262" t="s">
        <v>27</v>
      </c>
      <c r="AA4" s="262">
        <v>1</v>
      </c>
      <c r="AB4" s="262" t="s">
        <v>558</v>
      </c>
      <c r="AC4" s="262" t="s">
        <v>27</v>
      </c>
      <c r="AD4" s="262">
        <v>1.5</v>
      </c>
      <c r="AE4" s="262" t="s">
        <v>547</v>
      </c>
      <c r="AF4" s="262" t="s">
        <v>27</v>
      </c>
      <c r="AG4" s="244" t="s">
        <v>128</v>
      </c>
      <c r="AH4" s="244" t="s">
        <v>128</v>
      </c>
      <c r="AI4" s="244" t="s">
        <v>128</v>
      </c>
      <c r="AJ4" s="244" t="s">
        <v>128</v>
      </c>
      <c r="AK4" s="244" t="s">
        <v>128</v>
      </c>
      <c r="AL4" s="244" t="s">
        <v>128</v>
      </c>
      <c r="AM4" s="205" t="s">
        <v>660</v>
      </c>
      <c r="AN4" s="194" t="s">
        <v>240</v>
      </c>
      <c r="AO4" s="104"/>
      <c r="AP4" s="297"/>
      <c r="AQ4" s="205"/>
      <c r="AR4" s="194"/>
      <c r="AS4" s="140"/>
      <c r="AT4" s="140"/>
      <c r="AU4" s="140"/>
      <c r="AV4" s="140"/>
      <c r="AW4" s="140"/>
      <c r="AX4" s="179"/>
      <c r="AY4" s="140"/>
      <c r="AZ4" s="228"/>
      <c r="BA4" s="228"/>
      <c r="BB4" s="228"/>
      <c r="BC4" s="228"/>
      <c r="BD4" s="228"/>
      <c r="BE4" s="228"/>
      <c r="BF4" s="228"/>
      <c r="BG4" s="140" t="s">
        <v>269</v>
      </c>
      <c r="BH4" s="140" t="s">
        <v>264</v>
      </c>
      <c r="BI4" s="140" t="s">
        <v>264</v>
      </c>
    </row>
    <row r="5" spans="1:61" s="48" customFormat="1" x14ac:dyDescent="0.15">
      <c r="A5" s="215" t="s">
        <v>354</v>
      </c>
      <c r="B5" s="200">
        <v>1308</v>
      </c>
      <c r="C5" s="200" t="s">
        <v>22</v>
      </c>
      <c r="D5" s="200" t="s">
        <v>23</v>
      </c>
      <c r="E5" s="200" t="s">
        <v>38</v>
      </c>
      <c r="F5" s="200" t="s">
        <v>659</v>
      </c>
      <c r="G5" s="200" t="s">
        <v>23</v>
      </c>
      <c r="H5" s="200" t="s">
        <v>26</v>
      </c>
      <c r="I5" s="200">
        <v>185431</v>
      </c>
      <c r="J5" s="42">
        <v>14700000</v>
      </c>
      <c r="K5" s="208">
        <v>1</v>
      </c>
      <c r="L5" s="206">
        <v>6</v>
      </c>
      <c r="M5" s="206" t="s">
        <v>27</v>
      </c>
      <c r="N5" s="196">
        <v>44840</v>
      </c>
      <c r="O5" s="195">
        <v>1</v>
      </c>
      <c r="P5" s="261" t="s">
        <v>27</v>
      </c>
      <c r="Q5" s="243" t="s">
        <v>128</v>
      </c>
      <c r="R5" s="262" t="s">
        <v>27</v>
      </c>
      <c r="S5" s="244" t="s">
        <v>128</v>
      </c>
      <c r="T5" s="262" t="s">
        <v>27</v>
      </c>
      <c r="U5" s="262">
        <v>2.5</v>
      </c>
      <c r="V5" s="262" t="s">
        <v>555</v>
      </c>
      <c r="W5" s="262" t="s">
        <v>27</v>
      </c>
      <c r="X5" s="262">
        <v>3</v>
      </c>
      <c r="Y5" s="262" t="s">
        <v>794</v>
      </c>
      <c r="Z5" s="262" t="s">
        <v>27</v>
      </c>
      <c r="AA5" s="262">
        <v>1</v>
      </c>
      <c r="AB5" s="262" t="s">
        <v>558</v>
      </c>
      <c r="AC5" s="262" t="s">
        <v>27</v>
      </c>
      <c r="AD5" s="262">
        <v>1.5</v>
      </c>
      <c r="AE5" s="262" t="s">
        <v>547</v>
      </c>
      <c r="AF5" s="262" t="s">
        <v>27</v>
      </c>
      <c r="AG5" s="262">
        <v>2</v>
      </c>
      <c r="AH5" s="244" t="s">
        <v>128</v>
      </c>
      <c r="AI5" s="244" t="s">
        <v>128</v>
      </c>
      <c r="AJ5" s="244" t="s">
        <v>128</v>
      </c>
      <c r="AK5" s="244" t="s">
        <v>128</v>
      </c>
      <c r="AL5" s="244" t="s">
        <v>128</v>
      </c>
      <c r="AM5" s="205" t="s">
        <v>660</v>
      </c>
      <c r="AN5" s="194" t="s">
        <v>240</v>
      </c>
      <c r="AO5" s="104"/>
      <c r="AP5" s="297"/>
      <c r="AQ5" s="205"/>
      <c r="AR5" s="194"/>
      <c r="AS5" s="140"/>
      <c r="AT5" s="140"/>
      <c r="AU5" s="140"/>
      <c r="AV5" s="140"/>
      <c r="AW5" s="140"/>
      <c r="AX5" s="179"/>
      <c r="AY5" s="140"/>
      <c r="AZ5" s="228"/>
      <c r="BA5" s="228"/>
      <c r="BB5" s="228"/>
      <c r="BC5" s="228"/>
      <c r="BD5" s="228"/>
      <c r="BE5" s="228"/>
      <c r="BF5" s="228"/>
      <c r="BG5" s="140" t="s">
        <v>269</v>
      </c>
      <c r="BH5" s="140" t="s">
        <v>264</v>
      </c>
      <c r="BI5" s="140" t="s">
        <v>264</v>
      </c>
    </row>
    <row r="6" spans="1:61" s="48" customFormat="1" x14ac:dyDescent="0.15">
      <c r="A6" s="200" t="s">
        <v>354</v>
      </c>
      <c r="B6" s="200">
        <v>1341</v>
      </c>
      <c r="C6" s="200" t="s">
        <v>22</v>
      </c>
      <c r="D6" s="200" t="s">
        <v>132</v>
      </c>
      <c r="E6" s="200" t="s">
        <v>38</v>
      </c>
      <c r="F6" s="200" t="s">
        <v>96</v>
      </c>
      <c r="G6" s="200" t="s">
        <v>44</v>
      </c>
      <c r="H6" s="200">
        <v>32360</v>
      </c>
      <c r="I6" s="200">
        <v>11444</v>
      </c>
      <c r="J6" s="42">
        <v>14900000</v>
      </c>
      <c r="K6" s="208">
        <v>1</v>
      </c>
      <c r="L6" s="206">
        <v>4</v>
      </c>
      <c r="M6" s="206" t="s">
        <v>27</v>
      </c>
      <c r="N6" s="196">
        <v>44827</v>
      </c>
      <c r="O6" s="195">
        <v>1</v>
      </c>
      <c r="P6" s="261" t="s">
        <v>27</v>
      </c>
      <c r="Q6" s="243" t="s">
        <v>128</v>
      </c>
      <c r="R6" s="262" t="s">
        <v>27</v>
      </c>
      <c r="S6" s="244" t="s">
        <v>128</v>
      </c>
      <c r="T6" s="262" t="s">
        <v>27</v>
      </c>
      <c r="U6" s="244" t="s">
        <v>128</v>
      </c>
      <c r="V6" s="244" t="s">
        <v>128</v>
      </c>
      <c r="W6" s="262" t="s">
        <v>27</v>
      </c>
      <c r="X6" s="262">
        <v>4</v>
      </c>
      <c r="Y6" s="262" t="s">
        <v>795</v>
      </c>
      <c r="Z6" s="262" t="s">
        <v>27</v>
      </c>
      <c r="AA6" s="262">
        <v>1.5</v>
      </c>
      <c r="AB6" s="262" t="s">
        <v>796</v>
      </c>
      <c r="AC6" s="262" t="s">
        <v>27</v>
      </c>
      <c r="AD6" s="262">
        <v>1.5</v>
      </c>
      <c r="AE6" s="262" t="s">
        <v>687</v>
      </c>
      <c r="AF6" s="262" t="s">
        <v>27</v>
      </c>
      <c r="AG6" s="262">
        <v>2</v>
      </c>
      <c r="AH6" s="244" t="s">
        <v>128</v>
      </c>
      <c r="AI6" s="244" t="s">
        <v>128</v>
      </c>
      <c r="AJ6" s="244" t="s">
        <v>128</v>
      </c>
      <c r="AK6" s="244" t="s">
        <v>128</v>
      </c>
      <c r="AL6" s="244" t="s">
        <v>128</v>
      </c>
      <c r="AM6" s="205" t="s">
        <v>664</v>
      </c>
      <c r="AN6" s="194" t="s">
        <v>240</v>
      </c>
      <c r="AO6" s="104"/>
      <c r="AP6" s="297"/>
      <c r="AQ6" s="205"/>
      <c r="AR6" s="194"/>
      <c r="AS6" s="140"/>
      <c r="AT6" s="140"/>
      <c r="AU6" s="140"/>
      <c r="AV6" s="140"/>
      <c r="AW6" s="140"/>
      <c r="AX6" s="179"/>
      <c r="AY6" s="140"/>
      <c r="AZ6" s="228"/>
      <c r="BA6" s="228"/>
      <c r="BB6" s="228"/>
      <c r="BC6" s="228"/>
      <c r="BD6" s="228"/>
      <c r="BE6" s="228"/>
      <c r="BF6" s="228"/>
      <c r="BG6" s="140" t="s">
        <v>269</v>
      </c>
      <c r="BH6" s="140" t="s">
        <v>264</v>
      </c>
      <c r="BI6" s="140" t="s">
        <v>264</v>
      </c>
    </row>
    <row r="7" spans="1:61" s="48" customFormat="1" x14ac:dyDescent="0.15">
      <c r="A7" s="215" t="s">
        <v>354</v>
      </c>
      <c r="B7" s="200">
        <v>1342</v>
      </c>
      <c r="C7" s="200" t="s">
        <v>22</v>
      </c>
      <c r="D7" s="200" t="s">
        <v>132</v>
      </c>
      <c r="E7" s="200" t="s">
        <v>38</v>
      </c>
      <c r="F7" s="200" t="s">
        <v>96</v>
      </c>
      <c r="G7" s="200" t="s">
        <v>44</v>
      </c>
      <c r="H7" s="200">
        <v>32360</v>
      </c>
      <c r="I7" s="200">
        <v>23477</v>
      </c>
      <c r="J7" s="42">
        <v>14900000</v>
      </c>
      <c r="K7" s="208">
        <v>1</v>
      </c>
      <c r="L7" s="206">
        <v>6</v>
      </c>
      <c r="M7" s="206" t="s">
        <v>27</v>
      </c>
      <c r="N7" s="196">
        <v>44840</v>
      </c>
      <c r="O7" s="195">
        <v>1</v>
      </c>
      <c r="P7" s="261" t="s">
        <v>27</v>
      </c>
      <c r="Q7" s="243" t="s">
        <v>128</v>
      </c>
      <c r="R7" s="262" t="s">
        <v>27</v>
      </c>
      <c r="S7" s="244" t="s">
        <v>128</v>
      </c>
      <c r="T7" s="262" t="s">
        <v>27</v>
      </c>
      <c r="U7" s="244" t="s">
        <v>128</v>
      </c>
      <c r="V7" s="244" t="s">
        <v>128</v>
      </c>
      <c r="W7" s="262" t="s">
        <v>27</v>
      </c>
      <c r="X7" s="262">
        <v>6</v>
      </c>
      <c r="Y7" s="262" t="s">
        <v>549</v>
      </c>
      <c r="Z7" s="262" t="s">
        <v>27</v>
      </c>
      <c r="AA7" s="262">
        <v>1.5</v>
      </c>
      <c r="AB7" s="262" t="s">
        <v>546</v>
      </c>
      <c r="AC7" s="262" t="s">
        <v>27</v>
      </c>
      <c r="AD7" s="262">
        <v>1.5</v>
      </c>
      <c r="AE7" s="262" t="s">
        <v>547</v>
      </c>
      <c r="AF7" s="262" t="s">
        <v>27</v>
      </c>
      <c r="AG7" s="262">
        <v>1</v>
      </c>
      <c r="AH7" s="244" t="s">
        <v>128</v>
      </c>
      <c r="AI7" s="244" t="s">
        <v>128</v>
      </c>
      <c r="AJ7" s="244" t="s">
        <v>128</v>
      </c>
      <c r="AK7" s="244" t="s">
        <v>128</v>
      </c>
      <c r="AL7" s="244" t="s">
        <v>128</v>
      </c>
      <c r="AM7" s="205" t="s">
        <v>664</v>
      </c>
      <c r="AN7" s="194" t="s">
        <v>240</v>
      </c>
      <c r="AO7" s="104"/>
      <c r="AP7" s="297"/>
      <c r="AQ7" s="205"/>
      <c r="AR7" s="194"/>
      <c r="AS7" s="140"/>
      <c r="AT7" s="140"/>
      <c r="AU7" s="140"/>
      <c r="AV7" s="140"/>
      <c r="AW7" s="140"/>
      <c r="AX7" s="179"/>
      <c r="AY7" s="140"/>
      <c r="AZ7" s="228"/>
      <c r="BA7" s="228"/>
      <c r="BB7" s="228"/>
      <c r="BC7" s="228"/>
      <c r="BD7" s="228"/>
      <c r="BE7" s="228"/>
      <c r="BF7" s="228"/>
      <c r="BG7" s="140" t="s">
        <v>269</v>
      </c>
      <c r="BH7" s="140" t="s">
        <v>264</v>
      </c>
      <c r="BI7" s="140" t="s">
        <v>264</v>
      </c>
    </row>
    <row r="8" spans="1:61" s="48" customFormat="1" x14ac:dyDescent="0.15">
      <c r="A8" s="215" t="s">
        <v>354</v>
      </c>
      <c r="B8" s="200">
        <v>1309</v>
      </c>
      <c r="C8" s="200" t="s">
        <v>22</v>
      </c>
      <c r="D8" s="200" t="s">
        <v>23</v>
      </c>
      <c r="E8" s="200" t="s">
        <v>38</v>
      </c>
      <c r="F8" s="200" t="s">
        <v>659</v>
      </c>
      <c r="G8" s="200" t="s">
        <v>23</v>
      </c>
      <c r="H8" s="200" t="s">
        <v>26</v>
      </c>
      <c r="I8" s="200">
        <v>185434</v>
      </c>
      <c r="J8" s="42">
        <v>14700000</v>
      </c>
      <c r="K8" s="208">
        <v>1</v>
      </c>
      <c r="L8" s="206">
        <v>7</v>
      </c>
      <c r="M8" s="206" t="s">
        <v>27</v>
      </c>
      <c r="N8" s="196">
        <v>44845</v>
      </c>
      <c r="O8" s="195">
        <v>1</v>
      </c>
      <c r="P8" s="261" t="s">
        <v>27</v>
      </c>
      <c r="Q8" s="243" t="s">
        <v>128</v>
      </c>
      <c r="R8" s="262" t="s">
        <v>27</v>
      </c>
      <c r="S8" s="244" t="s">
        <v>128</v>
      </c>
      <c r="T8" s="262" t="s">
        <v>27</v>
      </c>
      <c r="U8" s="262">
        <v>2.5</v>
      </c>
      <c r="V8" s="262" t="s">
        <v>694</v>
      </c>
      <c r="W8" s="262" t="s">
        <v>27</v>
      </c>
      <c r="X8" s="262">
        <v>2.5</v>
      </c>
      <c r="Y8" s="262" t="s">
        <v>569</v>
      </c>
      <c r="Z8" s="262" t="s">
        <v>27</v>
      </c>
      <c r="AA8" s="262">
        <v>1</v>
      </c>
      <c r="AB8" s="262" t="s">
        <v>558</v>
      </c>
      <c r="AC8" s="262" t="s">
        <v>27</v>
      </c>
      <c r="AD8" s="262">
        <v>1.5</v>
      </c>
      <c r="AE8" s="262" t="s">
        <v>547</v>
      </c>
      <c r="AF8" s="262" t="s">
        <v>27</v>
      </c>
      <c r="AG8" s="262">
        <v>1.5</v>
      </c>
      <c r="AH8" s="244" t="s">
        <v>128</v>
      </c>
      <c r="AI8" s="244" t="s">
        <v>128</v>
      </c>
      <c r="AJ8" s="244" t="s">
        <v>128</v>
      </c>
      <c r="AK8" s="244" t="s">
        <v>128</v>
      </c>
      <c r="AL8" s="244" t="s">
        <v>128</v>
      </c>
      <c r="AM8" s="205" t="s">
        <v>660</v>
      </c>
      <c r="AN8" s="194" t="s">
        <v>240</v>
      </c>
      <c r="AO8" s="104"/>
      <c r="AP8" s="297"/>
      <c r="AQ8" s="205"/>
      <c r="AR8" s="194"/>
      <c r="AS8" s="140"/>
      <c r="AT8" s="140"/>
      <c r="AU8" s="140"/>
      <c r="AV8" s="140"/>
      <c r="AW8" s="140"/>
      <c r="AX8" s="179"/>
      <c r="AY8" s="228"/>
      <c r="AZ8" s="228"/>
      <c r="BA8" s="228"/>
      <c r="BB8" s="228"/>
      <c r="BC8" s="228"/>
      <c r="BD8" s="228"/>
      <c r="BE8" s="228"/>
      <c r="BF8" s="228"/>
      <c r="BG8" s="140" t="s">
        <v>269</v>
      </c>
      <c r="BH8" s="140" t="s">
        <v>264</v>
      </c>
      <c r="BI8" s="140" t="s">
        <v>264</v>
      </c>
    </row>
    <row r="9" spans="1:61" s="48" customFormat="1" x14ac:dyDescent="0.15">
      <c r="A9" s="206" t="s">
        <v>354</v>
      </c>
      <c r="B9" s="206">
        <v>1382</v>
      </c>
      <c r="C9" s="206" t="s">
        <v>22</v>
      </c>
      <c r="D9" s="206" t="s">
        <v>750</v>
      </c>
      <c r="E9" s="206" t="s">
        <v>66</v>
      </c>
      <c r="F9" s="206" t="s">
        <v>797</v>
      </c>
      <c r="G9" s="206" t="s">
        <v>33</v>
      </c>
      <c r="H9" s="206">
        <v>1726</v>
      </c>
      <c r="I9" s="206">
        <v>256678</v>
      </c>
      <c r="J9" s="42">
        <v>12874000</v>
      </c>
      <c r="K9" s="208">
        <v>1</v>
      </c>
      <c r="L9" s="206">
        <v>5</v>
      </c>
      <c r="M9" s="206" t="s">
        <v>27</v>
      </c>
      <c r="N9" s="196">
        <v>44832</v>
      </c>
      <c r="O9" s="195">
        <v>1</v>
      </c>
      <c r="P9" s="261" t="s">
        <v>27</v>
      </c>
      <c r="Q9" s="243" t="s">
        <v>128</v>
      </c>
      <c r="R9" s="262" t="s">
        <v>27</v>
      </c>
      <c r="S9" s="244" t="s">
        <v>128</v>
      </c>
      <c r="T9" s="262" t="s">
        <v>27</v>
      </c>
      <c r="U9" s="244" t="s">
        <v>128</v>
      </c>
      <c r="V9" s="244" t="s">
        <v>128</v>
      </c>
      <c r="W9" s="262" t="s">
        <v>27</v>
      </c>
      <c r="X9" s="262">
        <v>7</v>
      </c>
      <c r="Y9" s="262" t="s">
        <v>794</v>
      </c>
      <c r="Z9" s="262" t="s">
        <v>27</v>
      </c>
      <c r="AA9" s="262">
        <v>1.5</v>
      </c>
      <c r="AB9" s="262" t="s">
        <v>798</v>
      </c>
      <c r="AC9" s="262" t="s">
        <v>27</v>
      </c>
      <c r="AD9" s="262">
        <v>4.5</v>
      </c>
      <c r="AE9" s="262" t="s">
        <v>687</v>
      </c>
      <c r="AF9" s="262" t="s">
        <v>27</v>
      </c>
      <c r="AG9" s="262">
        <v>2.5</v>
      </c>
      <c r="AH9" s="244" t="s">
        <v>128</v>
      </c>
      <c r="AI9" s="244" t="s">
        <v>128</v>
      </c>
      <c r="AJ9" s="244" t="s">
        <v>128</v>
      </c>
      <c r="AK9" s="244" t="s">
        <v>128</v>
      </c>
      <c r="AL9" s="244" t="s">
        <v>128</v>
      </c>
      <c r="AM9" s="205"/>
      <c r="AN9" s="194"/>
      <c r="AO9" s="104"/>
      <c r="AP9" s="297"/>
      <c r="AQ9" s="205"/>
      <c r="AR9" s="194"/>
      <c r="AS9" s="140"/>
      <c r="AT9" s="140"/>
      <c r="AU9" s="140"/>
      <c r="AV9" s="140"/>
      <c r="AW9" s="140"/>
      <c r="AX9" s="179"/>
      <c r="AY9" s="228"/>
      <c r="AZ9" s="228"/>
      <c r="BA9" s="228"/>
      <c r="BB9" s="228"/>
      <c r="BC9" s="228"/>
      <c r="BD9" s="228"/>
      <c r="BE9" s="228"/>
      <c r="BF9" s="228"/>
      <c r="BG9" s="140" t="s">
        <v>269</v>
      </c>
      <c r="BH9" s="140" t="s">
        <v>264</v>
      </c>
      <c r="BI9" s="140" t="s">
        <v>264</v>
      </c>
    </row>
    <row r="10" spans="1:61" s="48" customFormat="1" x14ac:dyDescent="0.15">
      <c r="A10" s="206" t="s">
        <v>354</v>
      </c>
      <c r="B10" s="206">
        <v>1383</v>
      </c>
      <c r="C10" s="206" t="s">
        <v>22</v>
      </c>
      <c r="D10" s="206" t="s">
        <v>799</v>
      </c>
      <c r="E10" s="206" t="s">
        <v>24</v>
      </c>
      <c r="F10" s="206" t="s">
        <v>800</v>
      </c>
      <c r="G10" s="206" t="s">
        <v>23</v>
      </c>
      <c r="H10" s="206" t="s">
        <v>26</v>
      </c>
      <c r="I10" s="206">
        <v>185704</v>
      </c>
      <c r="J10" s="42">
        <v>20900000</v>
      </c>
      <c r="K10" s="208">
        <v>1</v>
      </c>
      <c r="L10" s="206">
        <v>6</v>
      </c>
      <c r="M10" s="206" t="s">
        <v>27</v>
      </c>
      <c r="N10" s="196">
        <v>44837</v>
      </c>
      <c r="O10" s="195">
        <v>1</v>
      </c>
      <c r="P10" s="261" t="s">
        <v>27</v>
      </c>
      <c r="Q10" s="243" t="s">
        <v>128</v>
      </c>
      <c r="R10" s="262" t="s">
        <v>27</v>
      </c>
      <c r="S10" s="244" t="s">
        <v>128</v>
      </c>
      <c r="T10" s="262" t="s">
        <v>27</v>
      </c>
      <c r="U10" s="262">
        <v>4</v>
      </c>
      <c r="V10" s="262" t="s">
        <v>694</v>
      </c>
      <c r="W10" s="262" t="s">
        <v>27</v>
      </c>
      <c r="X10" s="262">
        <v>4.5</v>
      </c>
      <c r="Y10" s="262" t="s">
        <v>801</v>
      </c>
      <c r="Z10" s="262" t="s">
        <v>27</v>
      </c>
      <c r="AA10" s="262">
        <v>2</v>
      </c>
      <c r="AB10" s="262" t="s">
        <v>558</v>
      </c>
      <c r="AC10" s="262" t="s">
        <v>27</v>
      </c>
      <c r="AD10" s="262">
        <v>4</v>
      </c>
      <c r="AE10" s="262" t="s">
        <v>687</v>
      </c>
      <c r="AF10" s="262" t="s">
        <v>27</v>
      </c>
      <c r="AG10" s="262">
        <v>4</v>
      </c>
      <c r="AH10" s="244" t="s">
        <v>128</v>
      </c>
      <c r="AI10" s="244" t="s">
        <v>128</v>
      </c>
      <c r="AJ10" s="244" t="s">
        <v>128</v>
      </c>
      <c r="AK10" s="244" t="s">
        <v>128</v>
      </c>
      <c r="AL10" s="244" t="s">
        <v>128</v>
      </c>
      <c r="AM10" s="205"/>
      <c r="AN10" s="194"/>
      <c r="AO10" s="104"/>
      <c r="AP10" s="297"/>
      <c r="AQ10" s="205"/>
      <c r="AR10" s="194"/>
      <c r="AS10" s="140"/>
      <c r="AT10" s="140"/>
      <c r="AU10" s="140"/>
      <c r="AV10" s="140"/>
      <c r="AW10" s="140"/>
      <c r="AX10" s="179"/>
      <c r="AY10" s="228"/>
      <c r="AZ10" s="228"/>
      <c r="BA10" s="228"/>
      <c r="BB10" s="228"/>
      <c r="BC10" s="228"/>
      <c r="BD10" s="228"/>
      <c r="BE10" s="228"/>
      <c r="BF10" s="228"/>
      <c r="BG10" s="140" t="s">
        <v>358</v>
      </c>
      <c r="BH10" s="140" t="s">
        <v>264</v>
      </c>
      <c r="BI10" s="140" t="s">
        <v>264</v>
      </c>
    </row>
    <row r="11" spans="1:61" s="48" customFormat="1" x14ac:dyDescent="0.15">
      <c r="A11" s="206" t="s">
        <v>354</v>
      </c>
      <c r="B11" s="206">
        <v>729</v>
      </c>
      <c r="C11" s="206" t="s">
        <v>29</v>
      </c>
      <c r="D11" s="206" t="s">
        <v>802</v>
      </c>
      <c r="E11" s="206" t="s">
        <v>24</v>
      </c>
      <c r="F11" s="206" t="s">
        <v>803</v>
      </c>
      <c r="G11" s="206" t="s">
        <v>33</v>
      </c>
      <c r="H11" s="206">
        <v>1729</v>
      </c>
      <c r="I11" s="206">
        <v>276023</v>
      </c>
      <c r="J11" s="42">
        <v>17900000</v>
      </c>
      <c r="K11" s="208">
        <v>1</v>
      </c>
      <c r="L11" s="206">
        <v>4</v>
      </c>
      <c r="M11" s="206" t="s">
        <v>27</v>
      </c>
      <c r="N11" s="196">
        <v>44824</v>
      </c>
      <c r="O11" s="195">
        <v>1</v>
      </c>
      <c r="P11" s="261" t="s">
        <v>27</v>
      </c>
      <c r="Q11" s="243" t="s">
        <v>128</v>
      </c>
      <c r="R11" s="262" t="s">
        <v>27</v>
      </c>
      <c r="S11" s="244" t="s">
        <v>128</v>
      </c>
      <c r="T11" s="262" t="s">
        <v>27</v>
      </c>
      <c r="U11" s="244" t="s">
        <v>128</v>
      </c>
      <c r="V11" s="244" t="s">
        <v>128</v>
      </c>
      <c r="W11" s="262" t="s">
        <v>27</v>
      </c>
      <c r="X11" s="244" t="s">
        <v>128</v>
      </c>
      <c r="Y11" s="244" t="s">
        <v>128</v>
      </c>
      <c r="Z11" s="262" t="s">
        <v>27</v>
      </c>
      <c r="AA11" s="262">
        <v>1.5</v>
      </c>
      <c r="AB11" s="262" t="s">
        <v>558</v>
      </c>
      <c r="AC11" s="262" t="s">
        <v>27</v>
      </c>
      <c r="AD11" s="244" t="s">
        <v>128</v>
      </c>
      <c r="AE11" s="262" t="s">
        <v>687</v>
      </c>
      <c r="AF11" s="262" t="s">
        <v>27</v>
      </c>
      <c r="AG11" s="244" t="s">
        <v>128</v>
      </c>
      <c r="AH11" s="244" t="s">
        <v>128</v>
      </c>
      <c r="AI11" s="244" t="s">
        <v>128</v>
      </c>
      <c r="AJ11" s="244" t="s">
        <v>128</v>
      </c>
      <c r="AK11" s="244" t="s">
        <v>128</v>
      </c>
      <c r="AL11" s="244" t="s">
        <v>128</v>
      </c>
      <c r="AM11" s="205"/>
      <c r="AN11" s="194"/>
      <c r="AO11" s="104"/>
      <c r="AP11" s="297"/>
      <c r="AQ11" s="205"/>
      <c r="AR11" s="194"/>
      <c r="AS11" s="140"/>
      <c r="AT11" s="140"/>
      <c r="AU11" s="140"/>
      <c r="AV11" s="140"/>
      <c r="AW11" s="140"/>
      <c r="AX11" s="179"/>
      <c r="AY11" s="228"/>
      <c r="AZ11" s="228"/>
      <c r="BA11" s="228"/>
      <c r="BB11" s="228"/>
      <c r="BC11" s="228"/>
      <c r="BD11" s="228"/>
      <c r="BE11" s="228"/>
      <c r="BF11" s="228"/>
      <c r="BG11" s="140" t="s">
        <v>269</v>
      </c>
      <c r="BH11" s="140" t="s">
        <v>264</v>
      </c>
      <c r="BI11" s="140" t="s">
        <v>264</v>
      </c>
    </row>
    <row r="12" spans="1:61" s="48" customFormat="1" x14ac:dyDescent="0.15">
      <c r="A12" s="206" t="s">
        <v>354</v>
      </c>
      <c r="B12" s="206">
        <v>1196</v>
      </c>
      <c r="C12" s="206" t="s">
        <v>22</v>
      </c>
      <c r="D12" s="206" t="s">
        <v>804</v>
      </c>
      <c r="E12" s="206" t="s">
        <v>34</v>
      </c>
      <c r="F12" s="206" t="s">
        <v>805</v>
      </c>
      <c r="G12" s="206" t="s">
        <v>60</v>
      </c>
      <c r="H12" s="206" t="s">
        <v>806</v>
      </c>
      <c r="I12" s="206">
        <v>449</v>
      </c>
      <c r="J12" s="42">
        <v>6700000</v>
      </c>
      <c r="K12" s="208">
        <v>1</v>
      </c>
      <c r="L12" s="206">
        <v>3</v>
      </c>
      <c r="M12" s="206" t="s">
        <v>27</v>
      </c>
      <c r="N12" s="196">
        <v>44816</v>
      </c>
      <c r="O12" s="195">
        <v>1</v>
      </c>
      <c r="P12" s="261" t="s">
        <v>27</v>
      </c>
      <c r="Q12" s="243" t="s">
        <v>128</v>
      </c>
      <c r="R12" s="262" t="s">
        <v>27</v>
      </c>
      <c r="S12" s="244" t="s">
        <v>128</v>
      </c>
      <c r="T12" s="262" t="s">
        <v>27</v>
      </c>
      <c r="U12" s="244" t="s">
        <v>128</v>
      </c>
      <c r="V12" s="244" t="s">
        <v>128</v>
      </c>
      <c r="W12" s="262" t="s">
        <v>27</v>
      </c>
      <c r="X12" s="244" t="s">
        <v>128</v>
      </c>
      <c r="Y12" s="244" t="s">
        <v>128</v>
      </c>
      <c r="Z12" s="262" t="s">
        <v>27</v>
      </c>
      <c r="AA12" s="262">
        <v>1.5</v>
      </c>
      <c r="AB12" s="244" t="s">
        <v>128</v>
      </c>
      <c r="AC12" s="262" t="s">
        <v>575</v>
      </c>
      <c r="AD12" s="244" t="s">
        <v>128</v>
      </c>
      <c r="AE12" s="244" t="s">
        <v>128</v>
      </c>
      <c r="AF12" s="262" t="s">
        <v>27</v>
      </c>
      <c r="AG12" s="244" t="s">
        <v>128</v>
      </c>
      <c r="AH12" s="244" t="s">
        <v>128</v>
      </c>
      <c r="AI12" s="244" t="s">
        <v>128</v>
      </c>
      <c r="AJ12" s="244" t="s">
        <v>128</v>
      </c>
      <c r="AK12" s="244" t="s">
        <v>128</v>
      </c>
      <c r="AL12" s="244" t="s">
        <v>128</v>
      </c>
      <c r="AM12" s="205"/>
      <c r="AN12" s="194"/>
      <c r="AO12" s="104"/>
      <c r="AP12" s="297"/>
      <c r="AQ12" s="205"/>
      <c r="AR12" s="194"/>
      <c r="AS12" s="140"/>
      <c r="AT12" s="140"/>
      <c r="AU12" s="140"/>
      <c r="AV12" s="140"/>
      <c r="AW12" s="140"/>
      <c r="AX12" s="179"/>
      <c r="AY12" s="228"/>
      <c r="AZ12" s="228"/>
      <c r="BA12" s="228"/>
      <c r="BB12" s="228"/>
      <c r="BC12" s="228"/>
      <c r="BD12" s="228"/>
      <c r="BE12" s="228"/>
      <c r="BF12" s="228"/>
      <c r="BG12" s="140" t="s">
        <v>269</v>
      </c>
      <c r="BH12" s="140" t="s">
        <v>264</v>
      </c>
      <c r="BI12" s="140" t="s">
        <v>264</v>
      </c>
    </row>
    <row r="13" spans="1:61" s="48" customFormat="1" x14ac:dyDescent="0.15">
      <c r="A13" s="215" t="s">
        <v>354</v>
      </c>
      <c r="B13" s="200">
        <v>1467</v>
      </c>
      <c r="C13" s="200" t="s">
        <v>29</v>
      </c>
      <c r="D13" s="200" t="s">
        <v>101</v>
      </c>
      <c r="E13" s="200" t="s">
        <v>31</v>
      </c>
      <c r="F13" s="200" t="s">
        <v>653</v>
      </c>
      <c r="G13" s="200" t="s">
        <v>44</v>
      </c>
      <c r="H13" s="200">
        <v>17230</v>
      </c>
      <c r="I13" s="200">
        <v>21423</v>
      </c>
      <c r="J13" s="42">
        <v>26000000</v>
      </c>
      <c r="K13" s="208">
        <v>1</v>
      </c>
      <c r="L13" s="206">
        <v>7</v>
      </c>
      <c r="M13" s="206" t="s">
        <v>27</v>
      </c>
      <c r="N13" s="196">
        <v>44846</v>
      </c>
      <c r="O13" s="195">
        <v>1</v>
      </c>
      <c r="P13" s="261" t="s">
        <v>27</v>
      </c>
      <c r="Q13" s="243" t="s">
        <v>128</v>
      </c>
      <c r="R13" s="262" t="s">
        <v>27</v>
      </c>
      <c r="S13" s="244" t="s">
        <v>128</v>
      </c>
      <c r="T13" s="262" t="s">
        <v>27</v>
      </c>
      <c r="U13" s="262">
        <v>4</v>
      </c>
      <c r="V13" s="262" t="s">
        <v>564</v>
      </c>
      <c r="W13" s="262" t="s">
        <v>27</v>
      </c>
      <c r="X13" s="262">
        <v>7</v>
      </c>
      <c r="Y13" s="262" t="s">
        <v>807</v>
      </c>
      <c r="Z13" s="262" t="s">
        <v>27</v>
      </c>
      <c r="AA13" s="262">
        <v>2</v>
      </c>
      <c r="AB13" s="262" t="s">
        <v>558</v>
      </c>
      <c r="AC13" s="262" t="s">
        <v>27</v>
      </c>
      <c r="AD13" s="262">
        <v>8</v>
      </c>
      <c r="AE13" s="262" t="s">
        <v>687</v>
      </c>
      <c r="AF13" s="262" t="s">
        <v>27</v>
      </c>
      <c r="AG13" s="262">
        <v>3</v>
      </c>
      <c r="AH13" s="262" t="s">
        <v>808</v>
      </c>
      <c r="AI13" s="244" t="s">
        <v>128</v>
      </c>
      <c r="AJ13" s="244" t="s">
        <v>128</v>
      </c>
      <c r="AK13" s="244" t="s">
        <v>128</v>
      </c>
      <c r="AL13" s="244" t="s">
        <v>128</v>
      </c>
      <c r="AM13" s="205"/>
      <c r="AN13" s="194"/>
      <c r="AO13" s="104"/>
      <c r="AP13" s="297"/>
      <c r="AQ13" s="205"/>
      <c r="AR13" s="194"/>
      <c r="AS13" s="140"/>
      <c r="AT13" s="140"/>
      <c r="AU13" s="140"/>
      <c r="AV13" s="140"/>
      <c r="AW13" s="140"/>
      <c r="AX13" s="179"/>
      <c r="AY13" s="228"/>
      <c r="AZ13" s="228"/>
      <c r="BA13" s="228"/>
      <c r="BB13" s="228"/>
      <c r="BC13" s="228"/>
      <c r="BD13" s="228"/>
      <c r="BE13" s="228"/>
      <c r="BF13" s="228"/>
      <c r="BG13" s="140"/>
      <c r="BH13" s="140"/>
      <c r="BI13" s="140" t="s">
        <v>264</v>
      </c>
    </row>
    <row r="14" spans="1:61" s="48" customFormat="1" x14ac:dyDescent="0.15">
      <c r="A14" s="215" t="s">
        <v>354</v>
      </c>
      <c r="B14" s="200">
        <v>1438</v>
      </c>
      <c r="C14" s="200" t="s">
        <v>29</v>
      </c>
      <c r="D14" s="200" t="s">
        <v>658</v>
      </c>
      <c r="E14" s="200" t="s">
        <v>46</v>
      </c>
      <c r="F14" s="200" t="s">
        <v>139</v>
      </c>
      <c r="G14" s="200" t="s">
        <v>33</v>
      </c>
      <c r="H14" s="200">
        <v>1726</v>
      </c>
      <c r="I14" s="200">
        <v>246238</v>
      </c>
      <c r="J14" s="42">
        <v>50000000</v>
      </c>
      <c r="K14" s="208">
        <v>1</v>
      </c>
      <c r="L14" s="206">
        <v>6</v>
      </c>
      <c r="M14" s="206" t="s">
        <v>27</v>
      </c>
      <c r="N14" s="196">
        <v>44840</v>
      </c>
      <c r="O14" s="195">
        <v>1</v>
      </c>
      <c r="P14" s="261" t="s">
        <v>27</v>
      </c>
      <c r="Q14" s="243" t="s">
        <v>128</v>
      </c>
      <c r="R14" s="262" t="s">
        <v>27</v>
      </c>
      <c r="S14" s="262">
        <v>1.5</v>
      </c>
      <c r="T14" s="262" t="s">
        <v>27</v>
      </c>
      <c r="U14" s="262">
        <v>2</v>
      </c>
      <c r="V14" s="262" t="s">
        <v>555</v>
      </c>
      <c r="W14" s="262" t="s">
        <v>27</v>
      </c>
      <c r="X14" s="262">
        <v>13</v>
      </c>
      <c r="Y14" s="262" t="s">
        <v>697</v>
      </c>
      <c r="Z14" s="262" t="s">
        <v>27</v>
      </c>
      <c r="AA14" s="262">
        <v>2</v>
      </c>
      <c r="AB14" s="262" t="s">
        <v>546</v>
      </c>
      <c r="AC14" s="262" t="s">
        <v>27</v>
      </c>
      <c r="AD14" s="262">
        <v>9</v>
      </c>
      <c r="AE14" s="262" t="s">
        <v>697</v>
      </c>
      <c r="AF14" s="262" t="s">
        <v>27</v>
      </c>
      <c r="AG14" s="244" t="s">
        <v>128</v>
      </c>
      <c r="AH14" s="244" t="s">
        <v>128</v>
      </c>
      <c r="AI14" s="244" t="s">
        <v>128</v>
      </c>
      <c r="AJ14" s="244" t="s">
        <v>128</v>
      </c>
      <c r="AK14" s="244" t="s">
        <v>128</v>
      </c>
      <c r="AL14" s="244" t="s">
        <v>128</v>
      </c>
      <c r="AM14" s="205"/>
      <c r="AN14" s="194"/>
      <c r="AO14" s="104"/>
      <c r="AP14" s="297"/>
      <c r="AQ14" s="205"/>
      <c r="AR14" s="194"/>
      <c r="AS14" s="140"/>
      <c r="AT14" s="140"/>
      <c r="AU14" s="140"/>
      <c r="AV14" s="140"/>
      <c r="AW14" s="140"/>
      <c r="AX14" s="179"/>
      <c r="AY14" s="140"/>
      <c r="AZ14" s="228"/>
      <c r="BA14" s="228"/>
      <c r="BB14" s="228"/>
      <c r="BC14" s="228"/>
      <c r="BD14" s="228"/>
      <c r="BE14" s="228"/>
      <c r="BF14" s="228"/>
      <c r="BG14" s="140" t="s">
        <v>358</v>
      </c>
      <c r="BH14" s="140" t="s">
        <v>264</v>
      </c>
      <c r="BI14" s="140" t="s">
        <v>264</v>
      </c>
    </row>
    <row r="15" spans="1:61" s="48" customFormat="1" x14ac:dyDescent="0.15">
      <c r="A15" s="215" t="s">
        <v>354</v>
      </c>
      <c r="B15" s="200">
        <v>1199</v>
      </c>
      <c r="C15" s="200" t="s">
        <v>22</v>
      </c>
      <c r="D15" s="200" t="s">
        <v>106</v>
      </c>
      <c r="E15" s="200" t="s">
        <v>38</v>
      </c>
      <c r="F15" s="200" t="s">
        <v>722</v>
      </c>
      <c r="G15" s="200" t="s">
        <v>106</v>
      </c>
      <c r="H15" s="200" t="s">
        <v>693</v>
      </c>
      <c r="I15" s="200">
        <v>4015710</v>
      </c>
      <c r="J15" s="42">
        <v>25000000</v>
      </c>
      <c r="K15" s="208">
        <v>1</v>
      </c>
      <c r="L15" s="206">
        <v>8</v>
      </c>
      <c r="M15" s="206" t="s">
        <v>27</v>
      </c>
      <c r="N15" s="196">
        <v>44851</v>
      </c>
      <c r="O15" s="195">
        <v>1</v>
      </c>
      <c r="P15" s="261" t="s">
        <v>27</v>
      </c>
      <c r="Q15" s="243" t="s">
        <v>128</v>
      </c>
      <c r="R15" s="262" t="s">
        <v>27</v>
      </c>
      <c r="S15" s="262">
        <v>2</v>
      </c>
      <c r="T15" s="262" t="s">
        <v>27</v>
      </c>
      <c r="U15" s="262">
        <v>4.5</v>
      </c>
      <c r="V15" s="262" t="s">
        <v>694</v>
      </c>
      <c r="W15" s="262" t="s">
        <v>27</v>
      </c>
      <c r="X15" s="262">
        <v>10</v>
      </c>
      <c r="Y15" s="262" t="s">
        <v>809</v>
      </c>
      <c r="Z15" s="262" t="s">
        <v>27</v>
      </c>
      <c r="AA15" s="262">
        <v>2</v>
      </c>
      <c r="AB15" s="262" t="s">
        <v>798</v>
      </c>
      <c r="AC15" s="262" t="s">
        <v>27</v>
      </c>
      <c r="AD15" s="262">
        <v>2</v>
      </c>
      <c r="AE15" s="262" t="s">
        <v>547</v>
      </c>
      <c r="AF15" s="262" t="s">
        <v>27</v>
      </c>
      <c r="AG15" s="262">
        <v>1.5</v>
      </c>
      <c r="AH15" s="244" t="s">
        <v>128</v>
      </c>
      <c r="AI15" s="244" t="s">
        <v>128</v>
      </c>
      <c r="AJ15" s="244" t="s">
        <v>128</v>
      </c>
      <c r="AK15" s="244" t="s">
        <v>128</v>
      </c>
      <c r="AL15" s="244" t="s">
        <v>128</v>
      </c>
      <c r="AM15" s="205" t="s">
        <v>672</v>
      </c>
      <c r="AN15" s="194" t="s">
        <v>240</v>
      </c>
      <c r="AO15" s="104"/>
      <c r="AP15" s="297"/>
      <c r="AQ15" s="205"/>
      <c r="AR15" s="194"/>
      <c r="AS15" s="140"/>
      <c r="AT15" s="140"/>
      <c r="AU15" s="140"/>
      <c r="AV15" s="140"/>
      <c r="AW15" s="140"/>
      <c r="AX15" s="179"/>
      <c r="AY15" s="273"/>
      <c r="AZ15" s="273"/>
      <c r="BA15" s="273"/>
      <c r="BB15" s="273"/>
      <c r="BC15" s="273"/>
      <c r="BD15" s="273"/>
      <c r="BE15" s="273"/>
      <c r="BF15" s="273"/>
      <c r="BG15" s="274" t="s">
        <v>358</v>
      </c>
      <c r="BH15" s="274" t="s">
        <v>264</v>
      </c>
      <c r="BI15" s="274" t="s">
        <v>264</v>
      </c>
    </row>
    <row r="16" spans="1:61" s="48" customFormat="1" x14ac:dyDescent="0.15">
      <c r="A16" s="215" t="s">
        <v>354</v>
      </c>
      <c r="B16" s="200">
        <v>1200</v>
      </c>
      <c r="C16" s="200" t="s">
        <v>22</v>
      </c>
      <c r="D16" s="200" t="s">
        <v>106</v>
      </c>
      <c r="E16" s="200" t="s">
        <v>38</v>
      </c>
      <c r="F16" s="200" t="s">
        <v>722</v>
      </c>
      <c r="G16" s="200" t="s">
        <v>106</v>
      </c>
      <c r="H16" s="200" t="s">
        <v>693</v>
      </c>
      <c r="I16" s="200">
        <v>4015717</v>
      </c>
      <c r="J16" s="42">
        <v>25000000</v>
      </c>
      <c r="K16" s="208">
        <v>1</v>
      </c>
      <c r="L16" s="206">
        <v>7</v>
      </c>
      <c r="M16" s="206" t="s">
        <v>27</v>
      </c>
      <c r="N16" s="282">
        <v>44851</v>
      </c>
      <c r="O16" s="195">
        <v>1</v>
      </c>
      <c r="P16" s="261" t="s">
        <v>27</v>
      </c>
      <c r="Q16" s="243" t="s">
        <v>128</v>
      </c>
      <c r="R16" s="262" t="s">
        <v>27</v>
      </c>
      <c r="S16" s="262">
        <v>2</v>
      </c>
      <c r="T16" s="262" t="s">
        <v>27</v>
      </c>
      <c r="U16" s="262">
        <v>6.5</v>
      </c>
      <c r="V16" s="262" t="s">
        <v>555</v>
      </c>
      <c r="W16" s="262" t="s">
        <v>27</v>
      </c>
      <c r="X16" s="262">
        <v>5.5</v>
      </c>
      <c r="Y16" s="262" t="s">
        <v>549</v>
      </c>
      <c r="Z16" s="262" t="s">
        <v>27</v>
      </c>
      <c r="AA16" s="262">
        <v>2</v>
      </c>
      <c r="AB16" s="262" t="s">
        <v>546</v>
      </c>
      <c r="AC16" s="262" t="s">
        <v>27</v>
      </c>
      <c r="AD16" s="262">
        <v>2</v>
      </c>
      <c r="AE16" s="262" t="s">
        <v>662</v>
      </c>
      <c r="AF16" s="262" t="s">
        <v>27</v>
      </c>
      <c r="AG16" s="244" t="s">
        <v>128</v>
      </c>
      <c r="AH16" s="244" t="s">
        <v>128</v>
      </c>
      <c r="AI16" s="244" t="s">
        <v>128</v>
      </c>
      <c r="AJ16" s="244" t="s">
        <v>128</v>
      </c>
      <c r="AK16" s="244" t="s">
        <v>128</v>
      </c>
      <c r="AL16" s="244" t="s">
        <v>128</v>
      </c>
      <c r="AM16" s="205" t="s">
        <v>672</v>
      </c>
      <c r="AN16" s="194" t="s">
        <v>240</v>
      </c>
      <c r="AO16" s="104"/>
      <c r="AP16" s="297"/>
      <c r="AQ16" s="205"/>
      <c r="AR16" s="194"/>
      <c r="AS16" s="140"/>
      <c r="AT16" s="140"/>
      <c r="AU16" s="140"/>
      <c r="AV16" s="140"/>
      <c r="AW16" s="140"/>
      <c r="AX16" s="179"/>
      <c r="AY16" s="228"/>
      <c r="AZ16" s="228"/>
      <c r="BA16" s="228"/>
      <c r="BB16" s="228"/>
      <c r="BC16" s="228"/>
      <c r="BD16" s="228"/>
      <c r="BE16" s="228"/>
      <c r="BF16" s="228"/>
      <c r="BG16" s="140" t="s">
        <v>358</v>
      </c>
      <c r="BH16" s="140" t="s">
        <v>264</v>
      </c>
      <c r="BI16" s="140" t="s">
        <v>264</v>
      </c>
    </row>
    <row r="17" spans="1:61" s="48" customFormat="1" x14ac:dyDescent="0.15">
      <c r="A17" s="215" t="s">
        <v>354</v>
      </c>
      <c r="B17" s="200">
        <v>1310</v>
      </c>
      <c r="C17" s="200" t="s">
        <v>22</v>
      </c>
      <c r="D17" s="200" t="s">
        <v>23</v>
      </c>
      <c r="E17" s="200" t="s">
        <v>38</v>
      </c>
      <c r="F17" s="200" t="s">
        <v>659</v>
      </c>
      <c r="G17" s="200" t="s">
        <v>23</v>
      </c>
      <c r="H17" s="200" t="s">
        <v>26</v>
      </c>
      <c r="I17" s="200">
        <v>185704</v>
      </c>
      <c r="J17" s="42">
        <v>14700000</v>
      </c>
      <c r="K17" s="208">
        <v>1</v>
      </c>
      <c r="L17" s="206">
        <v>7</v>
      </c>
      <c r="M17" s="206" t="s">
        <v>27</v>
      </c>
      <c r="N17" s="197" t="s">
        <v>128</v>
      </c>
      <c r="O17" s="195">
        <v>1</v>
      </c>
      <c r="P17" s="261" t="s">
        <v>27</v>
      </c>
      <c r="Q17" s="243" t="s">
        <v>128</v>
      </c>
      <c r="R17" s="262" t="s">
        <v>27</v>
      </c>
      <c r="S17" s="244" t="s">
        <v>128</v>
      </c>
      <c r="T17" s="262" t="s">
        <v>27</v>
      </c>
      <c r="U17" s="262">
        <v>2</v>
      </c>
      <c r="V17" s="262" t="s">
        <v>694</v>
      </c>
      <c r="W17" s="262" t="s">
        <v>27</v>
      </c>
      <c r="X17" s="262">
        <v>3.5</v>
      </c>
      <c r="Y17" s="262" t="s">
        <v>810</v>
      </c>
      <c r="Z17" s="262" t="s">
        <v>27</v>
      </c>
      <c r="AA17" s="262">
        <v>1</v>
      </c>
      <c r="AB17" s="262" t="s">
        <v>546</v>
      </c>
      <c r="AC17" s="262" t="s">
        <v>27</v>
      </c>
      <c r="AD17" s="262">
        <v>1.5</v>
      </c>
      <c r="AE17" s="262" t="s">
        <v>547</v>
      </c>
      <c r="AF17" s="262" t="s">
        <v>27</v>
      </c>
      <c r="AG17" s="262">
        <v>1.5</v>
      </c>
      <c r="AH17" s="262" t="s">
        <v>808</v>
      </c>
      <c r="AI17" s="244" t="s">
        <v>128</v>
      </c>
      <c r="AJ17" s="244" t="s">
        <v>128</v>
      </c>
      <c r="AK17" s="244" t="s">
        <v>128</v>
      </c>
      <c r="AL17" s="244" t="s">
        <v>128</v>
      </c>
      <c r="AM17" s="205" t="s">
        <v>811</v>
      </c>
      <c r="AN17" s="194" t="s">
        <v>240</v>
      </c>
      <c r="AO17" s="104"/>
      <c r="AP17" s="297"/>
      <c r="AQ17" s="205"/>
      <c r="AR17" s="194"/>
      <c r="AS17" s="140"/>
      <c r="AT17" s="140"/>
      <c r="AU17" s="140"/>
      <c r="AV17" s="140"/>
      <c r="AW17" s="140"/>
      <c r="AX17" s="179"/>
      <c r="AY17" s="228"/>
      <c r="AZ17" s="228"/>
      <c r="BA17" s="228"/>
      <c r="BB17" s="228"/>
      <c r="BC17" s="228"/>
      <c r="BD17" s="228"/>
      <c r="BE17" s="228"/>
      <c r="BF17" s="228"/>
      <c r="BG17" s="140" t="s">
        <v>269</v>
      </c>
      <c r="BH17" s="140" t="s">
        <v>264</v>
      </c>
      <c r="BI17" s="140" t="s">
        <v>264</v>
      </c>
    </row>
    <row r="18" spans="1:61" s="48" customFormat="1" x14ac:dyDescent="0.15">
      <c r="A18" s="215" t="s">
        <v>354</v>
      </c>
      <c r="B18" s="200">
        <v>1198</v>
      </c>
      <c r="C18" s="200" t="s">
        <v>22</v>
      </c>
      <c r="D18" s="200" t="s">
        <v>812</v>
      </c>
      <c r="E18" s="200" t="s">
        <v>34</v>
      </c>
      <c r="F18" s="200" t="s">
        <v>805</v>
      </c>
      <c r="G18" s="200" t="s">
        <v>23</v>
      </c>
      <c r="H18" s="200" t="s">
        <v>26</v>
      </c>
      <c r="I18" s="200">
        <v>7300000</v>
      </c>
      <c r="J18" s="42">
        <v>7300000</v>
      </c>
      <c r="K18" s="208">
        <v>1</v>
      </c>
      <c r="L18" s="206">
        <v>6</v>
      </c>
      <c r="M18" s="206" t="s">
        <v>27</v>
      </c>
      <c r="N18" s="196">
        <v>44841</v>
      </c>
      <c r="O18" s="195">
        <v>1</v>
      </c>
      <c r="P18" s="261" t="s">
        <v>27</v>
      </c>
      <c r="Q18" s="243" t="s">
        <v>128</v>
      </c>
      <c r="R18" s="262" t="s">
        <v>27</v>
      </c>
      <c r="S18" s="262">
        <v>1</v>
      </c>
      <c r="T18" s="262" t="s">
        <v>27</v>
      </c>
      <c r="U18" s="262">
        <v>1.5</v>
      </c>
      <c r="V18" s="262" t="s">
        <v>564</v>
      </c>
      <c r="W18" s="262" t="s">
        <v>27</v>
      </c>
      <c r="X18" s="262">
        <v>3</v>
      </c>
      <c r="Y18" s="262" t="s">
        <v>549</v>
      </c>
      <c r="Z18" s="262" t="s">
        <v>27</v>
      </c>
      <c r="AA18" s="262">
        <v>1.5</v>
      </c>
      <c r="AB18" s="262" t="s">
        <v>546</v>
      </c>
      <c r="AC18" s="262" t="s">
        <v>575</v>
      </c>
      <c r="AD18" s="244" t="s">
        <v>128</v>
      </c>
      <c r="AE18" s="244" t="s">
        <v>128</v>
      </c>
      <c r="AF18" s="262" t="s">
        <v>27</v>
      </c>
      <c r="AG18" s="262">
        <v>1.5</v>
      </c>
      <c r="AH18" s="262" t="s">
        <v>813</v>
      </c>
      <c r="AI18" s="244" t="s">
        <v>128</v>
      </c>
      <c r="AJ18" s="244" t="s">
        <v>128</v>
      </c>
      <c r="AK18" s="244" t="s">
        <v>128</v>
      </c>
      <c r="AL18" s="244" t="s">
        <v>128</v>
      </c>
      <c r="AM18" s="205"/>
      <c r="AN18" s="194"/>
      <c r="AO18" s="104"/>
      <c r="AP18" s="297"/>
      <c r="AQ18" s="205"/>
      <c r="AR18" s="194"/>
      <c r="AS18" s="140"/>
      <c r="AT18" s="140"/>
      <c r="AU18" s="140"/>
      <c r="AV18" s="140"/>
      <c r="AW18" s="140"/>
      <c r="AX18" s="179"/>
      <c r="AY18" s="228"/>
      <c r="AZ18" s="228"/>
      <c r="BA18" s="228"/>
      <c r="BB18" s="228"/>
      <c r="BC18" s="228"/>
      <c r="BD18" s="228"/>
      <c r="BE18" s="228"/>
      <c r="BF18" s="228"/>
      <c r="BG18" s="140"/>
      <c r="BH18" s="140"/>
      <c r="BI18" s="140"/>
    </row>
    <row r="19" spans="1:61" s="48" customFormat="1" x14ac:dyDescent="0.15">
      <c r="A19" s="215" t="s">
        <v>354</v>
      </c>
      <c r="B19" s="200">
        <v>1356</v>
      </c>
      <c r="C19" s="200" t="s">
        <v>29</v>
      </c>
      <c r="D19" s="200" t="s">
        <v>52</v>
      </c>
      <c r="E19" s="200" t="s">
        <v>38</v>
      </c>
      <c r="F19" s="200" t="s">
        <v>659</v>
      </c>
      <c r="G19" s="200" t="s">
        <v>814</v>
      </c>
      <c r="H19" s="200">
        <v>32360</v>
      </c>
      <c r="I19" s="200">
        <v>32076</v>
      </c>
      <c r="J19" s="42">
        <v>14700000</v>
      </c>
      <c r="K19" s="208">
        <v>1</v>
      </c>
      <c r="L19" s="206">
        <v>5</v>
      </c>
      <c r="M19" s="206" t="s">
        <v>27</v>
      </c>
      <c r="N19" s="196">
        <v>44834</v>
      </c>
      <c r="O19" s="195">
        <v>1</v>
      </c>
      <c r="P19" s="261" t="s">
        <v>27</v>
      </c>
      <c r="Q19" s="243" t="s">
        <v>128</v>
      </c>
      <c r="R19" s="262" t="s">
        <v>27</v>
      </c>
      <c r="S19" s="244" t="s">
        <v>128</v>
      </c>
      <c r="T19" s="262" t="s">
        <v>27</v>
      </c>
      <c r="U19" s="262">
        <v>3</v>
      </c>
      <c r="V19" s="262" t="s">
        <v>564</v>
      </c>
      <c r="W19" s="262" t="s">
        <v>27</v>
      </c>
      <c r="X19" s="262">
        <v>3</v>
      </c>
      <c r="Y19" s="262" t="s">
        <v>815</v>
      </c>
      <c r="Z19" s="262" t="s">
        <v>27</v>
      </c>
      <c r="AA19" s="262">
        <v>1.5</v>
      </c>
      <c r="AB19" s="262" t="s">
        <v>546</v>
      </c>
      <c r="AC19" s="262" t="s">
        <v>27</v>
      </c>
      <c r="AD19" s="262">
        <v>1</v>
      </c>
      <c r="AE19" s="262" t="s">
        <v>687</v>
      </c>
      <c r="AF19" s="262" t="s">
        <v>27</v>
      </c>
      <c r="AG19" s="262">
        <v>1</v>
      </c>
      <c r="AH19" s="244" t="s">
        <v>128</v>
      </c>
      <c r="AI19" s="244" t="s">
        <v>128</v>
      </c>
      <c r="AJ19" s="244" t="s">
        <v>128</v>
      </c>
      <c r="AK19" s="244" t="s">
        <v>128</v>
      </c>
      <c r="AL19" s="244" t="s">
        <v>128</v>
      </c>
      <c r="AM19" s="205" t="s">
        <v>660</v>
      </c>
      <c r="AN19" s="194" t="s">
        <v>240</v>
      </c>
      <c r="AO19" s="104"/>
      <c r="AP19" s="297"/>
      <c r="AQ19" s="205"/>
      <c r="AR19" s="194"/>
      <c r="AS19" s="140"/>
      <c r="AT19" s="140"/>
      <c r="AU19" s="140"/>
      <c r="AV19" s="140"/>
      <c r="AW19" s="140"/>
      <c r="AX19" s="179"/>
      <c r="AY19" s="228"/>
      <c r="AZ19" s="228"/>
      <c r="BA19" s="228"/>
      <c r="BB19" s="228"/>
      <c r="BC19" s="228"/>
      <c r="BD19" s="228"/>
      <c r="BE19" s="228"/>
      <c r="BF19" s="228"/>
      <c r="BG19" s="140" t="s">
        <v>269</v>
      </c>
      <c r="BH19" s="140" t="s">
        <v>264</v>
      </c>
      <c r="BI19" s="140" t="s">
        <v>264</v>
      </c>
    </row>
    <row r="20" spans="1:61" s="48" customFormat="1" x14ac:dyDescent="0.15">
      <c r="A20" s="215" t="s">
        <v>354</v>
      </c>
      <c r="B20" s="200">
        <v>1371</v>
      </c>
      <c r="C20" s="200" t="s">
        <v>29</v>
      </c>
      <c r="D20" s="200" t="s">
        <v>109</v>
      </c>
      <c r="E20" s="200" t="s">
        <v>38</v>
      </c>
      <c r="F20" s="200" t="s">
        <v>659</v>
      </c>
      <c r="G20" s="200" t="s">
        <v>814</v>
      </c>
      <c r="H20" s="200">
        <v>31330</v>
      </c>
      <c r="I20" s="200">
        <v>22945</v>
      </c>
      <c r="J20" s="42">
        <v>10500000</v>
      </c>
      <c r="K20" s="208">
        <v>1</v>
      </c>
      <c r="L20" s="206">
        <v>6</v>
      </c>
      <c r="M20" s="206" t="s">
        <v>27</v>
      </c>
      <c r="N20" s="196">
        <v>44847</v>
      </c>
      <c r="O20" s="195">
        <v>1</v>
      </c>
      <c r="P20" s="261" t="s">
        <v>27</v>
      </c>
      <c r="Q20" s="243" t="s">
        <v>128</v>
      </c>
      <c r="R20" s="262" t="s">
        <v>27</v>
      </c>
      <c r="S20" s="244" t="s">
        <v>128</v>
      </c>
      <c r="T20" s="262" t="s">
        <v>27</v>
      </c>
      <c r="U20" s="262">
        <v>4</v>
      </c>
      <c r="V20" s="262" t="s">
        <v>705</v>
      </c>
      <c r="W20" s="262" t="s">
        <v>27</v>
      </c>
      <c r="X20" s="262">
        <v>3</v>
      </c>
      <c r="Y20" s="262" t="s">
        <v>816</v>
      </c>
      <c r="Z20" s="262" t="s">
        <v>27</v>
      </c>
      <c r="AA20" s="244" t="s">
        <v>128</v>
      </c>
      <c r="AB20" s="262" t="s">
        <v>558</v>
      </c>
      <c r="AC20" s="262" t="s">
        <v>27</v>
      </c>
      <c r="AD20" s="262">
        <v>1.5</v>
      </c>
      <c r="AE20" s="262" t="s">
        <v>547</v>
      </c>
      <c r="AF20" s="262" t="s">
        <v>27</v>
      </c>
      <c r="AG20" s="262">
        <v>1.5</v>
      </c>
      <c r="AH20" s="262" t="s">
        <v>813</v>
      </c>
      <c r="AI20" s="244" t="s">
        <v>128</v>
      </c>
      <c r="AJ20" s="244" t="s">
        <v>128</v>
      </c>
      <c r="AK20" s="244" t="s">
        <v>128</v>
      </c>
      <c r="AL20" s="244" t="s">
        <v>128</v>
      </c>
      <c r="AM20" s="205" t="s">
        <v>702</v>
      </c>
      <c r="AN20" s="194" t="s">
        <v>240</v>
      </c>
      <c r="AO20" s="104"/>
      <c r="AP20" s="297"/>
      <c r="AQ20" s="205"/>
      <c r="AR20" s="194"/>
      <c r="AS20" s="140"/>
      <c r="AT20" s="140"/>
      <c r="AU20" s="140"/>
      <c r="AV20" s="140"/>
      <c r="AW20" s="140"/>
      <c r="AX20" s="179"/>
      <c r="AY20" s="228"/>
      <c r="AZ20" s="228"/>
      <c r="BA20" s="228"/>
      <c r="BB20" s="228"/>
      <c r="BC20" s="228"/>
      <c r="BD20" s="228"/>
      <c r="BE20" s="228"/>
      <c r="BF20" s="228"/>
      <c r="BG20" s="140" t="s">
        <v>269</v>
      </c>
      <c r="BH20" s="140" t="s">
        <v>264</v>
      </c>
      <c r="BI20" s="140" t="s">
        <v>264</v>
      </c>
    </row>
    <row r="23" spans="1:61" s="48" customFormat="1" hidden="1" x14ac:dyDescent="0.15">
      <c r="A23" s="22"/>
      <c r="B23" s="22"/>
      <c r="C23" s="22"/>
      <c r="D23" s="22"/>
      <c r="E23" s="22"/>
      <c r="F23" s="22"/>
      <c r="G23" s="22"/>
      <c r="H23" s="22"/>
      <c r="I23" s="22"/>
      <c r="J23" s="36"/>
      <c r="K23" s="19"/>
      <c r="L23" s="33"/>
      <c r="M23" s="19"/>
      <c r="N23" s="29"/>
      <c r="O23" s="46"/>
      <c r="P23" s="45" t="s">
        <v>128</v>
      </c>
      <c r="Q23" s="45" t="s">
        <v>128</v>
      </c>
      <c r="R23" s="45" t="s">
        <v>128</v>
      </c>
      <c r="S23" s="45" t="s">
        <v>128</v>
      </c>
      <c r="T23" s="45" t="s">
        <v>128</v>
      </c>
      <c r="U23" s="45" t="s">
        <v>128</v>
      </c>
      <c r="V23" s="45" t="s">
        <v>128</v>
      </c>
      <c r="W23" s="45" t="s">
        <v>128</v>
      </c>
      <c r="X23" s="45" t="s">
        <v>128</v>
      </c>
      <c r="Y23" s="45" t="s">
        <v>128</v>
      </c>
      <c r="Z23" s="45" t="s">
        <v>128</v>
      </c>
      <c r="AA23" s="45" t="s">
        <v>128</v>
      </c>
      <c r="AB23" s="45"/>
      <c r="AC23" s="45" t="s">
        <v>128</v>
      </c>
      <c r="AD23" s="45" t="s">
        <v>128</v>
      </c>
      <c r="AE23" s="45"/>
      <c r="AF23" s="45" t="s">
        <v>128</v>
      </c>
      <c r="AG23" s="45" t="s">
        <v>128</v>
      </c>
      <c r="AH23" s="244"/>
      <c r="AI23" s="244" t="s">
        <v>128</v>
      </c>
      <c r="AJ23" s="244" t="s">
        <v>128</v>
      </c>
      <c r="AK23" s="244" t="s">
        <v>128</v>
      </c>
      <c r="AL23" s="244" t="s">
        <v>128</v>
      </c>
      <c r="AM23" s="205"/>
      <c r="AN23" s="194"/>
      <c r="AO23" s="104"/>
      <c r="AP23" s="297"/>
      <c r="AQ23" s="205"/>
      <c r="AR23" s="194"/>
      <c r="AS23" s="140"/>
      <c r="AT23" s="140"/>
      <c r="AU23" s="140"/>
      <c r="AV23" s="140"/>
      <c r="AW23" s="140"/>
      <c r="AX23" s="140"/>
      <c r="BG23" s="43"/>
      <c r="BH23" s="43"/>
      <c r="BI23" s="43"/>
    </row>
    <row r="24" spans="1:61" s="48" customFormat="1" hidden="1" x14ac:dyDescent="0.15">
      <c r="A24" s="8"/>
      <c r="B24" s="8"/>
      <c r="C24" s="8"/>
      <c r="D24" s="8"/>
      <c r="E24" s="8"/>
      <c r="F24" s="8"/>
      <c r="G24" s="8"/>
      <c r="H24" s="8"/>
      <c r="I24" s="8"/>
      <c r="J24" s="35"/>
      <c r="K24" s="19"/>
      <c r="L24" s="33"/>
      <c r="M24" s="19"/>
      <c r="N24" s="29"/>
      <c r="O24" s="46"/>
      <c r="P24" s="45" t="s">
        <v>128</v>
      </c>
      <c r="Q24" s="45" t="s">
        <v>128</v>
      </c>
      <c r="R24" s="45" t="s">
        <v>128</v>
      </c>
      <c r="S24" s="45" t="s">
        <v>128</v>
      </c>
      <c r="T24" s="45" t="s">
        <v>128</v>
      </c>
      <c r="U24" s="45" t="s">
        <v>128</v>
      </c>
      <c r="V24" s="45" t="s">
        <v>128</v>
      </c>
      <c r="W24" s="45" t="s">
        <v>128</v>
      </c>
      <c r="X24" s="45" t="s">
        <v>128</v>
      </c>
      <c r="Y24" s="45" t="s">
        <v>128</v>
      </c>
      <c r="Z24" s="45" t="s">
        <v>128</v>
      </c>
      <c r="AA24" s="45" t="s">
        <v>128</v>
      </c>
      <c r="AB24" s="45"/>
      <c r="AC24" s="45" t="s">
        <v>128</v>
      </c>
      <c r="AD24" s="45" t="s">
        <v>128</v>
      </c>
      <c r="AE24" s="45"/>
      <c r="AF24" s="45" t="s">
        <v>128</v>
      </c>
      <c r="AG24" s="45" t="s">
        <v>128</v>
      </c>
      <c r="AH24" s="244"/>
      <c r="AI24" s="244" t="s">
        <v>128</v>
      </c>
      <c r="AJ24" s="244" t="s">
        <v>128</v>
      </c>
      <c r="AK24" s="244" t="s">
        <v>128</v>
      </c>
      <c r="AL24" s="244" t="s">
        <v>128</v>
      </c>
      <c r="AM24" s="205"/>
      <c r="AN24" s="194"/>
      <c r="AO24" s="104"/>
      <c r="AP24" s="297"/>
      <c r="AQ24" s="205"/>
      <c r="AR24" s="194"/>
      <c r="AS24" s="140"/>
      <c r="AT24" s="140"/>
      <c r="AU24" s="140"/>
      <c r="AV24" s="140"/>
      <c r="AW24" s="140"/>
      <c r="AX24" s="140"/>
      <c r="BG24" s="43"/>
      <c r="BH24" s="43"/>
      <c r="BI24" s="43"/>
    </row>
    <row r="25" spans="1:61" s="48" customFormat="1" hidden="1" x14ac:dyDescent="0.15">
      <c r="A25" s="22"/>
      <c r="B25" s="22"/>
      <c r="C25" s="22"/>
      <c r="D25" s="22"/>
      <c r="E25" s="22"/>
      <c r="F25" s="22"/>
      <c r="G25" s="22"/>
      <c r="H25" s="22"/>
      <c r="I25" s="22"/>
      <c r="J25" s="36"/>
      <c r="K25" s="19"/>
      <c r="L25" s="33"/>
      <c r="M25" s="19"/>
      <c r="N25" s="29"/>
      <c r="O25" s="46"/>
      <c r="P25" s="45" t="s">
        <v>128</v>
      </c>
      <c r="Q25" s="45" t="s">
        <v>128</v>
      </c>
      <c r="R25" s="45" t="s">
        <v>128</v>
      </c>
      <c r="S25" s="45" t="s">
        <v>128</v>
      </c>
      <c r="T25" s="45" t="s">
        <v>128</v>
      </c>
      <c r="U25" s="45" t="s">
        <v>128</v>
      </c>
      <c r="V25" s="45" t="s">
        <v>128</v>
      </c>
      <c r="W25" s="45" t="s">
        <v>128</v>
      </c>
      <c r="X25" s="45" t="s">
        <v>128</v>
      </c>
      <c r="Y25" s="45" t="s">
        <v>128</v>
      </c>
      <c r="Z25" s="45" t="s">
        <v>128</v>
      </c>
      <c r="AA25" s="45" t="s">
        <v>128</v>
      </c>
      <c r="AB25" s="45"/>
      <c r="AC25" s="45" t="s">
        <v>128</v>
      </c>
      <c r="AD25" s="45" t="s">
        <v>128</v>
      </c>
      <c r="AE25" s="45"/>
      <c r="AF25" s="45" t="s">
        <v>128</v>
      </c>
      <c r="AG25" s="45" t="s">
        <v>128</v>
      </c>
      <c r="AH25" s="244"/>
      <c r="AI25" s="244" t="s">
        <v>128</v>
      </c>
      <c r="AJ25" s="244" t="s">
        <v>128</v>
      </c>
      <c r="AK25" s="244" t="s">
        <v>128</v>
      </c>
      <c r="AL25" s="244" t="s">
        <v>128</v>
      </c>
      <c r="AM25" s="205"/>
      <c r="AN25" s="194"/>
      <c r="AO25" s="104"/>
      <c r="AP25" s="297"/>
      <c r="AQ25" s="205"/>
      <c r="AR25" s="194"/>
      <c r="AS25" s="140"/>
      <c r="AT25" s="140"/>
      <c r="AU25" s="140"/>
      <c r="AV25" s="140"/>
      <c r="AW25" s="140"/>
      <c r="AX25" s="140"/>
      <c r="BG25" s="43"/>
      <c r="BH25" s="43"/>
      <c r="BI25" s="43"/>
    </row>
    <row r="26" spans="1:61" s="48" customFormat="1" hidden="1" x14ac:dyDescent="0.15">
      <c r="A26" s="8"/>
      <c r="B26" s="8"/>
      <c r="C26" s="8"/>
      <c r="D26" s="8"/>
      <c r="E26" s="8"/>
      <c r="F26" s="8"/>
      <c r="G26" s="8"/>
      <c r="H26" s="8"/>
      <c r="I26" s="8"/>
      <c r="J26" s="35"/>
      <c r="K26" s="19"/>
      <c r="L26" s="33"/>
      <c r="M26" s="19"/>
      <c r="N26" s="29"/>
      <c r="O26" s="46"/>
      <c r="P26" s="45" t="s">
        <v>128</v>
      </c>
      <c r="Q26" s="45" t="s">
        <v>128</v>
      </c>
      <c r="R26" s="45" t="s">
        <v>128</v>
      </c>
      <c r="S26" s="45" t="s">
        <v>128</v>
      </c>
      <c r="T26" s="45" t="s">
        <v>128</v>
      </c>
      <c r="U26" s="45" t="s">
        <v>128</v>
      </c>
      <c r="V26" s="45" t="s">
        <v>128</v>
      </c>
      <c r="W26" s="45" t="s">
        <v>128</v>
      </c>
      <c r="X26" s="45" t="s">
        <v>128</v>
      </c>
      <c r="Y26" s="45" t="s">
        <v>128</v>
      </c>
      <c r="Z26" s="45" t="s">
        <v>128</v>
      </c>
      <c r="AA26" s="45" t="s">
        <v>128</v>
      </c>
      <c r="AB26" s="45"/>
      <c r="AC26" s="45" t="s">
        <v>128</v>
      </c>
      <c r="AD26" s="45" t="s">
        <v>128</v>
      </c>
      <c r="AE26" s="45"/>
      <c r="AF26" s="45" t="s">
        <v>128</v>
      </c>
      <c r="AG26" s="45" t="s">
        <v>128</v>
      </c>
      <c r="AH26" s="244"/>
      <c r="AI26" s="244" t="s">
        <v>128</v>
      </c>
      <c r="AJ26" s="244" t="s">
        <v>128</v>
      </c>
      <c r="AK26" s="244" t="s">
        <v>128</v>
      </c>
      <c r="AL26" s="244" t="s">
        <v>128</v>
      </c>
      <c r="AM26" s="205"/>
      <c r="AN26" s="194"/>
      <c r="AO26" s="104"/>
      <c r="AP26" s="297"/>
      <c r="AQ26" s="205"/>
      <c r="AR26" s="194"/>
      <c r="AS26" s="140"/>
      <c r="AT26" s="140"/>
      <c r="AU26" s="140"/>
      <c r="AV26" s="140"/>
      <c r="AW26" s="140"/>
      <c r="AX26" s="140"/>
      <c r="BG26" s="43"/>
      <c r="BH26" s="43"/>
      <c r="BI26" s="43"/>
    </row>
    <row r="27" spans="1:61" s="48" customFormat="1" hidden="1" x14ac:dyDescent="0.15">
      <c r="A27" s="22"/>
      <c r="B27" s="22"/>
      <c r="C27" s="22"/>
      <c r="D27" s="22"/>
      <c r="E27" s="22"/>
      <c r="F27" s="22"/>
      <c r="G27" s="22"/>
      <c r="H27" s="22"/>
      <c r="I27" s="22"/>
      <c r="J27" s="36"/>
      <c r="K27" s="19"/>
      <c r="L27" s="33"/>
      <c r="M27" s="19"/>
      <c r="N27" s="29"/>
      <c r="O27" s="46"/>
      <c r="P27" s="45" t="s">
        <v>128</v>
      </c>
      <c r="Q27" s="45" t="s">
        <v>128</v>
      </c>
      <c r="R27" s="45" t="s">
        <v>128</v>
      </c>
      <c r="S27" s="45" t="s">
        <v>128</v>
      </c>
      <c r="T27" s="45" t="s">
        <v>128</v>
      </c>
      <c r="U27" s="45" t="s">
        <v>128</v>
      </c>
      <c r="V27" s="45" t="s">
        <v>128</v>
      </c>
      <c r="W27" s="45" t="s">
        <v>128</v>
      </c>
      <c r="X27" s="45" t="s">
        <v>128</v>
      </c>
      <c r="Y27" s="45" t="s">
        <v>128</v>
      </c>
      <c r="Z27" s="45" t="s">
        <v>128</v>
      </c>
      <c r="AA27" s="45" t="s">
        <v>128</v>
      </c>
      <c r="AB27" s="45"/>
      <c r="AC27" s="45" t="s">
        <v>128</v>
      </c>
      <c r="AD27" s="45" t="s">
        <v>128</v>
      </c>
      <c r="AE27" s="45"/>
      <c r="AF27" s="45" t="s">
        <v>128</v>
      </c>
      <c r="AG27" s="45" t="s">
        <v>128</v>
      </c>
      <c r="AH27" s="244"/>
      <c r="AI27" s="244" t="s">
        <v>128</v>
      </c>
      <c r="AJ27" s="244" t="s">
        <v>128</v>
      </c>
      <c r="AK27" s="244" t="s">
        <v>128</v>
      </c>
      <c r="AL27" s="244" t="s">
        <v>128</v>
      </c>
      <c r="AM27" s="205"/>
      <c r="AN27" s="194"/>
      <c r="AO27" s="104"/>
      <c r="AP27" s="297"/>
      <c r="AQ27" s="205"/>
      <c r="AR27" s="194"/>
      <c r="AS27" s="140"/>
      <c r="AT27" s="140"/>
      <c r="AU27" s="140"/>
      <c r="AV27" s="140"/>
      <c r="AW27" s="140"/>
      <c r="AX27" s="140"/>
      <c r="BG27" s="43"/>
      <c r="BH27" s="43"/>
      <c r="BI27" s="43"/>
    </row>
    <row r="28" spans="1:61" s="48" customFormat="1" hidden="1" x14ac:dyDescent="0.15">
      <c r="A28" s="8"/>
      <c r="B28" s="8"/>
      <c r="C28" s="8"/>
      <c r="D28" s="8"/>
      <c r="E28" s="8"/>
      <c r="F28" s="8"/>
      <c r="G28" s="8"/>
      <c r="H28" s="8"/>
      <c r="I28" s="8"/>
      <c r="J28" s="35"/>
      <c r="K28" s="19"/>
      <c r="L28" s="33"/>
      <c r="M28" s="19"/>
      <c r="N28" s="29"/>
      <c r="O28" s="46"/>
      <c r="P28" s="45" t="s">
        <v>128</v>
      </c>
      <c r="Q28" s="45" t="s">
        <v>128</v>
      </c>
      <c r="R28" s="45" t="s">
        <v>128</v>
      </c>
      <c r="S28" s="45" t="s">
        <v>128</v>
      </c>
      <c r="T28" s="45" t="s">
        <v>128</v>
      </c>
      <c r="U28" s="45" t="s">
        <v>128</v>
      </c>
      <c r="V28" s="45" t="s">
        <v>128</v>
      </c>
      <c r="W28" s="45" t="s">
        <v>128</v>
      </c>
      <c r="X28" s="45" t="s">
        <v>128</v>
      </c>
      <c r="Y28" s="45" t="s">
        <v>128</v>
      </c>
      <c r="Z28" s="45" t="s">
        <v>128</v>
      </c>
      <c r="AA28" s="45" t="s">
        <v>128</v>
      </c>
      <c r="AB28" s="45"/>
      <c r="AC28" s="45" t="s">
        <v>128</v>
      </c>
      <c r="AD28" s="45" t="s">
        <v>128</v>
      </c>
      <c r="AE28" s="45"/>
      <c r="AF28" s="45" t="s">
        <v>128</v>
      </c>
      <c r="AG28" s="45" t="s">
        <v>128</v>
      </c>
      <c r="AH28" s="244"/>
      <c r="AI28" s="244" t="s">
        <v>128</v>
      </c>
      <c r="AJ28" s="244" t="s">
        <v>128</v>
      </c>
      <c r="AK28" s="244" t="s">
        <v>128</v>
      </c>
      <c r="AL28" s="244" t="s">
        <v>128</v>
      </c>
      <c r="AM28" s="205"/>
      <c r="AN28" s="194"/>
      <c r="AO28" s="104"/>
      <c r="AP28" s="297"/>
      <c r="AQ28" s="205"/>
      <c r="AR28" s="194"/>
      <c r="AS28" s="140"/>
      <c r="AT28" s="140"/>
      <c r="AU28" s="140"/>
      <c r="AV28" s="140"/>
      <c r="AW28" s="140"/>
      <c r="AX28" s="140"/>
      <c r="BG28" s="43"/>
      <c r="BH28" s="43"/>
      <c r="BI28" s="43"/>
    </row>
    <row r="29" spans="1:61" s="48" customFormat="1" hidden="1" x14ac:dyDescent="0.15">
      <c r="A29" s="22"/>
      <c r="B29" s="22"/>
      <c r="C29" s="22"/>
      <c r="D29" s="22"/>
      <c r="E29" s="22"/>
      <c r="F29" s="22"/>
      <c r="G29" s="22"/>
      <c r="H29" s="22"/>
      <c r="I29" s="22"/>
      <c r="J29" s="36"/>
      <c r="K29" s="19"/>
      <c r="L29" s="33"/>
      <c r="M29" s="19"/>
      <c r="N29" s="29"/>
      <c r="O29" s="46"/>
      <c r="P29" s="45" t="s">
        <v>128</v>
      </c>
      <c r="Q29" s="45" t="s">
        <v>128</v>
      </c>
      <c r="R29" s="45" t="s">
        <v>128</v>
      </c>
      <c r="S29" s="45" t="s">
        <v>128</v>
      </c>
      <c r="T29" s="45" t="s">
        <v>128</v>
      </c>
      <c r="U29" s="45" t="s">
        <v>128</v>
      </c>
      <c r="V29" s="45" t="s">
        <v>128</v>
      </c>
      <c r="W29" s="45" t="s">
        <v>128</v>
      </c>
      <c r="X29" s="45" t="s">
        <v>128</v>
      </c>
      <c r="Y29" s="45" t="s">
        <v>128</v>
      </c>
      <c r="Z29" s="45" t="s">
        <v>128</v>
      </c>
      <c r="AA29" s="45" t="s">
        <v>128</v>
      </c>
      <c r="AB29" s="45"/>
      <c r="AC29" s="45" t="s">
        <v>128</v>
      </c>
      <c r="AD29" s="45" t="s">
        <v>128</v>
      </c>
      <c r="AE29" s="45"/>
      <c r="AF29" s="45" t="s">
        <v>128</v>
      </c>
      <c r="AG29" s="45" t="s">
        <v>128</v>
      </c>
      <c r="AH29" s="244"/>
      <c r="AI29" s="244" t="s">
        <v>128</v>
      </c>
      <c r="AJ29" s="244" t="s">
        <v>128</v>
      </c>
      <c r="AK29" s="244" t="s">
        <v>128</v>
      </c>
      <c r="AL29" s="244" t="s">
        <v>128</v>
      </c>
      <c r="AM29" s="205"/>
      <c r="AN29" s="194"/>
      <c r="AO29" s="104"/>
      <c r="AP29" s="297"/>
      <c r="AQ29" s="205"/>
      <c r="AR29" s="194"/>
      <c r="AS29" s="140"/>
      <c r="AT29" s="140"/>
      <c r="AU29" s="140"/>
      <c r="AV29" s="140"/>
      <c r="AW29" s="140"/>
      <c r="AX29" s="140"/>
      <c r="BG29" s="43"/>
      <c r="BH29" s="43"/>
      <c r="BI29" s="43"/>
    </row>
    <row r="30" spans="1:61" s="48" customFormat="1" hidden="1" x14ac:dyDescent="0.15">
      <c r="A30" s="8"/>
      <c r="B30" s="8"/>
      <c r="C30" s="8"/>
      <c r="D30" s="8"/>
      <c r="E30" s="8"/>
      <c r="F30" s="8"/>
      <c r="G30" s="8"/>
      <c r="H30" s="8"/>
      <c r="I30" s="8"/>
      <c r="J30" s="35"/>
      <c r="K30" s="19"/>
      <c r="L30" s="33"/>
      <c r="M30" s="19"/>
      <c r="N30" s="29"/>
      <c r="O30" s="46"/>
      <c r="P30" s="45" t="s">
        <v>128</v>
      </c>
      <c r="Q30" s="45" t="s">
        <v>128</v>
      </c>
      <c r="R30" s="45" t="s">
        <v>128</v>
      </c>
      <c r="S30" s="45" t="s">
        <v>128</v>
      </c>
      <c r="T30" s="45" t="s">
        <v>128</v>
      </c>
      <c r="U30" s="45" t="s">
        <v>128</v>
      </c>
      <c r="V30" s="45" t="s">
        <v>128</v>
      </c>
      <c r="W30" s="45" t="s">
        <v>128</v>
      </c>
      <c r="X30" s="45" t="s">
        <v>128</v>
      </c>
      <c r="Y30" s="45" t="s">
        <v>128</v>
      </c>
      <c r="Z30" s="45" t="s">
        <v>128</v>
      </c>
      <c r="AA30" s="45" t="s">
        <v>128</v>
      </c>
      <c r="AB30" s="45"/>
      <c r="AC30" s="45" t="s">
        <v>128</v>
      </c>
      <c r="AD30" s="45" t="s">
        <v>128</v>
      </c>
      <c r="AE30" s="45"/>
      <c r="AF30" s="45" t="s">
        <v>128</v>
      </c>
      <c r="AG30" s="45" t="s">
        <v>128</v>
      </c>
      <c r="AH30" s="244"/>
      <c r="AI30" s="244" t="s">
        <v>128</v>
      </c>
      <c r="AJ30" s="244" t="s">
        <v>128</v>
      </c>
      <c r="AK30" s="244" t="s">
        <v>128</v>
      </c>
      <c r="AL30" s="244" t="s">
        <v>128</v>
      </c>
      <c r="AM30" s="205"/>
      <c r="AN30" s="194"/>
      <c r="AO30" s="104"/>
      <c r="AP30" s="297"/>
      <c r="AQ30" s="205"/>
      <c r="AR30" s="194"/>
      <c r="AS30" s="140"/>
      <c r="AT30" s="140"/>
      <c r="AU30" s="140"/>
      <c r="AV30" s="140"/>
      <c r="AW30" s="140"/>
      <c r="AX30" s="140"/>
      <c r="BG30" s="43"/>
      <c r="BH30" s="43"/>
      <c r="BI30" s="43"/>
    </row>
    <row r="31" spans="1:61" s="48" customFormat="1" hidden="1" x14ac:dyDescent="0.15">
      <c r="A31" s="22"/>
      <c r="B31" s="22"/>
      <c r="C31" s="22"/>
      <c r="D31" s="22"/>
      <c r="E31" s="22"/>
      <c r="F31" s="22"/>
      <c r="G31" s="22"/>
      <c r="H31" s="22"/>
      <c r="I31" s="22"/>
      <c r="J31" s="36"/>
      <c r="K31" s="19"/>
      <c r="L31" s="33"/>
      <c r="M31" s="19"/>
      <c r="N31" s="29"/>
      <c r="O31" s="46"/>
      <c r="P31" s="45" t="s">
        <v>128</v>
      </c>
      <c r="Q31" s="45" t="s">
        <v>128</v>
      </c>
      <c r="R31" s="45" t="s">
        <v>128</v>
      </c>
      <c r="S31" s="45" t="s">
        <v>128</v>
      </c>
      <c r="T31" s="45" t="s">
        <v>128</v>
      </c>
      <c r="U31" s="45" t="s">
        <v>128</v>
      </c>
      <c r="V31" s="45" t="s">
        <v>128</v>
      </c>
      <c r="W31" s="45" t="s">
        <v>128</v>
      </c>
      <c r="X31" s="45" t="s">
        <v>128</v>
      </c>
      <c r="Y31" s="45" t="s">
        <v>128</v>
      </c>
      <c r="Z31" s="45" t="s">
        <v>128</v>
      </c>
      <c r="AA31" s="45" t="s">
        <v>128</v>
      </c>
      <c r="AB31" s="45"/>
      <c r="AC31" s="45" t="s">
        <v>128</v>
      </c>
      <c r="AD31" s="45" t="s">
        <v>128</v>
      </c>
      <c r="AE31" s="45"/>
      <c r="AF31" s="45" t="s">
        <v>128</v>
      </c>
      <c r="AG31" s="45" t="s">
        <v>128</v>
      </c>
      <c r="AH31" s="244"/>
      <c r="AI31" s="244" t="s">
        <v>128</v>
      </c>
      <c r="AJ31" s="244" t="s">
        <v>128</v>
      </c>
      <c r="AK31" s="244" t="s">
        <v>128</v>
      </c>
      <c r="AL31" s="244" t="s">
        <v>128</v>
      </c>
      <c r="AM31" s="205"/>
      <c r="AN31" s="194"/>
      <c r="AO31" s="104"/>
      <c r="AP31" s="297"/>
      <c r="AQ31" s="205"/>
      <c r="AR31" s="194"/>
      <c r="AS31" s="140"/>
      <c r="AT31" s="140"/>
      <c r="AU31" s="140"/>
      <c r="AV31" s="140"/>
      <c r="AW31" s="140"/>
      <c r="AX31" s="140"/>
      <c r="BG31" s="43"/>
      <c r="BH31" s="43"/>
      <c r="BI31" s="43"/>
    </row>
    <row r="32" spans="1:61" s="48" customFormat="1" hidden="1" x14ac:dyDescent="0.15">
      <c r="A32" s="8"/>
      <c r="B32" s="8"/>
      <c r="C32" s="8"/>
      <c r="D32" s="8"/>
      <c r="E32" s="8"/>
      <c r="F32" s="8"/>
      <c r="G32" s="8"/>
      <c r="H32" s="8"/>
      <c r="I32" s="8"/>
      <c r="J32" s="35"/>
      <c r="K32" s="19"/>
      <c r="L32" s="33"/>
      <c r="M32" s="19"/>
      <c r="N32" s="29"/>
      <c r="O32" s="46"/>
      <c r="P32" s="45" t="s">
        <v>128</v>
      </c>
      <c r="Q32" s="45" t="s">
        <v>128</v>
      </c>
      <c r="R32" s="45" t="s">
        <v>128</v>
      </c>
      <c r="S32" s="45" t="s">
        <v>128</v>
      </c>
      <c r="T32" s="45" t="s">
        <v>128</v>
      </c>
      <c r="U32" s="45" t="s">
        <v>128</v>
      </c>
      <c r="V32" s="45" t="s">
        <v>128</v>
      </c>
      <c r="W32" s="45" t="s">
        <v>128</v>
      </c>
      <c r="X32" s="45" t="s">
        <v>128</v>
      </c>
      <c r="Y32" s="45" t="s">
        <v>128</v>
      </c>
      <c r="Z32" s="45" t="s">
        <v>128</v>
      </c>
      <c r="AA32" s="45" t="s">
        <v>128</v>
      </c>
      <c r="AB32" s="45"/>
      <c r="AC32" s="45" t="s">
        <v>128</v>
      </c>
      <c r="AD32" s="45" t="s">
        <v>128</v>
      </c>
      <c r="AE32" s="45"/>
      <c r="AF32" s="45" t="s">
        <v>128</v>
      </c>
      <c r="AG32" s="45" t="s">
        <v>128</v>
      </c>
      <c r="AH32" s="244"/>
      <c r="AI32" s="244" t="s">
        <v>128</v>
      </c>
      <c r="AJ32" s="244" t="s">
        <v>128</v>
      </c>
      <c r="AK32" s="244" t="s">
        <v>128</v>
      </c>
      <c r="AL32" s="244" t="s">
        <v>128</v>
      </c>
      <c r="AM32" s="205"/>
      <c r="AN32" s="194"/>
      <c r="AO32" s="104"/>
      <c r="AP32" s="297"/>
      <c r="AQ32" s="205"/>
      <c r="AR32" s="194"/>
      <c r="AS32" s="140"/>
      <c r="AT32" s="140"/>
      <c r="AU32" s="140"/>
      <c r="AV32" s="140"/>
      <c r="AW32" s="140"/>
      <c r="AX32" s="140"/>
      <c r="BG32" s="43"/>
      <c r="BH32" s="43"/>
      <c r="BI32" s="43"/>
    </row>
    <row r="33" spans="1:61" s="48" customFormat="1" hidden="1" x14ac:dyDescent="0.15">
      <c r="A33" s="22"/>
      <c r="B33" s="22"/>
      <c r="C33" s="22"/>
      <c r="D33" s="22"/>
      <c r="E33" s="22"/>
      <c r="F33" s="22"/>
      <c r="G33" s="22"/>
      <c r="H33" s="22"/>
      <c r="I33" s="22"/>
      <c r="J33" s="36"/>
      <c r="K33" s="19"/>
      <c r="L33" s="33"/>
      <c r="M33" s="19"/>
      <c r="N33" s="29"/>
      <c r="O33" s="46"/>
      <c r="P33" s="45" t="s">
        <v>128</v>
      </c>
      <c r="Q33" s="45" t="s">
        <v>128</v>
      </c>
      <c r="R33" s="45" t="s">
        <v>128</v>
      </c>
      <c r="S33" s="45" t="s">
        <v>128</v>
      </c>
      <c r="T33" s="45" t="s">
        <v>128</v>
      </c>
      <c r="U33" s="45" t="s">
        <v>128</v>
      </c>
      <c r="V33" s="45" t="s">
        <v>128</v>
      </c>
      <c r="W33" s="45" t="s">
        <v>128</v>
      </c>
      <c r="X33" s="45" t="s">
        <v>128</v>
      </c>
      <c r="Y33" s="45" t="s">
        <v>128</v>
      </c>
      <c r="Z33" s="45" t="s">
        <v>128</v>
      </c>
      <c r="AA33" s="45" t="s">
        <v>128</v>
      </c>
      <c r="AB33" s="45"/>
      <c r="AC33" s="45" t="s">
        <v>128</v>
      </c>
      <c r="AD33" s="45" t="s">
        <v>128</v>
      </c>
      <c r="AE33" s="45"/>
      <c r="AF33" s="45" t="s">
        <v>128</v>
      </c>
      <c r="AG33" s="45" t="s">
        <v>128</v>
      </c>
      <c r="AH33" s="244"/>
      <c r="AI33" s="244" t="s">
        <v>128</v>
      </c>
      <c r="AJ33" s="244" t="s">
        <v>128</v>
      </c>
      <c r="AK33" s="244" t="s">
        <v>128</v>
      </c>
      <c r="AL33" s="244" t="s">
        <v>128</v>
      </c>
      <c r="AM33" s="205"/>
      <c r="AN33" s="194"/>
      <c r="AO33" s="104"/>
      <c r="AP33" s="297"/>
      <c r="AQ33" s="205"/>
      <c r="AR33" s="194"/>
      <c r="AS33" s="140"/>
      <c r="AT33" s="140"/>
      <c r="AU33" s="140"/>
      <c r="AV33" s="140"/>
      <c r="AW33" s="140"/>
      <c r="AX33" s="140"/>
      <c r="BG33" s="43"/>
      <c r="BH33" s="43"/>
      <c r="BI33" s="43"/>
    </row>
    <row r="34" spans="1:61" s="48" customFormat="1" hidden="1" x14ac:dyDescent="0.15">
      <c r="A34" s="8"/>
      <c r="B34" s="8"/>
      <c r="C34" s="8"/>
      <c r="D34" s="8"/>
      <c r="E34" s="8"/>
      <c r="F34" s="8"/>
      <c r="G34" s="8"/>
      <c r="H34" s="8"/>
      <c r="I34" s="8"/>
      <c r="J34" s="35"/>
      <c r="K34" s="19"/>
      <c r="L34" s="33"/>
      <c r="M34" s="19"/>
      <c r="N34" s="29"/>
      <c r="O34" s="46"/>
      <c r="P34" s="45" t="s">
        <v>128</v>
      </c>
      <c r="Q34" s="45" t="s">
        <v>128</v>
      </c>
      <c r="R34" s="45" t="s">
        <v>128</v>
      </c>
      <c r="S34" s="45" t="s">
        <v>128</v>
      </c>
      <c r="T34" s="45" t="s">
        <v>128</v>
      </c>
      <c r="U34" s="45" t="s">
        <v>128</v>
      </c>
      <c r="V34" s="45" t="s">
        <v>128</v>
      </c>
      <c r="W34" s="45" t="s">
        <v>128</v>
      </c>
      <c r="X34" s="45" t="s">
        <v>128</v>
      </c>
      <c r="Y34" s="45" t="s">
        <v>128</v>
      </c>
      <c r="Z34" s="45" t="s">
        <v>128</v>
      </c>
      <c r="AA34" s="45" t="s">
        <v>128</v>
      </c>
      <c r="AB34" s="45"/>
      <c r="AC34" s="45" t="s">
        <v>128</v>
      </c>
      <c r="AD34" s="45" t="s">
        <v>128</v>
      </c>
      <c r="AE34" s="45"/>
      <c r="AF34" s="45" t="s">
        <v>128</v>
      </c>
      <c r="AG34" s="45" t="s">
        <v>128</v>
      </c>
      <c r="AH34" s="244"/>
      <c r="AI34" s="244" t="s">
        <v>128</v>
      </c>
      <c r="AJ34" s="244" t="s">
        <v>128</v>
      </c>
      <c r="AK34" s="244" t="s">
        <v>128</v>
      </c>
      <c r="AL34" s="244" t="s">
        <v>128</v>
      </c>
      <c r="AM34" s="205"/>
      <c r="AN34" s="194"/>
      <c r="AO34" s="104"/>
      <c r="AP34" s="297"/>
      <c r="AQ34" s="205"/>
      <c r="AR34" s="194"/>
      <c r="AS34" s="140"/>
      <c r="AT34" s="140"/>
      <c r="AU34" s="140"/>
      <c r="AV34" s="140"/>
      <c r="AW34" s="140"/>
      <c r="AX34" s="140"/>
      <c r="BG34" s="43"/>
      <c r="BH34" s="43"/>
      <c r="BI34" s="43"/>
    </row>
    <row r="35" spans="1:61" s="48" customFormat="1" hidden="1" x14ac:dyDescent="0.15">
      <c r="A35" s="22"/>
      <c r="B35" s="22"/>
      <c r="C35" s="22"/>
      <c r="D35" s="22"/>
      <c r="E35" s="22"/>
      <c r="F35" s="22"/>
      <c r="G35" s="22"/>
      <c r="H35" s="22"/>
      <c r="I35" s="22"/>
      <c r="J35" s="36"/>
      <c r="K35" s="19"/>
      <c r="L35" s="33"/>
      <c r="M35" s="19"/>
      <c r="N35" s="29"/>
      <c r="O35" s="46"/>
      <c r="P35" s="45" t="s">
        <v>128</v>
      </c>
      <c r="Q35" s="45" t="s">
        <v>128</v>
      </c>
      <c r="R35" s="45" t="s">
        <v>128</v>
      </c>
      <c r="S35" s="45" t="s">
        <v>128</v>
      </c>
      <c r="T35" s="45" t="s">
        <v>128</v>
      </c>
      <c r="U35" s="45" t="s">
        <v>128</v>
      </c>
      <c r="V35" s="45" t="s">
        <v>128</v>
      </c>
      <c r="W35" s="45" t="s">
        <v>128</v>
      </c>
      <c r="X35" s="45" t="s">
        <v>128</v>
      </c>
      <c r="Y35" s="45" t="s">
        <v>128</v>
      </c>
      <c r="Z35" s="45" t="s">
        <v>128</v>
      </c>
      <c r="AA35" s="45" t="s">
        <v>128</v>
      </c>
      <c r="AB35" s="45"/>
      <c r="AC35" s="45" t="s">
        <v>128</v>
      </c>
      <c r="AD35" s="45" t="s">
        <v>128</v>
      </c>
      <c r="AE35" s="45"/>
      <c r="AF35" s="45" t="s">
        <v>128</v>
      </c>
      <c r="AG35" s="45" t="s">
        <v>128</v>
      </c>
      <c r="AH35" s="244"/>
      <c r="AI35" s="244" t="s">
        <v>128</v>
      </c>
      <c r="AJ35" s="244" t="s">
        <v>128</v>
      </c>
      <c r="AK35" s="244" t="s">
        <v>128</v>
      </c>
      <c r="AL35" s="244" t="s">
        <v>128</v>
      </c>
      <c r="AM35" s="205"/>
      <c r="AN35" s="194"/>
      <c r="AO35" s="104"/>
      <c r="AP35" s="297"/>
      <c r="AQ35" s="205"/>
      <c r="AR35" s="194"/>
      <c r="AS35" s="140"/>
      <c r="AT35" s="140"/>
      <c r="AU35" s="140"/>
      <c r="AV35" s="140"/>
      <c r="AW35" s="140"/>
      <c r="AX35" s="140"/>
      <c r="BG35" s="43"/>
      <c r="BH35" s="43"/>
      <c r="BI35" s="43"/>
    </row>
    <row r="36" spans="1:61" s="48" customFormat="1" hidden="1" x14ac:dyDescent="0.15">
      <c r="A36" s="8"/>
      <c r="B36" s="8"/>
      <c r="C36" s="8"/>
      <c r="D36" s="8"/>
      <c r="E36" s="8"/>
      <c r="F36" s="8"/>
      <c r="G36" s="8"/>
      <c r="H36" s="8"/>
      <c r="I36" s="8"/>
      <c r="J36" s="35"/>
      <c r="K36" s="19"/>
      <c r="L36" s="33"/>
      <c r="M36" s="19"/>
      <c r="N36" s="29"/>
      <c r="O36" s="46"/>
      <c r="P36" s="45" t="s">
        <v>128</v>
      </c>
      <c r="Q36" s="45" t="s">
        <v>128</v>
      </c>
      <c r="R36" s="45" t="s">
        <v>128</v>
      </c>
      <c r="S36" s="45" t="s">
        <v>128</v>
      </c>
      <c r="T36" s="45" t="s">
        <v>128</v>
      </c>
      <c r="U36" s="45" t="s">
        <v>128</v>
      </c>
      <c r="V36" s="45" t="s">
        <v>128</v>
      </c>
      <c r="W36" s="45" t="s">
        <v>128</v>
      </c>
      <c r="X36" s="45" t="s">
        <v>128</v>
      </c>
      <c r="Y36" s="45" t="s">
        <v>128</v>
      </c>
      <c r="Z36" s="45" t="s">
        <v>128</v>
      </c>
      <c r="AA36" s="45" t="s">
        <v>128</v>
      </c>
      <c r="AB36" s="45"/>
      <c r="AC36" s="45" t="s">
        <v>128</v>
      </c>
      <c r="AD36" s="45" t="s">
        <v>128</v>
      </c>
      <c r="AE36" s="45"/>
      <c r="AF36" s="45" t="s">
        <v>128</v>
      </c>
      <c r="AG36" s="45" t="s">
        <v>128</v>
      </c>
      <c r="AH36" s="244"/>
      <c r="AI36" s="244" t="s">
        <v>128</v>
      </c>
      <c r="AJ36" s="244" t="s">
        <v>128</v>
      </c>
      <c r="AK36" s="244" t="s">
        <v>128</v>
      </c>
      <c r="AL36" s="244" t="s">
        <v>128</v>
      </c>
      <c r="AM36" s="205"/>
      <c r="AN36" s="194"/>
      <c r="AO36" s="104"/>
      <c r="AP36" s="297"/>
      <c r="AQ36" s="205"/>
      <c r="AR36" s="194"/>
      <c r="AS36" s="140"/>
      <c r="AT36" s="140"/>
      <c r="AU36" s="140"/>
      <c r="AV36" s="140"/>
      <c r="AW36" s="140"/>
      <c r="AX36" s="140"/>
      <c r="BG36" s="43"/>
      <c r="BH36" s="43"/>
      <c r="BI36" s="43"/>
    </row>
    <row r="37" spans="1:61" s="48" customFormat="1" hidden="1" x14ac:dyDescent="0.15">
      <c r="A37" s="22"/>
      <c r="B37" s="22"/>
      <c r="C37" s="22"/>
      <c r="D37" s="22"/>
      <c r="E37" s="22"/>
      <c r="F37" s="22"/>
      <c r="G37" s="22"/>
      <c r="H37" s="22"/>
      <c r="I37" s="22"/>
      <c r="J37" s="36"/>
      <c r="K37" s="19"/>
      <c r="L37" s="33"/>
      <c r="M37" s="19"/>
      <c r="N37" s="29"/>
      <c r="O37" s="46"/>
      <c r="P37" s="45" t="s">
        <v>128</v>
      </c>
      <c r="Q37" s="45" t="s">
        <v>128</v>
      </c>
      <c r="R37" s="45" t="s">
        <v>128</v>
      </c>
      <c r="S37" s="45" t="s">
        <v>128</v>
      </c>
      <c r="T37" s="45" t="s">
        <v>128</v>
      </c>
      <c r="U37" s="45" t="s">
        <v>128</v>
      </c>
      <c r="V37" s="45" t="s">
        <v>128</v>
      </c>
      <c r="W37" s="45" t="s">
        <v>128</v>
      </c>
      <c r="X37" s="45" t="s">
        <v>128</v>
      </c>
      <c r="Y37" s="45" t="s">
        <v>128</v>
      </c>
      <c r="Z37" s="45" t="s">
        <v>128</v>
      </c>
      <c r="AA37" s="45" t="s">
        <v>128</v>
      </c>
      <c r="AB37" s="45"/>
      <c r="AC37" s="45" t="s">
        <v>128</v>
      </c>
      <c r="AD37" s="45" t="s">
        <v>128</v>
      </c>
      <c r="AE37" s="45"/>
      <c r="AF37" s="45" t="s">
        <v>128</v>
      </c>
      <c r="AG37" s="45" t="s">
        <v>128</v>
      </c>
      <c r="AH37" s="244"/>
      <c r="AI37" s="244" t="s">
        <v>128</v>
      </c>
      <c r="AJ37" s="244" t="s">
        <v>128</v>
      </c>
      <c r="AK37" s="244" t="s">
        <v>128</v>
      </c>
      <c r="AL37" s="244" t="s">
        <v>128</v>
      </c>
      <c r="AM37" s="205"/>
      <c r="AN37" s="194"/>
      <c r="AO37" s="104"/>
      <c r="AP37" s="297"/>
      <c r="AQ37" s="205"/>
      <c r="AR37" s="194"/>
      <c r="AS37" s="140"/>
      <c r="AT37" s="140"/>
      <c r="AU37" s="140"/>
      <c r="AV37" s="140"/>
      <c r="AW37" s="140"/>
      <c r="AX37" s="140"/>
      <c r="BG37" s="43"/>
      <c r="BH37" s="43"/>
      <c r="BI37" s="43"/>
    </row>
    <row r="38" spans="1:61" s="48" customFormat="1" hidden="1" x14ac:dyDescent="0.15">
      <c r="A38" s="8"/>
      <c r="B38" s="8"/>
      <c r="C38" s="8"/>
      <c r="D38" s="8"/>
      <c r="E38" s="8"/>
      <c r="F38" s="8"/>
      <c r="G38" s="8"/>
      <c r="H38" s="8"/>
      <c r="I38" s="8"/>
      <c r="J38" s="35"/>
      <c r="K38" s="19"/>
      <c r="L38" s="33"/>
      <c r="M38" s="19"/>
      <c r="N38" s="29"/>
      <c r="O38" s="46"/>
      <c r="P38" s="45" t="s">
        <v>128</v>
      </c>
      <c r="Q38" s="45" t="s">
        <v>128</v>
      </c>
      <c r="R38" s="45" t="s">
        <v>128</v>
      </c>
      <c r="S38" s="45" t="s">
        <v>128</v>
      </c>
      <c r="T38" s="45" t="s">
        <v>128</v>
      </c>
      <c r="U38" s="45" t="s">
        <v>128</v>
      </c>
      <c r="V38" s="45" t="s">
        <v>128</v>
      </c>
      <c r="W38" s="45" t="s">
        <v>128</v>
      </c>
      <c r="X38" s="45" t="s">
        <v>128</v>
      </c>
      <c r="Y38" s="45" t="s">
        <v>128</v>
      </c>
      <c r="Z38" s="45" t="s">
        <v>128</v>
      </c>
      <c r="AA38" s="45" t="s">
        <v>128</v>
      </c>
      <c r="AB38" s="45"/>
      <c r="AC38" s="45" t="s">
        <v>128</v>
      </c>
      <c r="AD38" s="45" t="s">
        <v>128</v>
      </c>
      <c r="AE38" s="45"/>
      <c r="AF38" s="45" t="s">
        <v>128</v>
      </c>
      <c r="AG38" s="45" t="s">
        <v>128</v>
      </c>
      <c r="AH38" s="244"/>
      <c r="AI38" s="244" t="s">
        <v>128</v>
      </c>
      <c r="AJ38" s="244" t="s">
        <v>128</v>
      </c>
      <c r="AK38" s="244" t="s">
        <v>128</v>
      </c>
      <c r="AL38" s="244" t="s">
        <v>128</v>
      </c>
      <c r="AM38" s="205"/>
      <c r="AN38" s="194"/>
      <c r="AO38" s="104"/>
      <c r="AP38" s="297"/>
      <c r="AQ38" s="205"/>
      <c r="AR38" s="194"/>
      <c r="AS38" s="140"/>
      <c r="AT38" s="140"/>
      <c r="AU38" s="140"/>
      <c r="AV38" s="140"/>
      <c r="AW38" s="140"/>
      <c r="AX38" s="140"/>
      <c r="BG38" s="43"/>
      <c r="BH38" s="43"/>
      <c r="BI38" s="43"/>
    </row>
    <row r="39" spans="1:61" s="48" customFormat="1" hidden="1" x14ac:dyDescent="0.15">
      <c r="A39" s="22"/>
      <c r="B39" s="22"/>
      <c r="C39" s="22"/>
      <c r="D39" s="22"/>
      <c r="E39" s="22"/>
      <c r="F39" s="22"/>
      <c r="G39" s="22"/>
      <c r="H39" s="22"/>
      <c r="I39" s="22"/>
      <c r="J39" s="36"/>
      <c r="K39" s="19"/>
      <c r="L39" s="33"/>
      <c r="M39" s="19"/>
      <c r="N39" s="29"/>
      <c r="O39" s="46"/>
      <c r="P39" s="45" t="s">
        <v>128</v>
      </c>
      <c r="Q39" s="45" t="s">
        <v>128</v>
      </c>
      <c r="R39" s="45" t="s">
        <v>128</v>
      </c>
      <c r="S39" s="45" t="s">
        <v>128</v>
      </c>
      <c r="T39" s="45" t="s">
        <v>128</v>
      </c>
      <c r="U39" s="45" t="s">
        <v>128</v>
      </c>
      <c r="V39" s="45" t="s">
        <v>128</v>
      </c>
      <c r="W39" s="45" t="s">
        <v>128</v>
      </c>
      <c r="X39" s="45" t="s">
        <v>128</v>
      </c>
      <c r="Y39" s="45" t="s">
        <v>128</v>
      </c>
      <c r="Z39" s="45" t="s">
        <v>128</v>
      </c>
      <c r="AA39" s="45" t="s">
        <v>128</v>
      </c>
      <c r="AB39" s="45"/>
      <c r="AC39" s="45" t="s">
        <v>128</v>
      </c>
      <c r="AD39" s="45" t="s">
        <v>128</v>
      </c>
      <c r="AE39" s="45"/>
      <c r="AF39" s="45" t="s">
        <v>128</v>
      </c>
      <c r="AG39" s="45" t="s">
        <v>128</v>
      </c>
      <c r="AH39" s="244"/>
      <c r="AI39" s="244" t="s">
        <v>128</v>
      </c>
      <c r="AJ39" s="244" t="s">
        <v>128</v>
      </c>
      <c r="AK39" s="244" t="s">
        <v>128</v>
      </c>
      <c r="AL39" s="244" t="s">
        <v>128</v>
      </c>
      <c r="AM39" s="205"/>
      <c r="AN39" s="194"/>
      <c r="AO39" s="104"/>
      <c r="AP39" s="297"/>
      <c r="AQ39" s="205"/>
      <c r="AR39" s="194"/>
      <c r="AS39" s="140"/>
      <c r="AT39" s="140"/>
      <c r="AU39" s="140"/>
      <c r="AV39" s="140"/>
      <c r="AW39" s="140"/>
      <c r="AX39" s="140"/>
      <c r="BG39" s="43"/>
      <c r="BH39" s="43"/>
      <c r="BI39" s="43"/>
    </row>
    <row r="40" spans="1:61" s="48" customFormat="1" hidden="1" x14ac:dyDescent="0.15">
      <c r="A40" s="22"/>
      <c r="B40" s="22"/>
      <c r="C40" s="22"/>
      <c r="D40" s="22"/>
      <c r="E40" s="22"/>
      <c r="F40" s="22"/>
      <c r="G40" s="22"/>
      <c r="H40" s="22"/>
      <c r="I40" s="22"/>
      <c r="J40" s="36"/>
      <c r="K40" s="19"/>
      <c r="L40" s="33"/>
      <c r="M40" s="19"/>
      <c r="N40" s="29"/>
      <c r="O40" s="46"/>
      <c r="P40" s="45" t="s">
        <v>128</v>
      </c>
      <c r="Q40" s="45" t="s">
        <v>128</v>
      </c>
      <c r="R40" s="45" t="s">
        <v>128</v>
      </c>
      <c r="S40" s="45" t="s">
        <v>128</v>
      </c>
      <c r="T40" s="45" t="s">
        <v>128</v>
      </c>
      <c r="U40" s="45" t="s">
        <v>128</v>
      </c>
      <c r="V40" s="45" t="s">
        <v>128</v>
      </c>
      <c r="W40" s="45" t="s">
        <v>128</v>
      </c>
      <c r="X40" s="45" t="s">
        <v>128</v>
      </c>
      <c r="Y40" s="45" t="s">
        <v>128</v>
      </c>
      <c r="Z40" s="45" t="s">
        <v>128</v>
      </c>
      <c r="AA40" s="45" t="s">
        <v>128</v>
      </c>
      <c r="AB40" s="45"/>
      <c r="AC40" s="45" t="s">
        <v>128</v>
      </c>
      <c r="AD40" s="45" t="s">
        <v>128</v>
      </c>
      <c r="AE40" s="45"/>
      <c r="AF40" s="45" t="s">
        <v>128</v>
      </c>
      <c r="AG40" s="45" t="s">
        <v>128</v>
      </c>
      <c r="AH40" s="244"/>
      <c r="AI40" s="244" t="s">
        <v>128</v>
      </c>
      <c r="AJ40" s="244" t="s">
        <v>128</v>
      </c>
      <c r="AK40" s="244" t="s">
        <v>128</v>
      </c>
      <c r="AL40" s="244" t="s">
        <v>128</v>
      </c>
      <c r="AM40" s="205"/>
      <c r="AN40" s="194"/>
      <c r="AO40" s="104"/>
      <c r="AP40" s="297"/>
      <c r="AQ40" s="205"/>
      <c r="AR40" s="194"/>
      <c r="AS40" s="140"/>
      <c r="AT40" s="140"/>
      <c r="AU40" s="140"/>
      <c r="AV40" s="140"/>
      <c r="AW40" s="140"/>
      <c r="AX40" s="140"/>
      <c r="BG40" s="43"/>
      <c r="BH40" s="43"/>
      <c r="BI40" s="43"/>
    </row>
    <row r="41" spans="1:61" s="48" customFormat="1" hidden="1" x14ac:dyDescent="0.15">
      <c r="A41" s="8"/>
      <c r="B41" s="8"/>
      <c r="C41" s="8"/>
      <c r="D41" s="8"/>
      <c r="E41" s="8"/>
      <c r="F41" s="8"/>
      <c r="G41" s="8"/>
      <c r="H41" s="8"/>
      <c r="I41" s="8"/>
      <c r="J41" s="35"/>
      <c r="K41" s="19"/>
      <c r="L41" s="33"/>
      <c r="M41" s="19"/>
      <c r="N41" s="29"/>
      <c r="O41" s="46"/>
      <c r="P41" s="45" t="s">
        <v>128</v>
      </c>
      <c r="Q41" s="45" t="s">
        <v>128</v>
      </c>
      <c r="R41" s="45" t="s">
        <v>128</v>
      </c>
      <c r="S41" s="45" t="s">
        <v>128</v>
      </c>
      <c r="T41" s="45" t="s">
        <v>128</v>
      </c>
      <c r="U41" s="45" t="s">
        <v>128</v>
      </c>
      <c r="V41" s="45" t="s">
        <v>128</v>
      </c>
      <c r="W41" s="45" t="s">
        <v>128</v>
      </c>
      <c r="X41" s="45" t="s">
        <v>128</v>
      </c>
      <c r="Y41" s="45" t="s">
        <v>128</v>
      </c>
      <c r="Z41" s="45" t="s">
        <v>128</v>
      </c>
      <c r="AA41" s="45" t="s">
        <v>128</v>
      </c>
      <c r="AB41" s="45"/>
      <c r="AC41" s="45" t="s">
        <v>128</v>
      </c>
      <c r="AD41" s="45" t="s">
        <v>128</v>
      </c>
      <c r="AE41" s="45"/>
      <c r="AF41" s="45" t="s">
        <v>128</v>
      </c>
      <c r="AG41" s="45" t="s">
        <v>128</v>
      </c>
      <c r="AH41" s="244"/>
      <c r="AI41" s="244" t="s">
        <v>128</v>
      </c>
      <c r="AJ41" s="244" t="s">
        <v>128</v>
      </c>
      <c r="AK41" s="244" t="s">
        <v>128</v>
      </c>
      <c r="AL41" s="244" t="s">
        <v>128</v>
      </c>
      <c r="AM41" s="205"/>
      <c r="AN41" s="194"/>
      <c r="AO41" s="104"/>
      <c r="AP41" s="297"/>
      <c r="AQ41" s="205"/>
      <c r="AR41" s="194"/>
      <c r="AS41" s="140"/>
      <c r="AT41" s="140"/>
      <c r="AU41" s="140"/>
      <c r="AV41" s="140"/>
      <c r="AW41" s="140"/>
      <c r="AX41" s="140"/>
      <c r="BG41" s="43"/>
      <c r="BH41" s="43"/>
      <c r="BI41" s="43"/>
    </row>
    <row r="42" spans="1:61" s="48" customFormat="1" hidden="1" x14ac:dyDescent="0.15">
      <c r="A42" s="22"/>
      <c r="B42" s="22"/>
      <c r="C42" s="22"/>
      <c r="D42" s="22"/>
      <c r="E42" s="22"/>
      <c r="F42" s="22"/>
      <c r="G42" s="22"/>
      <c r="H42" s="22"/>
      <c r="I42" s="22"/>
      <c r="J42" s="36"/>
      <c r="K42" s="19"/>
      <c r="L42" s="33"/>
      <c r="M42" s="19"/>
      <c r="N42" s="29"/>
      <c r="O42" s="46"/>
      <c r="P42" s="45" t="s">
        <v>128</v>
      </c>
      <c r="Q42" s="45" t="s">
        <v>128</v>
      </c>
      <c r="R42" s="45" t="s">
        <v>128</v>
      </c>
      <c r="S42" s="45" t="s">
        <v>128</v>
      </c>
      <c r="T42" s="45" t="s">
        <v>128</v>
      </c>
      <c r="U42" s="45" t="s">
        <v>128</v>
      </c>
      <c r="V42" s="45" t="s">
        <v>128</v>
      </c>
      <c r="W42" s="45" t="s">
        <v>128</v>
      </c>
      <c r="X42" s="45" t="s">
        <v>128</v>
      </c>
      <c r="Y42" s="45" t="s">
        <v>128</v>
      </c>
      <c r="Z42" s="45" t="s">
        <v>128</v>
      </c>
      <c r="AA42" s="45" t="s">
        <v>128</v>
      </c>
      <c r="AB42" s="45"/>
      <c r="AC42" s="45" t="s">
        <v>128</v>
      </c>
      <c r="AD42" s="45" t="s">
        <v>128</v>
      </c>
      <c r="AE42" s="45"/>
      <c r="AF42" s="45" t="s">
        <v>128</v>
      </c>
      <c r="AG42" s="45" t="s">
        <v>128</v>
      </c>
      <c r="AH42" s="244"/>
      <c r="AI42" s="244" t="s">
        <v>128</v>
      </c>
      <c r="AJ42" s="244" t="s">
        <v>128</v>
      </c>
      <c r="AK42" s="244" t="s">
        <v>128</v>
      </c>
      <c r="AL42" s="244" t="s">
        <v>128</v>
      </c>
      <c r="AM42" s="205"/>
      <c r="AN42" s="194"/>
      <c r="AO42" s="104"/>
      <c r="AP42" s="297"/>
      <c r="AQ42" s="205"/>
      <c r="AR42" s="194"/>
      <c r="AS42" s="140"/>
      <c r="AT42" s="140"/>
      <c r="AU42" s="140"/>
      <c r="AV42" s="140"/>
      <c r="AW42" s="140"/>
      <c r="AX42" s="140"/>
      <c r="BG42" s="43"/>
      <c r="BH42" s="43"/>
      <c r="BI42" s="43"/>
    </row>
    <row r="43" spans="1:61" s="48" customFormat="1" hidden="1" x14ac:dyDescent="0.15">
      <c r="A43" s="8"/>
      <c r="B43" s="8"/>
      <c r="C43" s="8"/>
      <c r="D43" s="8"/>
      <c r="E43" s="8"/>
      <c r="F43" s="8"/>
      <c r="G43" s="8"/>
      <c r="H43" s="8"/>
      <c r="I43" s="8"/>
      <c r="J43" s="35"/>
      <c r="K43" s="19"/>
      <c r="L43" s="33"/>
      <c r="M43" s="19"/>
      <c r="N43" s="29"/>
      <c r="O43" s="46"/>
      <c r="P43" s="45" t="s">
        <v>128</v>
      </c>
      <c r="Q43" s="45" t="s">
        <v>128</v>
      </c>
      <c r="R43" s="45" t="s">
        <v>128</v>
      </c>
      <c r="S43" s="45" t="s">
        <v>128</v>
      </c>
      <c r="T43" s="45" t="s">
        <v>128</v>
      </c>
      <c r="U43" s="45" t="s">
        <v>128</v>
      </c>
      <c r="V43" s="45" t="s">
        <v>128</v>
      </c>
      <c r="W43" s="45" t="s">
        <v>128</v>
      </c>
      <c r="X43" s="45" t="s">
        <v>128</v>
      </c>
      <c r="Y43" s="45" t="s">
        <v>128</v>
      </c>
      <c r="Z43" s="45" t="s">
        <v>128</v>
      </c>
      <c r="AA43" s="45" t="s">
        <v>128</v>
      </c>
      <c r="AB43" s="45"/>
      <c r="AC43" s="45" t="s">
        <v>128</v>
      </c>
      <c r="AD43" s="45" t="s">
        <v>128</v>
      </c>
      <c r="AE43" s="45"/>
      <c r="AF43" s="45" t="s">
        <v>128</v>
      </c>
      <c r="AG43" s="45" t="s">
        <v>128</v>
      </c>
      <c r="AH43" s="244"/>
      <c r="AI43" s="244" t="s">
        <v>128</v>
      </c>
      <c r="AJ43" s="244" t="s">
        <v>128</v>
      </c>
      <c r="AK43" s="244" t="s">
        <v>128</v>
      </c>
      <c r="AL43" s="244" t="s">
        <v>128</v>
      </c>
      <c r="AM43" s="205"/>
      <c r="AN43" s="194"/>
      <c r="AO43" s="104"/>
      <c r="AP43" s="297"/>
      <c r="AQ43" s="205"/>
      <c r="AR43" s="194"/>
      <c r="AS43" s="140"/>
      <c r="AT43" s="140"/>
      <c r="AU43" s="140"/>
      <c r="AV43" s="140"/>
      <c r="AW43" s="140"/>
      <c r="AX43" s="140"/>
      <c r="BG43" s="43"/>
      <c r="BH43" s="43"/>
      <c r="BI43" s="43"/>
    </row>
    <row r="44" spans="1:61" s="48" customFormat="1" hidden="1" x14ac:dyDescent="0.15">
      <c r="A44" s="22"/>
      <c r="B44" s="22"/>
      <c r="C44" s="22"/>
      <c r="D44" s="22"/>
      <c r="E44" s="22"/>
      <c r="F44" s="22"/>
      <c r="G44" s="22"/>
      <c r="H44" s="22"/>
      <c r="I44" s="22"/>
      <c r="J44" s="36"/>
      <c r="K44" s="19"/>
      <c r="L44" s="33"/>
      <c r="M44" s="19"/>
      <c r="N44" s="29"/>
      <c r="O44" s="46"/>
      <c r="P44" s="45" t="s">
        <v>128</v>
      </c>
      <c r="Q44" s="45" t="s">
        <v>128</v>
      </c>
      <c r="R44" s="45" t="s">
        <v>128</v>
      </c>
      <c r="S44" s="45" t="s">
        <v>128</v>
      </c>
      <c r="T44" s="45" t="s">
        <v>128</v>
      </c>
      <c r="U44" s="45" t="s">
        <v>128</v>
      </c>
      <c r="V44" s="45" t="s">
        <v>128</v>
      </c>
      <c r="W44" s="45" t="s">
        <v>128</v>
      </c>
      <c r="X44" s="45" t="s">
        <v>128</v>
      </c>
      <c r="Y44" s="45" t="s">
        <v>128</v>
      </c>
      <c r="Z44" s="45" t="s">
        <v>128</v>
      </c>
      <c r="AA44" s="45" t="s">
        <v>128</v>
      </c>
      <c r="AB44" s="45"/>
      <c r="AC44" s="45" t="s">
        <v>128</v>
      </c>
      <c r="AD44" s="45" t="s">
        <v>128</v>
      </c>
      <c r="AE44" s="45"/>
      <c r="AF44" s="45" t="s">
        <v>128</v>
      </c>
      <c r="AG44" s="45" t="s">
        <v>128</v>
      </c>
      <c r="AH44" s="244"/>
      <c r="AI44" s="244" t="s">
        <v>128</v>
      </c>
      <c r="AJ44" s="244" t="s">
        <v>128</v>
      </c>
      <c r="AK44" s="244" t="s">
        <v>128</v>
      </c>
      <c r="AL44" s="244" t="s">
        <v>128</v>
      </c>
      <c r="AM44" s="205"/>
      <c r="AN44" s="194"/>
      <c r="AO44" s="104"/>
      <c r="AP44" s="297"/>
      <c r="AQ44" s="205"/>
      <c r="AR44" s="194"/>
      <c r="AS44" s="140"/>
      <c r="AT44" s="140"/>
      <c r="AU44" s="140"/>
      <c r="AV44" s="140"/>
      <c r="AW44" s="140"/>
      <c r="AX44" s="140"/>
      <c r="AY44" s="1"/>
      <c r="BG44" s="43"/>
      <c r="BH44" s="43"/>
      <c r="BI44" s="43"/>
    </row>
    <row r="45" spans="1:61" x14ac:dyDescent="0.2">
      <c r="C45" s="8"/>
      <c r="D45" s="23"/>
      <c r="E45" s="8"/>
      <c r="F45" s="8"/>
      <c r="G45" s="8"/>
      <c r="H45" s="8"/>
      <c r="I45" s="8"/>
      <c r="J45" s="35"/>
      <c r="K45" s="19"/>
      <c r="L45" s="33"/>
      <c r="M45" s="19"/>
      <c r="N45"/>
      <c r="O45"/>
      <c r="P45"/>
      <c r="Q45"/>
      <c r="R45"/>
      <c r="S45"/>
      <c r="T45"/>
      <c r="U45"/>
      <c r="V45"/>
      <c r="W45"/>
      <c r="X45"/>
      <c r="Y45"/>
      <c r="Z45"/>
      <c r="AA45"/>
      <c r="AB45"/>
      <c r="AC45"/>
      <c r="AD45"/>
      <c r="AE45"/>
      <c r="AF45"/>
      <c r="AG45"/>
      <c r="AH45" s="8"/>
      <c r="AI45" s="8"/>
      <c r="AJ45" s="8"/>
      <c r="AK45" s="8"/>
      <c r="AL45" s="8"/>
      <c r="AM45" s="8"/>
      <c r="AN45" s="8"/>
      <c r="AO45" s="8"/>
      <c r="AP45" s="8"/>
      <c r="AQ45" s="8"/>
      <c r="AR45" s="8"/>
      <c r="AS45" s="8"/>
      <c r="AT45" s="8"/>
      <c r="AU45" s="8"/>
      <c r="AV45" s="8"/>
      <c r="AW45" s="8"/>
      <c r="AX45" s="8"/>
      <c r="AY45" s="8"/>
    </row>
    <row r="46" spans="1:61" s="8" customFormat="1" x14ac:dyDescent="0.2">
      <c r="C46" s="366" t="s">
        <v>83</v>
      </c>
      <c r="D46" s="366"/>
      <c r="E46" s="43" t="s">
        <v>4</v>
      </c>
      <c r="F46" s="1"/>
      <c r="G46" s="1"/>
      <c r="H46" s="31" t="s">
        <v>817</v>
      </c>
      <c r="I46" s="30">
        <f>SUM(O2:O44)</f>
        <v>19</v>
      </c>
      <c r="J46" s="20">
        <f>SUM(J2:J44)</f>
        <v>509017650</v>
      </c>
      <c r="K46" s="24">
        <f>SUM(P46:AJ46)</f>
        <v>1</v>
      </c>
      <c r="L46" s="1"/>
      <c r="M46" s="1"/>
      <c r="N46" s="21"/>
      <c r="P46" s="19">
        <v>0.03</v>
      </c>
      <c r="Q46" s="19"/>
      <c r="R46" s="19">
        <v>0.1</v>
      </c>
      <c r="S46" s="19"/>
      <c r="T46" s="19">
        <v>0.3</v>
      </c>
      <c r="U46" s="19"/>
      <c r="V46" s="19"/>
      <c r="W46" s="19">
        <v>0.3</v>
      </c>
      <c r="X46" s="19"/>
      <c r="Y46" s="19"/>
      <c r="Z46" s="19">
        <v>0.1</v>
      </c>
      <c r="AA46" s="19"/>
      <c r="AB46" s="19"/>
      <c r="AC46" s="19">
        <v>0.12</v>
      </c>
      <c r="AD46" s="19"/>
      <c r="AE46" s="19"/>
      <c r="AF46" s="19">
        <v>0.05</v>
      </c>
      <c r="AG46" s="19"/>
      <c r="AH46" s="1"/>
      <c r="AI46" s="1"/>
      <c r="AJ46" s="1"/>
      <c r="AK46" s="1"/>
      <c r="AL46" s="1"/>
      <c r="AM46" s="1"/>
      <c r="AN46" s="1"/>
      <c r="AO46" s="1"/>
      <c r="AP46" s="1"/>
      <c r="AQ46" s="1"/>
      <c r="AR46" s="1"/>
      <c r="AS46" s="1"/>
      <c r="AT46" s="1"/>
      <c r="AU46" s="1"/>
      <c r="AV46" s="1"/>
      <c r="AW46" s="1"/>
      <c r="AX46" s="1"/>
      <c r="AY46" s="1"/>
    </row>
    <row r="47" spans="1:61" x14ac:dyDescent="0.2">
      <c r="C47" s="23" t="s">
        <v>24</v>
      </c>
      <c r="D47" s="8">
        <f t="shared" ref="D47:D53" si="0">SUMIF($E$2:$E$44,C47,$O$2:$O$44)</f>
        <v>2</v>
      </c>
      <c r="E47" s="23" t="s">
        <v>29</v>
      </c>
      <c r="F47" s="8">
        <f>SUMIF($C$2:$C$44,E47,$O$2:$O$48)</f>
        <v>5</v>
      </c>
      <c r="M47" s="360" t="s">
        <v>406</v>
      </c>
      <c r="N47" s="360"/>
      <c r="O47" s="360"/>
      <c r="AH47" s="8"/>
      <c r="AI47" s="8"/>
      <c r="AJ47" s="8"/>
      <c r="AK47" s="8"/>
      <c r="AL47" s="8"/>
      <c r="AM47" s="8"/>
      <c r="AN47" s="8"/>
      <c r="AO47" s="8"/>
      <c r="AP47" s="8"/>
      <c r="AQ47" s="8"/>
      <c r="AR47" s="8"/>
      <c r="AS47" s="8"/>
      <c r="AT47" s="8"/>
      <c r="AU47" s="8"/>
      <c r="AV47" s="8"/>
      <c r="AW47" s="8"/>
      <c r="AX47" s="8"/>
      <c r="AY47" s="8"/>
    </row>
    <row r="48" spans="1:61" s="8" customFormat="1" x14ac:dyDescent="0.2">
      <c r="C48" s="23" t="s">
        <v>66</v>
      </c>
      <c r="D48" s="8">
        <f t="shared" si="0"/>
        <v>1</v>
      </c>
      <c r="E48" s="23" t="s">
        <v>22</v>
      </c>
      <c r="F48" s="8">
        <f>SUMIF($C$2:$C$44,E48,$O$2:$O$48)</f>
        <v>14</v>
      </c>
      <c r="G48" s="1"/>
      <c r="H48" s="348" t="s">
        <v>75</v>
      </c>
      <c r="I48" s="348"/>
      <c r="J48" s="20">
        <f>SUMIF(K2:K44,K48,J2:J44)</f>
        <v>509017650</v>
      </c>
      <c r="K48" s="24">
        <v>1</v>
      </c>
      <c r="L48" s="1"/>
      <c r="M48" s="48"/>
      <c r="N48" s="43">
        <f>SUMIF($K$2:$K$44,K48,$O$2:$O$44)</f>
        <v>19</v>
      </c>
      <c r="O48" s="43"/>
      <c r="P48" s="1"/>
      <c r="Q48" s="1"/>
      <c r="R48" s="1"/>
      <c r="S48" s="1"/>
      <c r="T48" s="1"/>
      <c r="U48" s="1"/>
      <c r="V48" s="1"/>
      <c r="W48" s="1"/>
      <c r="X48" s="1"/>
      <c r="Y48" s="1"/>
      <c r="Z48" s="1"/>
      <c r="AA48" s="1"/>
      <c r="AB48" s="1"/>
      <c r="AC48" s="1"/>
      <c r="AD48" s="1"/>
      <c r="AE48" s="1"/>
      <c r="AF48" s="1"/>
      <c r="AG48" s="1"/>
    </row>
    <row r="49" spans="1:61" s="8" customFormat="1" x14ac:dyDescent="0.2">
      <c r="C49" s="1" t="s">
        <v>34</v>
      </c>
      <c r="D49" s="8">
        <f t="shared" si="0"/>
        <v>2</v>
      </c>
      <c r="E49" s="1"/>
      <c r="F49" s="1"/>
      <c r="G49" s="1"/>
      <c r="H49" s="1" t="s">
        <v>76</v>
      </c>
      <c r="I49" s="2" t="s">
        <v>604</v>
      </c>
      <c r="J49" s="20">
        <f t="shared" ref="J49:J57" si="1">SUMIF($L$2:$L$44,K49,$J$2:$J$44)</f>
        <v>0</v>
      </c>
      <c r="K49" s="25">
        <v>1</v>
      </c>
      <c r="L49" s="1"/>
      <c r="M49" s="1"/>
      <c r="N49" s="21"/>
      <c r="P49" s="1"/>
      <c r="Q49" s="1"/>
      <c r="R49" s="1"/>
      <c r="S49" s="1"/>
      <c r="T49" s="1"/>
      <c r="U49" s="1"/>
      <c r="V49" s="1"/>
      <c r="W49" s="1"/>
      <c r="X49" s="1"/>
      <c r="Y49" s="1"/>
      <c r="Z49" s="1"/>
      <c r="AA49" s="1"/>
      <c r="AB49" s="1"/>
      <c r="AC49" s="1"/>
      <c r="AD49" s="1"/>
      <c r="AE49" s="1"/>
      <c r="AF49" s="1"/>
      <c r="AG49" s="1"/>
    </row>
    <row r="50" spans="1:61" s="8" customFormat="1" x14ac:dyDescent="0.2">
      <c r="C50" s="23" t="s">
        <v>31</v>
      </c>
      <c r="D50" s="8">
        <f t="shared" si="0"/>
        <v>1</v>
      </c>
      <c r="E50" s="1"/>
      <c r="F50" s="1"/>
      <c r="G50" s="1"/>
      <c r="H50" s="1" t="s">
        <v>76</v>
      </c>
      <c r="I50" s="2" t="s">
        <v>680</v>
      </c>
      <c r="J50" s="20">
        <f t="shared" si="1"/>
        <v>0</v>
      </c>
      <c r="K50" s="25">
        <v>2</v>
      </c>
      <c r="L50" s="1"/>
      <c r="M50" s="1"/>
      <c r="N50" s="21"/>
      <c r="P50" s="1"/>
      <c r="Q50" s="1"/>
      <c r="R50" s="1"/>
      <c r="S50" s="1"/>
      <c r="T50" s="1"/>
      <c r="U50" s="1"/>
      <c r="V50" s="1"/>
      <c r="W50" s="1"/>
      <c r="X50" s="1"/>
      <c r="Y50" s="1"/>
      <c r="Z50" s="1"/>
      <c r="AA50" s="1"/>
      <c r="AB50" s="1"/>
      <c r="AC50" s="1"/>
      <c r="AD50" s="1"/>
      <c r="AE50" s="1"/>
      <c r="AF50" s="1"/>
      <c r="AG50" s="1"/>
    </row>
    <row r="51" spans="1:61" s="8" customFormat="1" x14ac:dyDescent="0.2">
      <c r="C51" s="23" t="s">
        <v>85</v>
      </c>
      <c r="D51" s="8">
        <f t="shared" si="0"/>
        <v>0</v>
      </c>
      <c r="E51" s="1"/>
      <c r="F51" s="1"/>
      <c r="G51" s="1"/>
      <c r="H51" s="1" t="s">
        <v>76</v>
      </c>
      <c r="I51" s="2" t="s">
        <v>681</v>
      </c>
      <c r="J51" s="20">
        <f t="shared" si="1"/>
        <v>6700000</v>
      </c>
      <c r="K51" s="25">
        <v>3</v>
      </c>
      <c r="L51" s="1"/>
      <c r="M51" s="1"/>
      <c r="N51" s="21"/>
      <c r="P51" s="1"/>
      <c r="Q51" s="1"/>
      <c r="R51" s="1"/>
      <c r="S51" s="1"/>
      <c r="T51" s="1"/>
      <c r="U51" s="1"/>
      <c r="V51" s="1"/>
      <c r="W51" s="1"/>
      <c r="X51" s="1"/>
      <c r="Y51" s="1"/>
      <c r="Z51" s="1"/>
      <c r="AA51" s="1"/>
      <c r="AB51" s="1"/>
      <c r="AC51" s="1"/>
      <c r="AD51" s="1"/>
      <c r="AE51" s="1"/>
      <c r="AF51" s="1"/>
      <c r="AG51" s="1"/>
    </row>
    <row r="52" spans="1:61" s="8" customFormat="1" x14ac:dyDescent="0.2">
      <c r="C52" s="23" t="s">
        <v>46</v>
      </c>
      <c r="D52" s="8">
        <f t="shared" si="0"/>
        <v>2</v>
      </c>
      <c r="E52" s="1"/>
      <c r="F52" s="1"/>
      <c r="G52" s="1"/>
      <c r="H52" s="1" t="s">
        <v>76</v>
      </c>
      <c r="I52" s="2" t="s">
        <v>682</v>
      </c>
      <c r="J52" s="20">
        <f t="shared" si="1"/>
        <v>47500000</v>
      </c>
      <c r="K52" s="25">
        <v>4</v>
      </c>
      <c r="L52" s="1"/>
      <c r="M52" s="1"/>
      <c r="N52" s="2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row>
    <row r="53" spans="1:61" x14ac:dyDescent="0.2">
      <c r="C53" s="23" t="s">
        <v>38</v>
      </c>
      <c r="D53" s="8">
        <f t="shared" si="0"/>
        <v>11</v>
      </c>
      <c r="H53" s="1" t="s">
        <v>76</v>
      </c>
      <c r="I53" s="2" t="s">
        <v>683</v>
      </c>
      <c r="J53" s="20">
        <f t="shared" si="1"/>
        <v>27574000</v>
      </c>
      <c r="K53" s="25">
        <v>5</v>
      </c>
    </row>
    <row r="54" spans="1:61" x14ac:dyDescent="0.2">
      <c r="H54" s="1" t="s">
        <v>76</v>
      </c>
      <c r="I54" s="2" t="s">
        <v>818</v>
      </c>
      <c r="J54" s="20">
        <f t="shared" si="1"/>
        <v>133000000</v>
      </c>
      <c r="K54" s="25">
        <v>6</v>
      </c>
    </row>
    <row r="55" spans="1:61" x14ac:dyDescent="0.2">
      <c r="C55" s="3" t="s">
        <v>157</v>
      </c>
      <c r="D55" s="8">
        <f>SUM(D47:D53)</f>
        <v>19</v>
      </c>
      <c r="E55" s="3" t="s">
        <v>157</v>
      </c>
      <c r="F55" s="8">
        <f>SUM(F47:F48)</f>
        <v>19</v>
      </c>
      <c r="H55" s="1" t="s">
        <v>76</v>
      </c>
      <c r="I55" s="2" t="s">
        <v>819</v>
      </c>
      <c r="J55" s="20">
        <f t="shared" si="1"/>
        <v>80400000</v>
      </c>
      <c r="K55" s="25">
        <v>7</v>
      </c>
      <c r="L55" s="33"/>
    </row>
    <row r="56" spans="1:61" x14ac:dyDescent="0.2">
      <c r="C56" s="3"/>
      <c r="D56" s="8"/>
      <c r="E56" s="3"/>
      <c r="F56" s="8"/>
      <c r="H56" s="1" t="s">
        <v>76</v>
      </c>
      <c r="I56" s="2" t="s">
        <v>820</v>
      </c>
      <c r="J56" s="20">
        <f t="shared" si="1"/>
        <v>213843650</v>
      </c>
      <c r="K56" s="25">
        <v>8</v>
      </c>
      <c r="L56" s="33"/>
    </row>
    <row r="57" spans="1:61" x14ac:dyDescent="0.2">
      <c r="C57" s="3"/>
      <c r="D57" s="8"/>
      <c r="E57" s="3"/>
      <c r="F57" s="8"/>
      <c r="H57" s="1" t="s">
        <v>76</v>
      </c>
      <c r="I57" s="2" t="s">
        <v>821</v>
      </c>
      <c r="J57" s="20">
        <f t="shared" si="1"/>
        <v>0</v>
      </c>
      <c r="K57" s="25">
        <v>9</v>
      </c>
      <c r="L57" s="33"/>
    </row>
    <row r="58" spans="1:61" x14ac:dyDescent="0.2">
      <c r="AH58" s="57"/>
      <c r="AI58" s="57"/>
      <c r="AJ58" s="57"/>
      <c r="AK58" s="57"/>
      <c r="AL58" s="57"/>
      <c r="AM58" s="57"/>
      <c r="AN58" s="57"/>
      <c r="AO58" s="57"/>
      <c r="AP58" s="57"/>
      <c r="AQ58" s="57"/>
      <c r="AR58" s="57"/>
      <c r="AS58" s="57"/>
      <c r="AT58" s="57"/>
      <c r="AU58" s="57"/>
      <c r="AV58" s="57"/>
      <c r="AW58" s="57"/>
      <c r="AX58" s="57"/>
      <c r="AY58" s="57"/>
    </row>
    <row r="59" spans="1:61" x14ac:dyDescent="0.2">
      <c r="C59" s="3"/>
      <c r="D59" s="8"/>
      <c r="E59" s="3"/>
      <c r="F59" s="8"/>
      <c r="AH59" s="57"/>
      <c r="AI59" s="57"/>
      <c r="AJ59" s="57"/>
      <c r="AK59" s="57"/>
      <c r="AL59" s="57"/>
      <c r="AM59" s="57"/>
      <c r="AN59" s="57"/>
      <c r="AO59" s="57"/>
      <c r="AP59" s="57"/>
      <c r="AQ59" s="57"/>
      <c r="AR59" s="57"/>
      <c r="AS59" s="57"/>
      <c r="AT59" s="57"/>
      <c r="AU59" s="57"/>
      <c r="AV59" s="57"/>
      <c r="AW59" s="57"/>
      <c r="AX59" s="57"/>
      <c r="AY59" s="57"/>
    </row>
    <row r="60" spans="1:61" s="57" customFormat="1" ht="29.25" hidden="1" customHeight="1" x14ac:dyDescent="0.2">
      <c r="A60" s="383" t="s">
        <v>158</v>
      </c>
      <c r="B60" s="383"/>
      <c r="C60" s="383"/>
      <c r="I60" s="58" t="s">
        <v>159</v>
      </c>
      <c r="J60" s="58" t="s">
        <v>160</v>
      </c>
      <c r="N60" s="59"/>
      <c r="O60" s="7"/>
      <c r="AH60" s="1"/>
      <c r="AI60" s="1"/>
      <c r="AJ60" s="1"/>
      <c r="AK60" s="1"/>
      <c r="AL60" s="1"/>
      <c r="AM60" s="1"/>
      <c r="AN60" s="1"/>
      <c r="AO60" s="1"/>
      <c r="AP60" s="1"/>
      <c r="AQ60" s="1"/>
      <c r="AR60" s="1"/>
      <c r="AS60" s="1"/>
      <c r="AT60" s="1"/>
      <c r="AU60" s="1"/>
      <c r="AV60" s="1"/>
      <c r="AW60" s="1"/>
      <c r="AX60" s="1"/>
      <c r="AY60" s="1"/>
      <c r="BG60" s="7"/>
      <c r="BH60" s="7"/>
      <c r="BI60" s="7"/>
    </row>
    <row r="61" spans="1:61" hidden="1" x14ac:dyDescent="0.2">
      <c r="A61" s="49">
        <v>44805</v>
      </c>
      <c r="B61" s="50" t="s">
        <v>163</v>
      </c>
      <c r="C61" s="353"/>
      <c r="D61" s="353"/>
      <c r="E61" s="353"/>
      <c r="F61" s="353"/>
      <c r="G61" s="353"/>
      <c r="H61" s="353"/>
      <c r="I61" s="51"/>
      <c r="J61" s="51"/>
    </row>
    <row r="62" spans="1:61" hidden="1" x14ac:dyDescent="0.2">
      <c r="A62" s="49">
        <f>+A61+1</f>
        <v>44806</v>
      </c>
      <c r="B62" s="50" t="s">
        <v>164</v>
      </c>
      <c r="C62" s="353"/>
      <c r="D62" s="353"/>
      <c r="E62" s="353"/>
      <c r="F62" s="353"/>
      <c r="G62" s="353"/>
      <c r="H62" s="353"/>
      <c r="I62" s="51"/>
      <c r="J62" s="51"/>
    </row>
    <row r="63" spans="1:61" hidden="1" x14ac:dyDescent="0.2">
      <c r="A63" s="49">
        <f t="shared" ref="A63:A91" si="2">+A62+1</f>
        <v>44807</v>
      </c>
      <c r="B63" s="50" t="s">
        <v>165</v>
      </c>
      <c r="C63" s="353"/>
      <c r="D63" s="353"/>
      <c r="E63" s="353"/>
      <c r="F63" s="353"/>
      <c r="G63" s="353"/>
      <c r="H63" s="353"/>
      <c r="I63" s="51"/>
      <c r="J63" s="51"/>
    </row>
    <row r="64" spans="1:61" hidden="1" x14ac:dyDescent="0.2">
      <c r="A64" s="49">
        <f t="shared" si="2"/>
        <v>44808</v>
      </c>
      <c r="B64" s="50" t="s">
        <v>166</v>
      </c>
      <c r="C64" s="353"/>
      <c r="D64" s="353"/>
      <c r="E64" s="353"/>
      <c r="F64" s="353"/>
      <c r="G64" s="353"/>
      <c r="H64" s="353"/>
      <c r="I64" s="51"/>
      <c r="J64" s="51"/>
    </row>
    <row r="65" spans="1:10" hidden="1" x14ac:dyDescent="0.2">
      <c r="A65" s="49">
        <f t="shared" si="2"/>
        <v>44809</v>
      </c>
      <c r="B65" s="50" t="s">
        <v>167</v>
      </c>
      <c r="C65" s="353"/>
      <c r="D65" s="353"/>
      <c r="E65" s="353"/>
      <c r="F65" s="353"/>
      <c r="G65" s="353"/>
      <c r="H65" s="353"/>
      <c r="I65" s="51"/>
      <c r="J65" s="51"/>
    </row>
    <row r="66" spans="1:10" hidden="1" x14ac:dyDescent="0.2">
      <c r="A66" s="49">
        <f t="shared" si="2"/>
        <v>44810</v>
      </c>
      <c r="B66" s="50" t="s">
        <v>161</v>
      </c>
      <c r="C66" s="353"/>
      <c r="D66" s="353"/>
      <c r="E66" s="353"/>
      <c r="F66" s="353"/>
      <c r="G66" s="353"/>
      <c r="H66" s="353"/>
      <c r="I66" s="51"/>
      <c r="J66" s="51"/>
    </row>
    <row r="67" spans="1:10" hidden="1" x14ac:dyDescent="0.2">
      <c r="A67" s="49">
        <f t="shared" si="2"/>
        <v>44811</v>
      </c>
      <c r="B67" s="50" t="s">
        <v>162</v>
      </c>
      <c r="C67" s="353"/>
      <c r="D67" s="353"/>
      <c r="E67" s="353"/>
      <c r="F67" s="353"/>
      <c r="G67" s="353"/>
      <c r="H67" s="353"/>
      <c r="I67" s="51"/>
      <c r="J67" s="51"/>
    </row>
    <row r="68" spans="1:10" hidden="1" x14ac:dyDescent="0.2">
      <c r="A68" s="49">
        <f t="shared" si="2"/>
        <v>44812</v>
      </c>
      <c r="B68" s="50" t="s">
        <v>163</v>
      </c>
      <c r="C68" s="353"/>
      <c r="D68" s="353"/>
      <c r="E68" s="353"/>
      <c r="F68" s="353"/>
      <c r="G68" s="353"/>
      <c r="H68" s="353"/>
      <c r="I68" s="51"/>
      <c r="J68" s="51"/>
    </row>
    <row r="69" spans="1:10" hidden="1" x14ac:dyDescent="0.2">
      <c r="A69" s="49">
        <f t="shared" si="2"/>
        <v>44813</v>
      </c>
      <c r="B69" s="50" t="s">
        <v>164</v>
      </c>
      <c r="C69" s="353"/>
      <c r="D69" s="353"/>
      <c r="E69" s="353"/>
      <c r="F69" s="353"/>
      <c r="G69" s="353"/>
      <c r="H69" s="353"/>
      <c r="I69" s="51"/>
      <c r="J69" s="51"/>
    </row>
    <row r="70" spans="1:10" hidden="1" x14ac:dyDescent="0.2">
      <c r="A70" s="49">
        <f t="shared" si="2"/>
        <v>44814</v>
      </c>
      <c r="B70" s="50" t="s">
        <v>165</v>
      </c>
      <c r="C70" s="353"/>
      <c r="D70" s="353"/>
      <c r="E70" s="353"/>
      <c r="F70" s="353"/>
      <c r="G70" s="353"/>
      <c r="H70" s="353"/>
      <c r="I70" s="51"/>
      <c r="J70" s="51"/>
    </row>
    <row r="71" spans="1:10" hidden="1" x14ac:dyDescent="0.2">
      <c r="A71" s="49">
        <f t="shared" si="2"/>
        <v>44815</v>
      </c>
      <c r="B71" s="50" t="s">
        <v>166</v>
      </c>
      <c r="C71" s="353"/>
      <c r="D71" s="353"/>
      <c r="E71" s="353"/>
      <c r="F71" s="353"/>
      <c r="G71" s="353"/>
      <c r="H71" s="353"/>
      <c r="I71" s="51"/>
      <c r="J71" s="51"/>
    </row>
    <row r="72" spans="1:10" hidden="1" x14ac:dyDescent="0.2">
      <c r="A72" s="49">
        <f t="shared" si="2"/>
        <v>44816</v>
      </c>
      <c r="B72" s="50" t="s">
        <v>167</v>
      </c>
      <c r="C72" s="353"/>
      <c r="D72" s="353"/>
      <c r="E72" s="353"/>
      <c r="F72" s="353"/>
      <c r="G72" s="353"/>
      <c r="H72" s="353"/>
      <c r="I72" s="51"/>
      <c r="J72" s="51"/>
    </row>
    <row r="73" spans="1:10" hidden="1" x14ac:dyDescent="0.2">
      <c r="A73" s="49">
        <f t="shared" si="2"/>
        <v>44817</v>
      </c>
      <c r="B73" s="50" t="s">
        <v>161</v>
      </c>
      <c r="C73" s="353"/>
      <c r="D73" s="353"/>
      <c r="E73" s="353"/>
      <c r="F73" s="353"/>
      <c r="G73" s="353"/>
      <c r="H73" s="353"/>
      <c r="I73" s="51"/>
      <c r="J73" s="51"/>
    </row>
    <row r="74" spans="1:10" hidden="1" x14ac:dyDescent="0.2">
      <c r="A74" s="49">
        <f t="shared" si="2"/>
        <v>44818</v>
      </c>
      <c r="B74" s="50" t="s">
        <v>162</v>
      </c>
      <c r="C74" s="353"/>
      <c r="D74" s="353"/>
      <c r="E74" s="353"/>
      <c r="F74" s="353"/>
      <c r="G74" s="353"/>
      <c r="H74" s="353"/>
      <c r="I74" s="51"/>
      <c r="J74" s="51"/>
    </row>
    <row r="75" spans="1:10" hidden="1" x14ac:dyDescent="0.2">
      <c r="A75" s="49">
        <f t="shared" si="2"/>
        <v>44819</v>
      </c>
      <c r="B75" s="50" t="s">
        <v>163</v>
      </c>
      <c r="C75" s="353"/>
      <c r="D75" s="353"/>
      <c r="E75" s="353"/>
      <c r="F75" s="353"/>
      <c r="G75" s="353"/>
      <c r="H75" s="353"/>
      <c r="I75" s="51"/>
      <c r="J75" s="51"/>
    </row>
    <row r="76" spans="1:10" hidden="1" x14ac:dyDescent="0.2">
      <c r="A76" s="49">
        <f t="shared" si="2"/>
        <v>44820</v>
      </c>
      <c r="B76" s="50" t="s">
        <v>164</v>
      </c>
      <c r="C76" s="353"/>
      <c r="D76" s="353"/>
      <c r="E76" s="353"/>
      <c r="F76" s="353"/>
      <c r="G76" s="353"/>
      <c r="H76" s="353"/>
      <c r="I76" s="51"/>
      <c r="J76" s="51"/>
    </row>
    <row r="77" spans="1:10" hidden="1" x14ac:dyDescent="0.2">
      <c r="A77" s="49">
        <f t="shared" si="2"/>
        <v>44821</v>
      </c>
      <c r="B77" s="50" t="s">
        <v>165</v>
      </c>
      <c r="C77" s="353"/>
      <c r="D77" s="353"/>
      <c r="E77" s="353"/>
      <c r="F77" s="353"/>
      <c r="G77" s="353"/>
      <c r="H77" s="353"/>
      <c r="I77" s="51"/>
      <c r="J77" s="51"/>
    </row>
    <row r="78" spans="1:10" hidden="1" x14ac:dyDescent="0.2">
      <c r="A78" s="49">
        <f t="shared" si="2"/>
        <v>44822</v>
      </c>
      <c r="B78" s="50" t="s">
        <v>166</v>
      </c>
      <c r="C78" s="353"/>
      <c r="D78" s="353"/>
      <c r="E78" s="353"/>
      <c r="F78" s="353"/>
      <c r="G78" s="353"/>
      <c r="H78" s="353"/>
      <c r="I78" s="51"/>
      <c r="J78" s="51"/>
    </row>
    <row r="79" spans="1:10" hidden="1" x14ac:dyDescent="0.2">
      <c r="A79" s="61">
        <f t="shared" si="2"/>
        <v>44823</v>
      </c>
      <c r="B79" s="62" t="s">
        <v>167</v>
      </c>
      <c r="C79" s="429"/>
      <c r="D79" s="429"/>
      <c r="E79" s="429"/>
      <c r="F79" s="429"/>
      <c r="G79" s="429"/>
      <c r="H79" s="429"/>
      <c r="I79" s="63"/>
      <c r="J79" s="63"/>
    </row>
    <row r="80" spans="1:10" hidden="1" x14ac:dyDescent="0.2">
      <c r="A80" s="49">
        <f t="shared" si="2"/>
        <v>44824</v>
      </c>
      <c r="B80" s="50" t="s">
        <v>161</v>
      </c>
      <c r="C80" s="353"/>
      <c r="D80" s="353"/>
      <c r="E80" s="353"/>
      <c r="F80" s="353"/>
      <c r="G80" s="353"/>
      <c r="H80" s="353"/>
      <c r="I80" s="51"/>
      <c r="J80" s="51"/>
    </row>
    <row r="81" spans="1:21" hidden="1" x14ac:dyDescent="0.2">
      <c r="A81" s="49">
        <f t="shared" si="2"/>
        <v>44825</v>
      </c>
      <c r="B81" s="50" t="s">
        <v>162</v>
      </c>
      <c r="C81" s="353"/>
      <c r="D81" s="353"/>
      <c r="E81" s="353"/>
      <c r="F81" s="353"/>
      <c r="G81" s="353"/>
      <c r="H81" s="353"/>
      <c r="I81" s="51"/>
      <c r="J81" s="51"/>
    </row>
    <row r="82" spans="1:21" hidden="1" x14ac:dyDescent="0.2">
      <c r="A82" s="49">
        <f t="shared" si="2"/>
        <v>44826</v>
      </c>
      <c r="B82" s="50" t="s">
        <v>163</v>
      </c>
      <c r="C82" s="353"/>
      <c r="D82" s="353"/>
      <c r="E82" s="353"/>
      <c r="F82" s="353"/>
      <c r="G82" s="353"/>
      <c r="H82" s="353"/>
      <c r="I82" s="51"/>
      <c r="J82" s="51"/>
    </row>
    <row r="83" spans="1:21" hidden="1" x14ac:dyDescent="0.2">
      <c r="A83" s="49">
        <f t="shared" si="2"/>
        <v>44827</v>
      </c>
      <c r="B83" s="50" t="s">
        <v>164</v>
      </c>
      <c r="C83" s="353"/>
      <c r="D83" s="353"/>
      <c r="E83" s="353"/>
      <c r="F83" s="353"/>
      <c r="G83" s="353"/>
      <c r="H83" s="353"/>
      <c r="I83" s="51"/>
      <c r="J83" s="51"/>
    </row>
    <row r="84" spans="1:21" hidden="1" x14ac:dyDescent="0.2">
      <c r="A84" s="49">
        <f t="shared" si="2"/>
        <v>44828</v>
      </c>
      <c r="B84" s="50" t="s">
        <v>165</v>
      </c>
      <c r="C84" s="353"/>
      <c r="D84" s="353"/>
      <c r="E84" s="353"/>
      <c r="F84" s="353"/>
      <c r="G84" s="353"/>
      <c r="H84" s="353"/>
      <c r="I84" s="51"/>
      <c r="J84" s="51"/>
    </row>
    <row r="85" spans="1:21" hidden="1" x14ac:dyDescent="0.2">
      <c r="A85" s="49">
        <f t="shared" si="2"/>
        <v>44829</v>
      </c>
      <c r="B85" s="50" t="s">
        <v>166</v>
      </c>
      <c r="C85" s="353"/>
      <c r="D85" s="353"/>
      <c r="E85" s="353"/>
      <c r="F85" s="353"/>
      <c r="G85" s="353"/>
      <c r="H85" s="353"/>
      <c r="I85" s="51"/>
      <c r="J85" s="51"/>
    </row>
    <row r="86" spans="1:21" hidden="1" x14ac:dyDescent="0.2">
      <c r="A86" s="49">
        <f t="shared" si="2"/>
        <v>44830</v>
      </c>
      <c r="B86" s="50" t="s">
        <v>167</v>
      </c>
      <c r="C86" s="353"/>
      <c r="D86" s="353"/>
      <c r="E86" s="353"/>
      <c r="F86" s="353"/>
      <c r="G86" s="353"/>
      <c r="H86" s="353"/>
      <c r="I86" s="51"/>
      <c r="J86" s="51"/>
    </row>
    <row r="87" spans="1:21" hidden="1" x14ac:dyDescent="0.2">
      <c r="A87" s="49">
        <f t="shared" si="2"/>
        <v>44831</v>
      </c>
      <c r="B87" s="50" t="s">
        <v>161</v>
      </c>
      <c r="C87" s="353"/>
      <c r="D87" s="353"/>
      <c r="E87" s="353"/>
      <c r="F87" s="353"/>
      <c r="G87" s="353"/>
      <c r="H87" s="353"/>
      <c r="I87" s="51"/>
      <c r="J87" s="51"/>
    </row>
    <row r="88" spans="1:21" hidden="1" x14ac:dyDescent="0.2">
      <c r="A88" s="49">
        <f t="shared" si="2"/>
        <v>44832</v>
      </c>
      <c r="B88" s="50" t="s">
        <v>162</v>
      </c>
      <c r="C88" s="353"/>
      <c r="D88" s="353"/>
      <c r="E88" s="353"/>
      <c r="F88" s="353"/>
      <c r="G88" s="353"/>
      <c r="H88" s="353"/>
      <c r="I88" s="51"/>
      <c r="J88" s="51"/>
    </row>
    <row r="89" spans="1:21" hidden="1" x14ac:dyDescent="0.2">
      <c r="A89" s="49">
        <f t="shared" si="2"/>
        <v>44833</v>
      </c>
      <c r="B89" s="50" t="s">
        <v>163</v>
      </c>
      <c r="C89" s="353"/>
      <c r="D89" s="353"/>
      <c r="E89" s="353"/>
      <c r="F89" s="353"/>
      <c r="G89" s="353"/>
      <c r="H89" s="353"/>
      <c r="I89" s="51"/>
      <c r="J89" s="51"/>
    </row>
    <row r="90" spans="1:21" hidden="1" x14ac:dyDescent="0.2">
      <c r="A90" s="49">
        <f t="shared" si="2"/>
        <v>44834</v>
      </c>
      <c r="B90" s="50" t="s">
        <v>164</v>
      </c>
      <c r="C90" s="353"/>
      <c r="D90" s="353"/>
      <c r="E90" s="353"/>
      <c r="F90" s="353"/>
      <c r="G90" s="353"/>
      <c r="H90" s="353"/>
      <c r="I90" s="51"/>
      <c r="J90" s="51"/>
    </row>
    <row r="91" spans="1:21" hidden="1" x14ac:dyDescent="0.2">
      <c r="A91" s="49">
        <f t="shared" si="2"/>
        <v>44835</v>
      </c>
      <c r="B91" s="50" t="s">
        <v>165</v>
      </c>
      <c r="C91" s="353"/>
      <c r="D91" s="353"/>
      <c r="E91" s="353"/>
      <c r="F91" s="353"/>
      <c r="G91" s="353"/>
      <c r="H91" s="353"/>
      <c r="I91" s="51"/>
      <c r="J91" s="51"/>
    </row>
    <row r="92" spans="1:21" hidden="1" x14ac:dyDescent="0.2">
      <c r="A92" s="32"/>
      <c r="I92" s="8"/>
      <c r="J92" s="8"/>
      <c r="R92" s="21"/>
      <c r="S92" s="21"/>
      <c r="T92" s="8"/>
      <c r="U92" s="8"/>
    </row>
    <row r="93" spans="1:21" hidden="1" x14ac:dyDescent="0.2">
      <c r="A93" s="367" t="s">
        <v>207</v>
      </c>
      <c r="B93" s="368"/>
      <c r="C93" s="368"/>
      <c r="D93" s="368"/>
      <c r="I93" s="8"/>
      <c r="J93" s="8"/>
      <c r="R93" s="21"/>
      <c r="S93" s="21"/>
      <c r="T93" s="8"/>
      <c r="U93" s="8"/>
    </row>
    <row r="94" spans="1:21" hidden="1" x14ac:dyDescent="0.2">
      <c r="A94" s="52">
        <f>COUNTIF($I$61:$I$94,B94)</f>
        <v>0</v>
      </c>
      <c r="B94" s="53" t="s">
        <v>208</v>
      </c>
      <c r="C94" s="370" t="s">
        <v>209</v>
      </c>
      <c r="D94" s="370"/>
      <c r="I94" s="8"/>
      <c r="J94" s="8"/>
      <c r="R94" s="21"/>
      <c r="S94" s="21"/>
      <c r="T94" s="8"/>
      <c r="U94" s="8"/>
    </row>
    <row r="95" spans="1:21" hidden="1" x14ac:dyDescent="0.2">
      <c r="A95" s="52">
        <f t="shared" ref="A95:A104" si="3">COUNTIF($I$61:$I$94,B95)</f>
        <v>0</v>
      </c>
      <c r="B95" s="53" t="s">
        <v>172</v>
      </c>
      <c r="C95" s="370" t="s">
        <v>210</v>
      </c>
      <c r="D95" s="370"/>
      <c r="I95" s="8"/>
      <c r="J95" s="8"/>
      <c r="R95" s="21"/>
      <c r="S95" s="21"/>
      <c r="T95" s="8"/>
      <c r="U95" s="8"/>
    </row>
    <row r="96" spans="1:21" hidden="1" x14ac:dyDescent="0.2">
      <c r="A96" s="52">
        <f t="shared" si="3"/>
        <v>0</v>
      </c>
      <c r="B96" s="53" t="s">
        <v>169</v>
      </c>
      <c r="C96" s="370" t="s">
        <v>211</v>
      </c>
      <c r="D96" s="370"/>
      <c r="I96" s="8"/>
      <c r="J96" s="8"/>
      <c r="R96" s="21"/>
      <c r="S96" s="21"/>
      <c r="T96" s="8"/>
      <c r="U96" s="8"/>
    </row>
    <row r="97" spans="1:21" hidden="1" x14ac:dyDescent="0.2">
      <c r="A97" s="52">
        <f t="shared" si="3"/>
        <v>0</v>
      </c>
      <c r="B97" s="53" t="s">
        <v>181</v>
      </c>
      <c r="C97" s="370" t="s">
        <v>212</v>
      </c>
      <c r="D97" s="370"/>
      <c r="I97" s="8"/>
      <c r="J97" s="8"/>
      <c r="R97" s="21"/>
      <c r="S97" s="21"/>
      <c r="T97" s="8"/>
      <c r="U97" s="8"/>
    </row>
    <row r="98" spans="1:21" hidden="1" x14ac:dyDescent="0.2">
      <c r="A98" s="52">
        <f t="shared" si="3"/>
        <v>0</v>
      </c>
      <c r="B98" s="53" t="s">
        <v>183</v>
      </c>
      <c r="C98" s="370" t="s">
        <v>213</v>
      </c>
      <c r="D98" s="370"/>
      <c r="I98" s="8"/>
      <c r="J98" s="8"/>
      <c r="R98" s="21"/>
      <c r="S98" s="21"/>
      <c r="T98" s="8"/>
      <c r="U98" s="8"/>
    </row>
    <row r="99" spans="1:21" hidden="1" x14ac:dyDescent="0.2">
      <c r="A99" s="52">
        <f t="shared" si="3"/>
        <v>0</v>
      </c>
      <c r="B99" s="53" t="s">
        <v>214</v>
      </c>
      <c r="C99" s="370" t="s">
        <v>215</v>
      </c>
      <c r="D99" s="370"/>
      <c r="I99" s="8"/>
      <c r="J99" s="8"/>
      <c r="R99" s="21"/>
      <c r="S99" s="21"/>
      <c r="T99" s="8"/>
      <c r="U99" s="8"/>
    </row>
    <row r="100" spans="1:21" hidden="1" x14ac:dyDescent="0.2">
      <c r="A100" s="52">
        <f t="shared" si="3"/>
        <v>0</v>
      </c>
      <c r="B100" s="53" t="s">
        <v>216</v>
      </c>
      <c r="C100" s="370" t="s">
        <v>217</v>
      </c>
      <c r="D100" s="370"/>
      <c r="I100" s="8"/>
      <c r="J100" s="8"/>
      <c r="R100" s="21"/>
      <c r="S100" s="21"/>
      <c r="T100" s="8"/>
      <c r="U100" s="8"/>
    </row>
    <row r="101" spans="1:21" hidden="1" x14ac:dyDescent="0.2">
      <c r="A101" s="52">
        <f t="shared" si="3"/>
        <v>0</v>
      </c>
      <c r="B101" s="53" t="s">
        <v>218</v>
      </c>
      <c r="C101" s="371" t="s">
        <v>219</v>
      </c>
      <c r="D101" s="372"/>
      <c r="I101" s="8"/>
      <c r="J101" s="8"/>
      <c r="R101" s="21"/>
      <c r="S101" s="21"/>
      <c r="T101" s="8"/>
      <c r="U101" s="8"/>
    </row>
    <row r="102" spans="1:21" hidden="1" x14ac:dyDescent="0.2">
      <c r="A102" s="52">
        <f t="shared" si="3"/>
        <v>0</v>
      </c>
      <c r="B102" s="53" t="s">
        <v>220</v>
      </c>
      <c r="C102" s="370" t="s">
        <v>221</v>
      </c>
      <c r="D102" s="370"/>
      <c r="I102" s="8"/>
      <c r="J102" s="8"/>
    </row>
    <row r="103" spans="1:21" hidden="1" x14ac:dyDescent="0.2">
      <c r="A103" s="52">
        <f>COUNTIF($I$61:$I$94,B103)</f>
        <v>0</v>
      </c>
      <c r="B103" s="53" t="s">
        <v>178</v>
      </c>
      <c r="C103" s="370" t="s">
        <v>222</v>
      </c>
      <c r="D103" s="370"/>
      <c r="I103" s="8"/>
      <c r="J103" s="8"/>
    </row>
    <row r="104" spans="1:21" hidden="1" x14ac:dyDescent="0.2">
      <c r="A104" s="52">
        <f t="shared" si="3"/>
        <v>0</v>
      </c>
      <c r="B104" s="53" t="s">
        <v>223</v>
      </c>
      <c r="C104" s="370" t="s">
        <v>224</v>
      </c>
      <c r="D104" s="370"/>
      <c r="I104" s="8"/>
      <c r="J104" s="8"/>
    </row>
    <row r="105" spans="1:21" hidden="1" x14ac:dyDescent="0.2">
      <c r="A105" s="54"/>
      <c r="B105" s="55"/>
      <c r="C105" s="56"/>
      <c r="D105" s="56"/>
      <c r="I105" s="8"/>
      <c r="J105" s="8"/>
    </row>
    <row r="106" spans="1:21" hidden="1" x14ac:dyDescent="0.2">
      <c r="A106" s="54"/>
      <c r="B106" s="55"/>
      <c r="C106" s="56"/>
      <c r="D106" s="56"/>
      <c r="I106" s="8"/>
      <c r="J106" s="8"/>
    </row>
    <row r="107" spans="1:21" hidden="1" x14ac:dyDescent="0.2">
      <c r="A107" s="54"/>
      <c r="B107" s="55"/>
      <c r="C107" s="56"/>
      <c r="D107" s="56"/>
      <c r="I107" s="8"/>
      <c r="J107" s="8"/>
    </row>
    <row r="108" spans="1:21" hidden="1" x14ac:dyDescent="0.2">
      <c r="A108" s="54"/>
      <c r="B108" s="55"/>
      <c r="C108" s="56"/>
      <c r="D108" s="56"/>
      <c r="I108" s="8"/>
      <c r="J108" s="8"/>
    </row>
    <row r="109" spans="1:21" hidden="1" x14ac:dyDescent="0.2">
      <c r="A109" s="32"/>
      <c r="I109" s="8"/>
      <c r="J109" s="8"/>
    </row>
    <row r="110" spans="1:21" hidden="1" x14ac:dyDescent="0.2">
      <c r="A110" s="367" t="s">
        <v>225</v>
      </c>
      <c r="B110" s="368"/>
      <c r="C110" s="368"/>
      <c r="D110" s="368"/>
      <c r="I110" s="8"/>
      <c r="J110" s="8"/>
    </row>
    <row r="111" spans="1:21" hidden="1" x14ac:dyDescent="0.2">
      <c r="A111" s="52">
        <f>COUNTIF($J$61:$J$94,B111)</f>
        <v>0</v>
      </c>
      <c r="B111" s="52" t="s">
        <v>170</v>
      </c>
      <c r="C111" s="356" t="s">
        <v>226</v>
      </c>
      <c r="D111" s="356"/>
      <c r="I111" s="8"/>
      <c r="J111" s="8"/>
    </row>
    <row r="112" spans="1:21" hidden="1" x14ac:dyDescent="0.2">
      <c r="A112" s="52">
        <f t="shared" ref="A112:A123" si="4">COUNTIF($J$61:$J$94,B112)</f>
        <v>0</v>
      </c>
      <c r="B112" s="52" t="s">
        <v>191</v>
      </c>
      <c r="C112" s="356" t="s">
        <v>227</v>
      </c>
      <c r="D112" s="356"/>
      <c r="I112" s="8"/>
      <c r="J112" s="8"/>
    </row>
    <row r="113" spans="1:10" hidden="1" x14ac:dyDescent="0.2">
      <c r="A113" s="52">
        <f t="shared" si="4"/>
        <v>0</v>
      </c>
      <c r="B113" s="52" t="s">
        <v>179</v>
      </c>
      <c r="C113" s="356" t="s">
        <v>228</v>
      </c>
      <c r="D113" s="356"/>
      <c r="I113" s="8"/>
      <c r="J113" s="8"/>
    </row>
    <row r="114" spans="1:10" hidden="1" x14ac:dyDescent="0.2">
      <c r="A114" s="52">
        <f t="shared" si="4"/>
        <v>0</v>
      </c>
      <c r="B114" s="52" t="s">
        <v>229</v>
      </c>
      <c r="C114" s="356" t="s">
        <v>230</v>
      </c>
      <c r="D114" s="356"/>
      <c r="I114" s="8"/>
      <c r="J114" s="8"/>
    </row>
    <row r="115" spans="1:10" hidden="1" x14ac:dyDescent="0.2">
      <c r="A115" s="52">
        <f t="shared" si="4"/>
        <v>0</v>
      </c>
      <c r="B115" s="52" t="s">
        <v>174</v>
      </c>
      <c r="C115" s="356" t="s">
        <v>231</v>
      </c>
      <c r="D115" s="356"/>
      <c r="I115" s="8"/>
      <c r="J115" s="8"/>
    </row>
    <row r="116" spans="1:10" hidden="1" x14ac:dyDescent="0.2">
      <c r="A116" s="52">
        <f t="shared" si="4"/>
        <v>0</v>
      </c>
      <c r="B116" s="52" t="s">
        <v>232</v>
      </c>
      <c r="C116" s="356" t="s">
        <v>233</v>
      </c>
      <c r="D116" s="356"/>
      <c r="I116" s="8"/>
      <c r="J116" s="8"/>
    </row>
    <row r="117" spans="1:10" hidden="1" x14ac:dyDescent="0.2">
      <c r="A117" s="52">
        <f t="shared" si="4"/>
        <v>0</v>
      </c>
      <c r="B117" s="52" t="s">
        <v>187</v>
      </c>
      <c r="C117" s="356" t="s">
        <v>234</v>
      </c>
      <c r="D117" s="356"/>
      <c r="I117" s="8"/>
      <c r="J117" s="8"/>
    </row>
    <row r="118" spans="1:10" hidden="1" x14ac:dyDescent="0.2">
      <c r="A118" s="52">
        <f t="shared" si="4"/>
        <v>0</v>
      </c>
      <c r="B118" s="52" t="s">
        <v>235</v>
      </c>
      <c r="C118" s="356" t="s">
        <v>236</v>
      </c>
      <c r="D118" s="356"/>
      <c r="I118" s="8"/>
      <c r="J118" s="8"/>
    </row>
    <row r="119" spans="1:10" hidden="1" x14ac:dyDescent="0.2">
      <c r="A119" s="52">
        <f t="shared" si="4"/>
        <v>0</v>
      </c>
      <c r="B119" s="52" t="s">
        <v>185</v>
      </c>
      <c r="C119" s="356" t="s">
        <v>237</v>
      </c>
      <c r="D119" s="356"/>
      <c r="I119" s="8"/>
      <c r="J119" s="8"/>
    </row>
    <row r="120" spans="1:10" hidden="1" x14ac:dyDescent="0.2">
      <c r="A120" s="52">
        <f t="shared" si="4"/>
        <v>0</v>
      </c>
      <c r="B120" s="52" t="s">
        <v>238</v>
      </c>
      <c r="C120" s="356" t="s">
        <v>239</v>
      </c>
      <c r="D120" s="356"/>
      <c r="I120" s="8"/>
      <c r="J120" s="8"/>
    </row>
    <row r="121" spans="1:10" hidden="1" x14ac:dyDescent="0.2">
      <c r="A121" s="52">
        <f>COUNTIF($J$61:$J$94,B121)</f>
        <v>0</v>
      </c>
      <c r="B121" s="52" t="s">
        <v>240</v>
      </c>
      <c r="C121" s="356" t="s">
        <v>241</v>
      </c>
      <c r="D121" s="356"/>
      <c r="I121" s="8"/>
      <c r="J121" s="8"/>
    </row>
    <row r="122" spans="1:10" hidden="1" x14ac:dyDescent="0.2">
      <c r="A122" s="52">
        <f>COUNTIF($J$61:$J$94,B122)</f>
        <v>0</v>
      </c>
      <c r="B122" s="52" t="s">
        <v>242</v>
      </c>
      <c r="C122" s="356" t="s">
        <v>243</v>
      </c>
      <c r="D122" s="356"/>
      <c r="I122" s="8"/>
      <c r="J122" s="8"/>
    </row>
    <row r="123" spans="1:10" hidden="1" x14ac:dyDescent="0.2">
      <c r="A123" s="52">
        <f t="shared" si="4"/>
        <v>0</v>
      </c>
      <c r="B123" s="52" t="s">
        <v>244</v>
      </c>
      <c r="C123" s="356" t="s">
        <v>245</v>
      </c>
      <c r="D123" s="356"/>
      <c r="I123" s="8"/>
      <c r="J123" s="8"/>
    </row>
    <row r="124" spans="1:10" hidden="1" x14ac:dyDescent="0.2">
      <c r="A124" s="32"/>
      <c r="I124" s="8"/>
      <c r="J124" s="8"/>
    </row>
    <row r="125" spans="1:10" hidden="1" x14ac:dyDescent="0.2">
      <c r="A125" s="32"/>
      <c r="I125" s="8"/>
      <c r="J125" s="8"/>
    </row>
    <row r="126" spans="1:10" hidden="1" x14ac:dyDescent="0.2">
      <c r="A126" s="32"/>
      <c r="I126" s="8"/>
      <c r="J126" s="8"/>
    </row>
    <row r="127" spans="1:10" hidden="1" x14ac:dyDescent="0.2">
      <c r="A127" s="32"/>
      <c r="I127" s="8"/>
      <c r="J127" s="8"/>
    </row>
    <row r="128" spans="1:10" x14ac:dyDescent="0.2">
      <c r="A128" s="32"/>
      <c r="I128" s="8"/>
      <c r="J128" s="8"/>
    </row>
    <row r="129" spans="1:10" ht="16" thickBot="1" x14ac:dyDescent="0.25">
      <c r="A129" s="32"/>
      <c r="I129" s="8"/>
      <c r="J129" s="8"/>
    </row>
    <row r="130" spans="1:10" ht="19" x14ac:dyDescent="0.2">
      <c r="A130" s="32"/>
      <c r="C130" s="349" t="s">
        <v>86</v>
      </c>
      <c r="D130" s="350"/>
      <c r="E130" s="350"/>
      <c r="F130" s="350"/>
      <c r="G130" s="351"/>
      <c r="I130" s="8"/>
      <c r="J130" s="8"/>
    </row>
    <row r="131" spans="1:10" ht="32" x14ac:dyDescent="0.2">
      <c r="A131" s="32"/>
      <c r="C131" s="68" t="s">
        <v>87</v>
      </c>
      <c r="D131" s="64" t="s">
        <v>88</v>
      </c>
      <c r="E131" s="64" t="s">
        <v>89</v>
      </c>
      <c r="F131" s="64" t="s">
        <v>90</v>
      </c>
      <c r="G131" s="66" t="s">
        <v>91</v>
      </c>
      <c r="I131" s="8"/>
      <c r="J131" s="8"/>
    </row>
    <row r="132" spans="1:10" x14ac:dyDescent="0.2">
      <c r="A132" s="32"/>
      <c r="C132" s="65">
        <v>134</v>
      </c>
      <c r="D132" s="65">
        <v>506</v>
      </c>
      <c r="E132" s="65">
        <v>48</v>
      </c>
      <c r="F132" s="65">
        <v>0</v>
      </c>
      <c r="G132" s="67">
        <f>SUM(B132:F132)</f>
        <v>688</v>
      </c>
      <c r="I132" s="8"/>
      <c r="J132" s="8"/>
    </row>
    <row r="133" spans="1:10" x14ac:dyDescent="0.2">
      <c r="A133" s="32"/>
      <c r="G133"/>
      <c r="I133" s="8"/>
      <c r="J133" s="8"/>
    </row>
    <row r="134" spans="1:10" x14ac:dyDescent="0.2">
      <c r="A134" s="32"/>
      <c r="I134" s="8"/>
      <c r="J134" s="8"/>
    </row>
    <row r="135" spans="1:10" x14ac:dyDescent="0.2">
      <c r="A135" s="32"/>
      <c r="I135" s="8"/>
      <c r="J135" s="8"/>
    </row>
    <row r="136" spans="1:10" x14ac:dyDescent="0.2">
      <c r="A136" s="32"/>
      <c r="I136" s="8"/>
      <c r="J136" s="8"/>
    </row>
    <row r="137" spans="1:10" x14ac:dyDescent="0.2">
      <c r="A137" s="32"/>
      <c r="I137" s="8"/>
      <c r="J137" s="8"/>
    </row>
    <row r="138" spans="1:10" x14ac:dyDescent="0.2">
      <c r="A138" s="32"/>
      <c r="I138" s="8"/>
      <c r="J138" s="8"/>
    </row>
    <row r="139" spans="1:10" x14ac:dyDescent="0.2">
      <c r="A139" s="32"/>
      <c r="I139" s="8"/>
      <c r="J139" s="8"/>
    </row>
    <row r="140" spans="1:10" x14ac:dyDescent="0.2">
      <c r="A140" s="32"/>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x14ac:dyDescent="0.2">
      <c r="A145" s="32"/>
      <c r="I145" s="8"/>
      <c r="J145" s="8"/>
    </row>
    <row r="146" spans="1:10" x14ac:dyDescent="0.2">
      <c r="A146" s="32"/>
      <c r="I146" s="8"/>
      <c r="J146" s="8"/>
    </row>
    <row r="147" spans="1:10" x14ac:dyDescent="0.2">
      <c r="A147" s="32"/>
      <c r="I147" s="8"/>
      <c r="J147" s="8"/>
    </row>
    <row r="148" spans="1:10" x14ac:dyDescent="0.2">
      <c r="A148" s="32"/>
      <c r="I148" s="8"/>
      <c r="J148" s="8"/>
    </row>
    <row r="149" spans="1:10" x14ac:dyDescent="0.2">
      <c r="A149" s="32"/>
      <c r="I149" s="8"/>
      <c r="J149" s="8"/>
    </row>
    <row r="150" spans="1:10" x14ac:dyDescent="0.2">
      <c r="A150" s="32"/>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row>
    <row r="209" spans="1:1" x14ac:dyDescent="0.2">
      <c r="A209" s="32"/>
    </row>
    <row r="210" spans="1:1" x14ac:dyDescent="0.2">
      <c r="A210" s="32"/>
    </row>
    <row r="211" spans="1:1" x14ac:dyDescent="0.2">
      <c r="A211" s="32"/>
    </row>
    <row r="212" spans="1:1" x14ac:dyDescent="0.2">
      <c r="A212" s="32"/>
    </row>
    <row r="213" spans="1:1" x14ac:dyDescent="0.2">
      <c r="A213" s="32"/>
    </row>
    <row r="214" spans="1:1" x14ac:dyDescent="0.2">
      <c r="A214" s="32"/>
    </row>
    <row r="215" spans="1:1" x14ac:dyDescent="0.2">
      <c r="A215" s="32"/>
    </row>
    <row r="216" spans="1:1" x14ac:dyDescent="0.2">
      <c r="A216" s="32"/>
    </row>
    <row r="217" spans="1:1" x14ac:dyDescent="0.2">
      <c r="A217" s="32"/>
    </row>
    <row r="218" spans="1:1" x14ac:dyDescent="0.2">
      <c r="A218" s="32"/>
    </row>
    <row r="219" spans="1:1" x14ac:dyDescent="0.2">
      <c r="A219" s="32"/>
    </row>
    <row r="220" spans="1:1" x14ac:dyDescent="0.2">
      <c r="A220" s="32"/>
    </row>
    <row r="221" spans="1:1" x14ac:dyDescent="0.2">
      <c r="A221" s="32"/>
    </row>
    <row r="222" spans="1:1" x14ac:dyDescent="0.2">
      <c r="A222" s="32"/>
    </row>
    <row r="223" spans="1:1" x14ac:dyDescent="0.2">
      <c r="A223" s="32"/>
    </row>
    <row r="224" spans="1:1" x14ac:dyDescent="0.2">
      <c r="A224" s="32"/>
    </row>
    <row r="225" spans="1:1" x14ac:dyDescent="0.2">
      <c r="A225" s="32"/>
    </row>
    <row r="226" spans="1:1" x14ac:dyDescent="0.2">
      <c r="A226" s="32"/>
    </row>
    <row r="227" spans="1:1" x14ac:dyDescent="0.2">
      <c r="A227" s="32"/>
    </row>
    <row r="228" spans="1:1" x14ac:dyDescent="0.2">
      <c r="A228" s="32"/>
    </row>
    <row r="229" spans="1:1" x14ac:dyDescent="0.2">
      <c r="A229" s="32"/>
    </row>
    <row r="230" spans="1:1" x14ac:dyDescent="0.2">
      <c r="A230" s="32"/>
    </row>
    <row r="231" spans="1:1" x14ac:dyDescent="0.2">
      <c r="A231" s="32"/>
    </row>
    <row r="232" spans="1:1" x14ac:dyDescent="0.2">
      <c r="A232" s="32"/>
    </row>
    <row r="233" spans="1:1" x14ac:dyDescent="0.2">
      <c r="A233" s="32"/>
    </row>
  </sheetData>
  <autoFilter ref="A1:AG19" xr:uid="{BA623589-3437-48EB-810A-6271D701C5DE}"/>
  <mergeCells count="62">
    <mergeCell ref="C62:H62"/>
    <mergeCell ref="C130:G130"/>
    <mergeCell ref="C46:D46"/>
    <mergeCell ref="C86:H86"/>
    <mergeCell ref="C75:H75"/>
    <mergeCell ref="C76:H76"/>
    <mergeCell ref="C77:H77"/>
    <mergeCell ref="C78:H78"/>
    <mergeCell ref="C79:H79"/>
    <mergeCell ref="C80:H80"/>
    <mergeCell ref="C81:H81"/>
    <mergeCell ref="C82:H82"/>
    <mergeCell ref="C83:H83"/>
    <mergeCell ref="C84:H84"/>
    <mergeCell ref="C85:H85"/>
    <mergeCell ref="C99:D99"/>
    <mergeCell ref="M47:O47"/>
    <mergeCell ref="H48:I48"/>
    <mergeCell ref="A60:C60"/>
    <mergeCell ref="C61:H61"/>
    <mergeCell ref="C74:H74"/>
    <mergeCell ref="C63:H63"/>
    <mergeCell ref="C64:H64"/>
    <mergeCell ref="C65:H65"/>
    <mergeCell ref="C66:H66"/>
    <mergeCell ref="C67:H67"/>
    <mergeCell ref="C68:H68"/>
    <mergeCell ref="C69:H69"/>
    <mergeCell ref="C70:H70"/>
    <mergeCell ref="C71:H71"/>
    <mergeCell ref="C72:H72"/>
    <mergeCell ref="C73:H73"/>
    <mergeCell ref="C87:H87"/>
    <mergeCell ref="C88:H88"/>
    <mergeCell ref="C89:H89"/>
    <mergeCell ref="C90:H90"/>
    <mergeCell ref="C91:H91"/>
    <mergeCell ref="A93:D93"/>
    <mergeCell ref="C94:D94"/>
    <mergeCell ref="C95:D95"/>
    <mergeCell ref="C96:D96"/>
    <mergeCell ref="C97:D97"/>
    <mergeCell ref="C98:D98"/>
    <mergeCell ref="C116:D116"/>
    <mergeCell ref="C100:D100"/>
    <mergeCell ref="C101:D101"/>
    <mergeCell ref="C102:D102"/>
    <mergeCell ref="C104:D104"/>
    <mergeCell ref="C111:D111"/>
    <mergeCell ref="C112:D112"/>
    <mergeCell ref="C113:D113"/>
    <mergeCell ref="C114:D114"/>
    <mergeCell ref="C115:D115"/>
    <mergeCell ref="C103:D103"/>
    <mergeCell ref="A110:D110"/>
    <mergeCell ref="C117:D117"/>
    <mergeCell ref="C118:D118"/>
    <mergeCell ref="C119:D119"/>
    <mergeCell ref="C120:D120"/>
    <mergeCell ref="C123:D123"/>
    <mergeCell ref="C121:D121"/>
    <mergeCell ref="C122:D122"/>
  </mergeCells>
  <dataValidations count="2">
    <dataValidation type="list" allowBlank="1" showInputMessage="1" showErrorMessage="1" sqref="J61:J91" xr:uid="{13055D6E-D643-4645-A457-9BAA931B1D0D}">
      <formula1>$B$110:$B$123</formula1>
    </dataValidation>
    <dataValidation type="list" allowBlank="1" showInputMessage="1" showErrorMessage="1" sqref="I61:I91" xr:uid="{15EF887D-D195-4B49-9059-838FE3583387}">
      <formula1>$B$94:$B$104</formula1>
    </dataValidation>
  </dataValidations>
  <pageMargins left="0.7" right="0.7" top="0.75" bottom="0.75" header="0.3" footer="0.3"/>
  <pageSetup orientation="portrait"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94777-8D83-43CD-BD7A-3E32F6BB8F6B}">
  <sheetPr codeName="Hoja24">
    <tabColor rgb="FFFF0000"/>
  </sheetPr>
  <dimension ref="A1:BI250"/>
  <sheetViews>
    <sheetView zoomScale="85" zoomScaleNormal="85" workbookViewId="0">
      <pane xSplit="11" ySplit="1" topLeftCell="L2"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2.5" style="1" bestFit="1" customWidth="1"/>
    <col min="17" max="17" width="6" style="1" bestFit="1" customWidth="1"/>
    <col min="18" max="18" width="17.83203125" style="1" bestFit="1" customWidth="1"/>
    <col min="19" max="19" width="6" style="1" bestFit="1" customWidth="1"/>
    <col min="20" max="20" width="10.6640625" style="1" bestFit="1" customWidth="1"/>
    <col min="21" max="21" width="6" style="1" bestFit="1" customWidth="1"/>
    <col min="22" max="22" width="20.83203125" style="1" bestFit="1" customWidth="1"/>
    <col min="23" max="23" width="11.1640625" style="1" bestFit="1" customWidth="1"/>
    <col min="24" max="24" width="6" style="1" bestFit="1" customWidth="1"/>
    <col min="25" max="25" width="18.33203125" style="1" bestFit="1" customWidth="1"/>
    <col min="26" max="26" width="10.33203125" style="1" bestFit="1" customWidth="1"/>
    <col min="27" max="27" width="6" style="1" bestFit="1" customWidth="1"/>
    <col min="28" max="28" width="28.33203125" style="1" bestFit="1" customWidth="1"/>
    <col min="29" max="29" width="13" style="1" bestFit="1" customWidth="1"/>
    <col min="30" max="30" width="6" style="1" bestFit="1" customWidth="1"/>
    <col min="31" max="31" width="25.6640625" style="1" bestFit="1" customWidth="1"/>
    <col min="32" max="32" width="16.6640625" style="1" bestFit="1" customWidth="1"/>
    <col min="33" max="33" width="6" style="1" bestFit="1" customWidth="1"/>
    <col min="34" max="34" width="16.6640625" style="1" bestFit="1" customWidth="1"/>
    <col min="35" max="35" width="15.5" style="1" bestFit="1" customWidth="1"/>
    <col min="36" max="36" width="11.5" style="8"/>
    <col min="37" max="38" width="11.5" style="1"/>
    <col min="39" max="39" width="15.5" style="1" bestFit="1" customWidth="1"/>
    <col min="40" max="58" width="11.5" style="1"/>
    <col min="59" max="59" width="11.5" style="8"/>
    <col min="60" max="60" width="11.5" style="1"/>
    <col min="61" max="61" width="11.5" style="8"/>
    <col min="62" max="16384" width="11.5" style="1"/>
  </cols>
  <sheetData>
    <row r="1" spans="1:61" s="8" customFormat="1"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246</v>
      </c>
      <c r="AO1" s="150" t="s">
        <v>123</v>
      </c>
      <c r="AP1" s="150" t="s">
        <v>124</v>
      </c>
      <c r="AQ1" s="150" t="s">
        <v>125</v>
      </c>
      <c r="AR1" s="150" t="s">
        <v>126</v>
      </c>
      <c r="AS1" s="302" t="s">
        <v>247</v>
      </c>
      <c r="AT1" s="303" t="s">
        <v>248</v>
      </c>
      <c r="AU1" s="303" t="s">
        <v>249</v>
      </c>
      <c r="AV1" s="303" t="s">
        <v>248</v>
      </c>
      <c r="AW1" s="303" t="s">
        <v>250</v>
      </c>
      <c r="AX1" s="303" t="s">
        <v>248</v>
      </c>
      <c r="AY1" s="304" t="s">
        <v>251</v>
      </c>
      <c r="AZ1" s="304" t="s">
        <v>248</v>
      </c>
      <c r="BA1" s="304" t="s">
        <v>252</v>
      </c>
      <c r="BB1" s="304" t="s">
        <v>248</v>
      </c>
      <c r="BC1" s="304" t="s">
        <v>253</v>
      </c>
      <c r="BD1" s="304" t="s">
        <v>248</v>
      </c>
      <c r="BE1" s="304" t="s">
        <v>254</v>
      </c>
      <c r="BF1" s="304" t="s">
        <v>246</v>
      </c>
      <c r="BG1" s="304" t="s">
        <v>255</v>
      </c>
      <c r="BH1" s="304" t="s">
        <v>256</v>
      </c>
      <c r="BI1" s="304" t="s">
        <v>257</v>
      </c>
    </row>
    <row r="2" spans="1:61" s="48" customFormat="1" x14ac:dyDescent="0.15">
      <c r="A2" s="206" t="s">
        <v>354</v>
      </c>
      <c r="B2" s="206">
        <v>1396</v>
      </c>
      <c r="C2" s="206" t="s">
        <v>22</v>
      </c>
      <c r="D2" s="206" t="s">
        <v>696</v>
      </c>
      <c r="E2" s="206" t="s">
        <v>24</v>
      </c>
      <c r="F2" s="206" t="s">
        <v>94</v>
      </c>
      <c r="G2" s="206" t="s">
        <v>23</v>
      </c>
      <c r="H2" s="206" t="s">
        <v>26</v>
      </c>
      <c r="I2" s="206">
        <v>186726</v>
      </c>
      <c r="J2" s="42">
        <v>32800000</v>
      </c>
      <c r="K2" s="208">
        <v>1</v>
      </c>
      <c r="L2" s="206">
        <v>7</v>
      </c>
      <c r="M2" s="206" t="s">
        <v>27</v>
      </c>
      <c r="N2" s="196">
        <v>44847</v>
      </c>
      <c r="O2" s="195">
        <v>1</v>
      </c>
      <c r="P2" s="240" t="s">
        <v>27</v>
      </c>
      <c r="Q2" s="241" t="s">
        <v>128</v>
      </c>
      <c r="R2" s="242" t="s">
        <v>27</v>
      </c>
      <c r="S2" s="276" t="s">
        <v>128</v>
      </c>
      <c r="T2" s="242" t="s">
        <v>27</v>
      </c>
      <c r="U2" s="242">
        <v>6.5</v>
      </c>
      <c r="V2" s="276" t="s">
        <v>128</v>
      </c>
      <c r="W2" s="242" t="s">
        <v>27</v>
      </c>
      <c r="X2" s="242">
        <v>5</v>
      </c>
      <c r="Y2" s="242" t="s">
        <v>569</v>
      </c>
      <c r="Z2" s="242" t="s">
        <v>27</v>
      </c>
      <c r="AA2" s="242">
        <v>1.5</v>
      </c>
      <c r="AB2" s="242" t="s">
        <v>822</v>
      </c>
      <c r="AC2" s="242" t="s">
        <v>27</v>
      </c>
      <c r="AD2" s="276" t="s">
        <v>128</v>
      </c>
      <c r="AE2" s="276" t="s">
        <v>128</v>
      </c>
      <c r="AF2" s="242" t="s">
        <v>27</v>
      </c>
      <c r="AG2" s="242">
        <v>2</v>
      </c>
      <c r="AH2" s="242" t="s">
        <v>823</v>
      </c>
      <c r="AI2" s="205"/>
      <c r="AJ2" s="140"/>
      <c r="AK2" s="305"/>
      <c r="AL2" s="306"/>
      <c r="AM2" s="228"/>
      <c r="AN2" s="140"/>
      <c r="AO2" s="140"/>
      <c r="AP2" s="140"/>
      <c r="AQ2" s="140"/>
      <c r="AR2" s="140"/>
      <c r="AS2" s="140"/>
      <c r="AT2" s="140"/>
      <c r="AU2" s="228"/>
      <c r="AV2" s="228"/>
      <c r="AW2" s="228"/>
      <c r="AX2" s="228"/>
      <c r="AY2" s="228"/>
      <c r="AZ2" s="228"/>
      <c r="BA2" s="228"/>
      <c r="BB2" s="228"/>
      <c r="BC2" s="140"/>
      <c r="BD2" s="140"/>
      <c r="BE2" s="140"/>
      <c r="BF2" s="140"/>
      <c r="BG2" s="140" t="s">
        <v>358</v>
      </c>
      <c r="BH2" s="140" t="s">
        <v>264</v>
      </c>
      <c r="BI2" s="140" t="s">
        <v>264</v>
      </c>
    </row>
    <row r="3" spans="1:61" s="48" customFormat="1" x14ac:dyDescent="0.15">
      <c r="A3" s="200" t="s">
        <v>354</v>
      </c>
      <c r="B3" s="200">
        <v>1386</v>
      </c>
      <c r="C3" s="200" t="s">
        <v>22</v>
      </c>
      <c r="D3" s="200" t="s">
        <v>48</v>
      </c>
      <c r="E3" s="200" t="s">
        <v>31</v>
      </c>
      <c r="F3" s="200" t="s">
        <v>690</v>
      </c>
      <c r="G3" s="200" t="s">
        <v>130</v>
      </c>
      <c r="H3" s="200">
        <v>18360</v>
      </c>
      <c r="I3" s="200">
        <v>193102</v>
      </c>
      <c r="J3" s="42">
        <v>28000000</v>
      </c>
      <c r="K3" s="208">
        <v>1</v>
      </c>
      <c r="L3" s="206">
        <v>10</v>
      </c>
      <c r="M3" s="206" t="s">
        <v>27</v>
      </c>
      <c r="N3" s="196">
        <v>44873</v>
      </c>
      <c r="O3" s="195">
        <v>1</v>
      </c>
      <c r="P3" s="261" t="s">
        <v>27</v>
      </c>
      <c r="Q3" s="243" t="s">
        <v>128</v>
      </c>
      <c r="R3" s="262" t="s">
        <v>27</v>
      </c>
      <c r="S3" s="244" t="s">
        <v>128</v>
      </c>
      <c r="T3" s="262" t="s">
        <v>27</v>
      </c>
      <c r="U3" s="262">
        <v>7.5</v>
      </c>
      <c r="V3" s="262" t="s">
        <v>705</v>
      </c>
      <c r="W3" s="262" t="s">
        <v>27</v>
      </c>
      <c r="X3" s="262">
        <v>6</v>
      </c>
      <c r="Y3" s="262" t="s">
        <v>569</v>
      </c>
      <c r="Z3" s="244" t="s">
        <v>128</v>
      </c>
      <c r="AA3" s="244" t="s">
        <v>128</v>
      </c>
      <c r="AB3" s="244" t="s">
        <v>128</v>
      </c>
      <c r="AC3" s="262" t="s">
        <v>571</v>
      </c>
      <c r="AD3" s="244" t="s">
        <v>128</v>
      </c>
      <c r="AE3" s="262" t="s">
        <v>687</v>
      </c>
      <c r="AF3" s="262" t="s">
        <v>27</v>
      </c>
      <c r="AG3" s="244" t="s">
        <v>128</v>
      </c>
      <c r="AH3" s="244" t="s">
        <v>128</v>
      </c>
      <c r="AI3" s="205"/>
      <c r="AJ3" s="140"/>
      <c r="AK3" s="305"/>
      <c r="AL3" s="306"/>
      <c r="AM3" s="228"/>
      <c r="AN3" s="140"/>
      <c r="AO3" s="140"/>
      <c r="AP3" s="140"/>
      <c r="AQ3" s="140"/>
      <c r="AR3" s="140"/>
      <c r="AS3" s="140"/>
      <c r="AT3" s="140"/>
      <c r="AU3" s="228"/>
      <c r="AV3" s="228"/>
      <c r="AW3" s="228"/>
      <c r="AX3" s="228"/>
      <c r="AY3" s="228"/>
      <c r="AZ3" s="228"/>
      <c r="BA3" s="228"/>
      <c r="BB3" s="228"/>
      <c r="BC3" s="140"/>
      <c r="BD3" s="140"/>
      <c r="BE3" s="140"/>
      <c r="BF3" s="140"/>
      <c r="BG3" s="140" t="s">
        <v>269</v>
      </c>
      <c r="BH3" s="140" t="s">
        <v>264</v>
      </c>
      <c r="BI3" s="140" t="s">
        <v>264</v>
      </c>
    </row>
    <row r="4" spans="1:61" s="48" customFormat="1" x14ac:dyDescent="0.15">
      <c r="A4" s="206" t="s">
        <v>354</v>
      </c>
      <c r="B4" s="206">
        <v>1450</v>
      </c>
      <c r="C4" s="206" t="s">
        <v>22</v>
      </c>
      <c r="D4" s="206" t="s">
        <v>132</v>
      </c>
      <c r="E4" s="206" t="s">
        <v>66</v>
      </c>
      <c r="F4" s="206" t="s">
        <v>824</v>
      </c>
      <c r="G4" s="206" t="s">
        <v>44</v>
      </c>
      <c r="H4" s="206">
        <v>17280</v>
      </c>
      <c r="I4" s="206">
        <v>18093</v>
      </c>
      <c r="J4" s="42">
        <v>19900000</v>
      </c>
      <c r="K4" s="208">
        <v>1</v>
      </c>
      <c r="L4" s="206">
        <v>10</v>
      </c>
      <c r="M4" s="206" t="s">
        <v>27</v>
      </c>
      <c r="N4" s="196">
        <v>44867</v>
      </c>
      <c r="O4" s="195">
        <v>1</v>
      </c>
      <c r="P4" s="261" t="s">
        <v>27</v>
      </c>
      <c r="Q4" s="243" t="s">
        <v>128</v>
      </c>
      <c r="R4" s="262" t="s">
        <v>27</v>
      </c>
      <c r="S4" s="244" t="s">
        <v>128</v>
      </c>
      <c r="T4" s="262" t="s">
        <v>27</v>
      </c>
      <c r="U4" s="262">
        <v>7</v>
      </c>
      <c r="V4" s="244" t="s">
        <v>128</v>
      </c>
      <c r="W4" s="262" t="s">
        <v>27</v>
      </c>
      <c r="X4" s="244" t="s">
        <v>128</v>
      </c>
      <c r="Y4" s="262" t="s">
        <v>569</v>
      </c>
      <c r="Z4" s="262" t="s">
        <v>27</v>
      </c>
      <c r="AA4" s="262">
        <v>1.5</v>
      </c>
      <c r="AB4" s="262" t="s">
        <v>822</v>
      </c>
      <c r="AC4" s="262" t="s">
        <v>27</v>
      </c>
      <c r="AD4" s="262">
        <v>5</v>
      </c>
      <c r="AE4" s="262" t="s">
        <v>697</v>
      </c>
      <c r="AF4" s="262" t="s">
        <v>27</v>
      </c>
      <c r="AG4" s="262">
        <v>1.5</v>
      </c>
      <c r="AH4" s="244" t="s">
        <v>128</v>
      </c>
      <c r="AI4" s="205"/>
      <c r="AJ4" s="140"/>
      <c r="AK4" s="305"/>
      <c r="AL4" s="306"/>
      <c r="AM4" s="228"/>
      <c r="AN4" s="140"/>
      <c r="AO4" s="140"/>
      <c r="AP4" s="140"/>
      <c r="AQ4" s="140"/>
      <c r="AR4" s="140"/>
      <c r="AS4" s="140"/>
      <c r="AT4" s="140"/>
      <c r="AU4" s="228"/>
      <c r="AV4" s="228"/>
      <c r="AW4" s="228"/>
      <c r="AX4" s="228"/>
      <c r="AY4" s="228"/>
      <c r="AZ4" s="228"/>
      <c r="BA4" s="228"/>
      <c r="BB4" s="228"/>
      <c r="BC4" s="140"/>
      <c r="BD4" s="140"/>
      <c r="BE4" s="140"/>
      <c r="BF4" s="140"/>
      <c r="BG4" s="140" t="s">
        <v>269</v>
      </c>
      <c r="BH4" s="140" t="s">
        <v>264</v>
      </c>
      <c r="BI4" s="140" t="s">
        <v>264</v>
      </c>
    </row>
    <row r="5" spans="1:61" s="48" customFormat="1" x14ac:dyDescent="0.15">
      <c r="A5" s="206" t="s">
        <v>354</v>
      </c>
      <c r="B5" s="206">
        <v>1416</v>
      </c>
      <c r="C5" s="206" t="s">
        <v>22</v>
      </c>
      <c r="D5" s="206" t="s">
        <v>799</v>
      </c>
      <c r="E5" s="206" t="s">
        <v>24</v>
      </c>
      <c r="F5" s="206" t="s">
        <v>800</v>
      </c>
      <c r="G5" s="206" t="s">
        <v>23</v>
      </c>
      <c r="H5" s="206" t="s">
        <v>26</v>
      </c>
      <c r="I5" s="206">
        <v>185430</v>
      </c>
      <c r="J5" s="42">
        <v>20900000</v>
      </c>
      <c r="K5" s="208">
        <v>1</v>
      </c>
      <c r="L5" s="206">
        <v>9</v>
      </c>
      <c r="M5" s="206" t="s">
        <v>27</v>
      </c>
      <c r="N5" s="196">
        <v>44858</v>
      </c>
      <c r="O5" s="195">
        <v>1</v>
      </c>
      <c r="P5" s="261" t="s">
        <v>27</v>
      </c>
      <c r="Q5" s="243" t="s">
        <v>128</v>
      </c>
      <c r="R5" s="262" t="s">
        <v>27</v>
      </c>
      <c r="S5" s="244" t="s">
        <v>128</v>
      </c>
      <c r="T5" s="262" t="s">
        <v>27</v>
      </c>
      <c r="U5" s="262">
        <v>4</v>
      </c>
      <c r="V5" s="262" t="s">
        <v>555</v>
      </c>
      <c r="W5" s="262" t="s">
        <v>27</v>
      </c>
      <c r="X5" s="244" t="s">
        <v>128</v>
      </c>
      <c r="Y5" s="262" t="s">
        <v>825</v>
      </c>
      <c r="Z5" s="262" t="s">
        <v>27</v>
      </c>
      <c r="AA5" s="262">
        <v>1.5</v>
      </c>
      <c r="AB5" s="262" t="s">
        <v>546</v>
      </c>
      <c r="AC5" s="262" t="s">
        <v>27</v>
      </c>
      <c r="AD5" s="244" t="s">
        <v>128</v>
      </c>
      <c r="AE5" s="244" t="s">
        <v>128</v>
      </c>
      <c r="AF5" s="262" t="s">
        <v>27</v>
      </c>
      <c r="AG5" s="262">
        <v>2</v>
      </c>
      <c r="AH5" s="244" t="s">
        <v>128</v>
      </c>
      <c r="AI5" s="205"/>
      <c r="AJ5" s="140"/>
      <c r="AK5" s="305"/>
      <c r="AL5" s="306"/>
      <c r="AM5" s="228"/>
      <c r="AN5" s="140"/>
      <c r="AO5" s="140"/>
      <c r="AP5" s="140"/>
      <c r="AQ5" s="140"/>
      <c r="AR5" s="140"/>
      <c r="AS5" s="140"/>
      <c r="AT5" s="140"/>
      <c r="AU5" s="228"/>
      <c r="AV5" s="228"/>
      <c r="AW5" s="228"/>
      <c r="AX5" s="228"/>
      <c r="AY5" s="228"/>
      <c r="AZ5" s="228"/>
      <c r="BA5" s="228"/>
      <c r="BB5" s="228"/>
      <c r="BC5" s="140"/>
      <c r="BD5" s="140"/>
      <c r="BE5" s="140"/>
      <c r="BF5" s="140"/>
      <c r="BG5" s="140" t="s">
        <v>358</v>
      </c>
      <c r="BH5" s="140" t="s">
        <v>264</v>
      </c>
      <c r="BI5" s="140" t="s">
        <v>264</v>
      </c>
    </row>
    <row r="6" spans="1:61" s="48" customFormat="1" x14ac:dyDescent="0.15">
      <c r="A6" s="206" t="s">
        <v>354</v>
      </c>
      <c r="B6" s="206">
        <v>1418</v>
      </c>
      <c r="C6" s="206" t="s">
        <v>29</v>
      </c>
      <c r="D6" s="206" t="s">
        <v>136</v>
      </c>
      <c r="E6" s="206" t="s">
        <v>38</v>
      </c>
      <c r="F6" s="206" t="s">
        <v>137</v>
      </c>
      <c r="G6" s="206" t="s">
        <v>23</v>
      </c>
      <c r="H6" s="206" t="s">
        <v>26</v>
      </c>
      <c r="I6" s="206">
        <v>184858</v>
      </c>
      <c r="J6" s="42">
        <v>11900000</v>
      </c>
      <c r="K6" s="208">
        <v>1</v>
      </c>
      <c r="L6" s="206">
        <v>10</v>
      </c>
      <c r="M6" s="206" t="s">
        <v>27</v>
      </c>
      <c r="N6" s="196">
        <v>44872</v>
      </c>
      <c r="O6" s="195">
        <v>1</v>
      </c>
      <c r="P6" s="261" t="s">
        <v>27</v>
      </c>
      <c r="Q6" s="243" t="s">
        <v>128</v>
      </c>
      <c r="R6" s="262" t="s">
        <v>27</v>
      </c>
      <c r="S6" s="262">
        <v>2</v>
      </c>
      <c r="T6" s="262" t="s">
        <v>27</v>
      </c>
      <c r="U6" s="262">
        <v>3</v>
      </c>
      <c r="V6" s="262" t="s">
        <v>705</v>
      </c>
      <c r="W6" s="262" t="s">
        <v>27</v>
      </c>
      <c r="X6" s="262">
        <v>3</v>
      </c>
      <c r="Y6" s="262" t="s">
        <v>826</v>
      </c>
      <c r="Z6" s="262" t="s">
        <v>27</v>
      </c>
      <c r="AA6" s="262">
        <v>1</v>
      </c>
      <c r="AB6" s="244" t="s">
        <v>128</v>
      </c>
      <c r="AC6" s="262" t="s">
        <v>27</v>
      </c>
      <c r="AD6" s="262">
        <v>1</v>
      </c>
      <c r="AE6" s="262" t="s">
        <v>715</v>
      </c>
      <c r="AF6" s="262" t="s">
        <v>27</v>
      </c>
      <c r="AG6" s="262">
        <v>1.5</v>
      </c>
      <c r="AH6" s="244" t="s">
        <v>128</v>
      </c>
      <c r="AI6" s="205"/>
      <c r="AJ6" s="140"/>
      <c r="AK6" s="305"/>
      <c r="AL6" s="306"/>
      <c r="AM6" s="228" t="s">
        <v>716</v>
      </c>
      <c r="AN6" s="140" t="s">
        <v>240</v>
      </c>
      <c r="AO6" s="140"/>
      <c r="AP6" s="140"/>
      <c r="AQ6" s="140"/>
      <c r="AR6" s="140"/>
      <c r="AS6" s="140"/>
      <c r="AT6" s="140"/>
      <c r="AU6" s="228"/>
      <c r="AV6" s="228"/>
      <c r="AW6" s="228"/>
      <c r="AX6" s="228"/>
      <c r="AY6" s="228"/>
      <c r="AZ6" s="228"/>
      <c r="BA6" s="228"/>
      <c r="BB6" s="228"/>
      <c r="BC6" s="140"/>
      <c r="BD6" s="140"/>
      <c r="BE6" s="140"/>
      <c r="BF6" s="140"/>
      <c r="BG6" s="140" t="s">
        <v>269</v>
      </c>
      <c r="BH6" s="140" t="s">
        <v>264</v>
      </c>
      <c r="BI6" s="140" t="s">
        <v>264</v>
      </c>
    </row>
    <row r="7" spans="1:61" s="48" customFormat="1" x14ac:dyDescent="0.15">
      <c r="A7" s="206" t="s">
        <v>354</v>
      </c>
      <c r="B7" s="206">
        <v>1419</v>
      </c>
      <c r="C7" s="206" t="s">
        <v>29</v>
      </c>
      <c r="D7" s="206" t="s">
        <v>136</v>
      </c>
      <c r="E7" s="206" t="s">
        <v>38</v>
      </c>
      <c r="F7" s="206" t="s">
        <v>137</v>
      </c>
      <c r="G7" s="206" t="s">
        <v>23</v>
      </c>
      <c r="H7" s="206" t="s">
        <v>26</v>
      </c>
      <c r="I7" s="206">
        <v>184861</v>
      </c>
      <c r="J7" s="42">
        <v>11900000</v>
      </c>
      <c r="K7" s="208">
        <v>1</v>
      </c>
      <c r="L7" s="206">
        <v>9</v>
      </c>
      <c r="M7" s="206" t="s">
        <v>27</v>
      </c>
      <c r="N7" s="196">
        <v>44859</v>
      </c>
      <c r="O7" s="195">
        <v>1</v>
      </c>
      <c r="P7" s="261" t="s">
        <v>27</v>
      </c>
      <c r="Q7" s="243" t="s">
        <v>128</v>
      </c>
      <c r="R7" s="262" t="s">
        <v>27</v>
      </c>
      <c r="S7" s="262">
        <v>2</v>
      </c>
      <c r="T7" s="262" t="s">
        <v>27</v>
      </c>
      <c r="U7" s="262">
        <v>2.5</v>
      </c>
      <c r="V7" s="262" t="s">
        <v>691</v>
      </c>
      <c r="W7" s="262" t="s">
        <v>27</v>
      </c>
      <c r="X7" s="262">
        <v>3.5</v>
      </c>
      <c r="Y7" s="262" t="s">
        <v>826</v>
      </c>
      <c r="Z7" s="262" t="s">
        <v>27</v>
      </c>
      <c r="AA7" s="262">
        <v>1.5</v>
      </c>
      <c r="AB7" s="262" t="s">
        <v>546</v>
      </c>
      <c r="AC7" s="262" t="s">
        <v>27</v>
      </c>
      <c r="AD7" s="262">
        <v>1.5</v>
      </c>
      <c r="AE7" s="262" t="s">
        <v>715</v>
      </c>
      <c r="AF7" s="262" t="s">
        <v>27</v>
      </c>
      <c r="AG7" s="262">
        <v>1.5</v>
      </c>
      <c r="AH7" s="262" t="s">
        <v>827</v>
      </c>
      <c r="AI7" s="205"/>
      <c r="AJ7" s="140"/>
      <c r="AK7" s="305"/>
      <c r="AL7" s="306"/>
      <c r="AM7" s="228" t="s">
        <v>716</v>
      </c>
      <c r="AN7" s="140" t="s">
        <v>240</v>
      </c>
      <c r="AO7" s="140"/>
      <c r="AP7" s="140"/>
      <c r="AQ7" s="140"/>
      <c r="AR7" s="140"/>
      <c r="AS7" s="140"/>
      <c r="AT7" s="140"/>
      <c r="AU7" s="228"/>
      <c r="AV7" s="228"/>
      <c r="AW7" s="228"/>
      <c r="AX7" s="228"/>
      <c r="AY7" s="228"/>
      <c r="AZ7" s="228"/>
      <c r="BA7" s="228"/>
      <c r="BB7" s="228"/>
      <c r="BC7" s="140"/>
      <c r="BD7" s="140"/>
      <c r="BE7" s="140"/>
      <c r="BF7" s="140"/>
      <c r="BG7" s="140" t="s">
        <v>269</v>
      </c>
      <c r="BH7" s="140" t="s">
        <v>264</v>
      </c>
      <c r="BI7" s="140" t="s">
        <v>264</v>
      </c>
    </row>
    <row r="8" spans="1:61" s="48" customFormat="1" x14ac:dyDescent="0.2">
      <c r="A8" s="206" t="s">
        <v>354</v>
      </c>
      <c r="B8" s="206">
        <v>1451</v>
      </c>
      <c r="C8" s="206" t="s">
        <v>29</v>
      </c>
      <c r="D8" s="206" t="s">
        <v>828</v>
      </c>
      <c r="E8" s="206" t="s">
        <v>38</v>
      </c>
      <c r="F8" s="206" t="s">
        <v>829</v>
      </c>
      <c r="G8" s="206" t="s">
        <v>23</v>
      </c>
      <c r="H8" s="206" t="s">
        <v>773</v>
      </c>
      <c r="I8" s="206">
        <v>921476</v>
      </c>
      <c r="J8" s="42">
        <v>30000000</v>
      </c>
      <c r="K8" s="208">
        <v>1</v>
      </c>
      <c r="L8" s="206">
        <v>10</v>
      </c>
      <c r="M8" s="206" t="s">
        <v>27</v>
      </c>
      <c r="N8" s="196">
        <v>44869</v>
      </c>
      <c r="O8" s="195">
        <v>1</v>
      </c>
      <c r="P8" s="261" t="s">
        <v>27</v>
      </c>
      <c r="Q8" s="243" t="s">
        <v>128</v>
      </c>
      <c r="R8" s="262" t="s">
        <v>27</v>
      </c>
      <c r="S8" s="244" t="s">
        <v>128</v>
      </c>
      <c r="T8" s="262" t="s">
        <v>27</v>
      </c>
      <c r="U8" s="262">
        <v>7</v>
      </c>
      <c r="V8" s="262" t="s">
        <v>555</v>
      </c>
      <c r="W8" s="262" t="s">
        <v>27</v>
      </c>
      <c r="X8" s="262">
        <v>7</v>
      </c>
      <c r="Y8" s="262" t="s">
        <v>830</v>
      </c>
      <c r="Z8" s="262" t="s">
        <v>27</v>
      </c>
      <c r="AA8" s="262">
        <v>1</v>
      </c>
      <c r="AB8" s="262" t="s">
        <v>831</v>
      </c>
      <c r="AC8" s="262" t="s">
        <v>27</v>
      </c>
      <c r="AD8" s="262">
        <v>1.5</v>
      </c>
      <c r="AE8" s="262" t="s">
        <v>715</v>
      </c>
      <c r="AF8" s="262" t="s">
        <v>27</v>
      </c>
      <c r="AG8" s="262">
        <v>1.5</v>
      </c>
      <c r="AH8" s="262" t="s">
        <v>832</v>
      </c>
      <c r="AI8" s="228"/>
      <c r="AJ8" s="140"/>
      <c r="AK8" s="228"/>
      <c r="AL8" s="228"/>
      <c r="AM8" s="228" t="s">
        <v>833</v>
      </c>
      <c r="AN8" s="140" t="s">
        <v>240</v>
      </c>
      <c r="AO8" s="228"/>
      <c r="AP8" s="228"/>
      <c r="AQ8" s="228"/>
      <c r="AR8" s="228"/>
      <c r="AS8" s="228"/>
      <c r="AT8" s="228"/>
      <c r="AU8" s="228"/>
      <c r="AV8" s="228"/>
      <c r="AW8" s="228"/>
      <c r="AX8" s="228"/>
      <c r="AY8" s="228"/>
      <c r="AZ8" s="228"/>
      <c r="BA8" s="228"/>
      <c r="BB8" s="228"/>
      <c r="BC8" s="228"/>
      <c r="BD8" s="228"/>
      <c r="BE8" s="228"/>
      <c r="BF8" s="228"/>
      <c r="BG8" s="140" t="s">
        <v>358</v>
      </c>
      <c r="BH8" s="140" t="s">
        <v>264</v>
      </c>
      <c r="BI8" s="140" t="s">
        <v>264</v>
      </c>
    </row>
    <row r="9" spans="1:61" s="48" customFormat="1" x14ac:dyDescent="0.2">
      <c r="A9" s="206" t="s">
        <v>354</v>
      </c>
      <c r="B9" s="206">
        <v>1197</v>
      </c>
      <c r="C9" s="206" t="s">
        <v>22</v>
      </c>
      <c r="D9" s="206" t="s">
        <v>804</v>
      </c>
      <c r="E9" s="206" t="s">
        <v>34</v>
      </c>
      <c r="F9" s="206" t="s">
        <v>805</v>
      </c>
      <c r="G9" s="206" t="s">
        <v>60</v>
      </c>
      <c r="H9" s="206" t="s">
        <v>771</v>
      </c>
      <c r="I9" s="206">
        <v>1115</v>
      </c>
      <c r="J9" s="230">
        <v>6700000</v>
      </c>
      <c r="K9" s="208">
        <v>1</v>
      </c>
      <c r="L9" s="206">
        <v>8</v>
      </c>
      <c r="M9" s="206" t="s">
        <v>27</v>
      </c>
      <c r="N9" s="196">
        <v>44856</v>
      </c>
      <c r="O9" s="195">
        <v>1</v>
      </c>
      <c r="P9" s="261" t="s">
        <v>27</v>
      </c>
      <c r="Q9" s="243" t="s">
        <v>128</v>
      </c>
      <c r="R9" s="262" t="s">
        <v>27</v>
      </c>
      <c r="S9" s="244" t="s">
        <v>128</v>
      </c>
      <c r="T9" s="262" t="s">
        <v>27</v>
      </c>
      <c r="U9" s="262">
        <v>2.5</v>
      </c>
      <c r="V9" s="262" t="s">
        <v>564</v>
      </c>
      <c r="W9" s="262" t="s">
        <v>27</v>
      </c>
      <c r="X9" s="262">
        <v>3</v>
      </c>
      <c r="Y9" s="262" t="s">
        <v>695</v>
      </c>
      <c r="Z9" s="262" t="s">
        <v>27</v>
      </c>
      <c r="AA9" s="262">
        <v>1</v>
      </c>
      <c r="AB9" s="262" t="s">
        <v>546</v>
      </c>
      <c r="AC9" s="262" t="s">
        <v>575</v>
      </c>
      <c r="AD9" s="244" t="s">
        <v>128</v>
      </c>
      <c r="AE9" s="244" t="s">
        <v>128</v>
      </c>
      <c r="AF9" s="262" t="s">
        <v>27</v>
      </c>
      <c r="AG9" s="244" t="s">
        <v>128</v>
      </c>
      <c r="AH9" s="244" t="s">
        <v>128</v>
      </c>
      <c r="AI9" s="228"/>
      <c r="AJ9" s="140"/>
      <c r="AK9" s="228"/>
      <c r="AL9" s="228"/>
      <c r="AM9" s="228"/>
      <c r="AN9" s="140"/>
      <c r="AO9" s="228"/>
      <c r="AP9" s="228"/>
      <c r="AQ9" s="228"/>
      <c r="AR9" s="228"/>
      <c r="AS9" s="228"/>
      <c r="AT9" s="228"/>
      <c r="AU9" s="228"/>
      <c r="AV9" s="228"/>
      <c r="AW9" s="228"/>
      <c r="AX9" s="228"/>
      <c r="AY9" s="228"/>
      <c r="AZ9" s="228"/>
      <c r="BA9" s="228"/>
      <c r="BB9" s="228"/>
      <c r="BC9" s="228"/>
      <c r="BD9" s="228"/>
      <c r="BE9" s="228"/>
      <c r="BF9" s="228"/>
      <c r="BG9" s="140" t="s">
        <v>291</v>
      </c>
      <c r="BH9" s="140" t="s">
        <v>264</v>
      </c>
      <c r="BI9" s="140" t="s">
        <v>264</v>
      </c>
    </row>
    <row r="10" spans="1:61" s="48" customFormat="1" x14ac:dyDescent="0.15">
      <c r="A10" s="206" t="s">
        <v>354</v>
      </c>
      <c r="B10" s="206">
        <v>1311</v>
      </c>
      <c r="C10" s="206" t="s">
        <v>22</v>
      </c>
      <c r="D10" s="206" t="s">
        <v>42</v>
      </c>
      <c r="E10" s="206" t="s">
        <v>38</v>
      </c>
      <c r="F10" s="206" t="s">
        <v>659</v>
      </c>
      <c r="G10" s="206" t="s">
        <v>44</v>
      </c>
      <c r="H10" s="206">
        <v>32360</v>
      </c>
      <c r="I10" s="206">
        <v>36724</v>
      </c>
      <c r="J10" s="230">
        <v>14700000</v>
      </c>
      <c r="K10" s="208">
        <v>1</v>
      </c>
      <c r="L10" s="206">
        <v>9</v>
      </c>
      <c r="M10" s="206" t="s">
        <v>27</v>
      </c>
      <c r="N10" s="196">
        <v>44862</v>
      </c>
      <c r="O10" s="195">
        <v>1</v>
      </c>
      <c r="P10" s="261" t="s">
        <v>27</v>
      </c>
      <c r="Q10" s="243" t="s">
        <v>128</v>
      </c>
      <c r="R10" s="262" t="s">
        <v>27</v>
      </c>
      <c r="S10" s="244" t="s">
        <v>128</v>
      </c>
      <c r="T10" s="262" t="s">
        <v>27</v>
      </c>
      <c r="U10" s="262">
        <v>3</v>
      </c>
      <c r="V10" s="262" t="s">
        <v>555</v>
      </c>
      <c r="W10" s="262" t="s">
        <v>27</v>
      </c>
      <c r="X10" s="262">
        <v>3</v>
      </c>
      <c r="Y10" s="262" t="s">
        <v>826</v>
      </c>
      <c r="Z10" s="262" t="s">
        <v>27</v>
      </c>
      <c r="AA10" s="262">
        <v>1</v>
      </c>
      <c r="AB10" s="262" t="s">
        <v>546</v>
      </c>
      <c r="AC10" s="262" t="s">
        <v>27</v>
      </c>
      <c r="AD10" s="262">
        <v>1.5</v>
      </c>
      <c r="AE10" s="262" t="s">
        <v>715</v>
      </c>
      <c r="AF10" s="262" t="s">
        <v>27</v>
      </c>
      <c r="AG10" s="262">
        <v>1</v>
      </c>
      <c r="AH10" s="262" t="s">
        <v>834</v>
      </c>
      <c r="AI10" s="205"/>
      <c r="AJ10" s="140"/>
      <c r="AK10" s="305"/>
      <c r="AL10" s="306"/>
      <c r="AM10" s="228" t="s">
        <v>660</v>
      </c>
      <c r="AN10" s="140" t="s">
        <v>240</v>
      </c>
      <c r="AO10" s="140"/>
      <c r="AP10" s="140"/>
      <c r="AQ10" s="140"/>
      <c r="AR10" s="140"/>
      <c r="AS10" s="140"/>
      <c r="AT10" s="140"/>
      <c r="AU10" s="228"/>
      <c r="AV10" s="228"/>
      <c r="AW10" s="228"/>
      <c r="AX10" s="228"/>
      <c r="AY10" s="228"/>
      <c r="AZ10" s="228"/>
      <c r="BA10" s="228"/>
      <c r="BB10" s="228"/>
      <c r="BC10" s="140"/>
      <c r="BD10" s="140"/>
      <c r="BE10" s="140"/>
      <c r="BF10" s="140"/>
      <c r="BG10" s="140"/>
      <c r="BH10" s="140"/>
      <c r="BI10" s="140"/>
    </row>
    <row r="11" spans="1:61" s="48" customFormat="1" x14ac:dyDescent="0.15">
      <c r="A11" s="206" t="s">
        <v>354</v>
      </c>
      <c r="B11" s="206">
        <v>1488</v>
      </c>
      <c r="C11" s="206" t="s">
        <v>29</v>
      </c>
      <c r="D11" s="206" t="s">
        <v>835</v>
      </c>
      <c r="E11" s="206" t="s">
        <v>38</v>
      </c>
      <c r="F11" s="206" t="s">
        <v>43</v>
      </c>
      <c r="G11" s="206" t="s">
        <v>44</v>
      </c>
      <c r="H11" s="206">
        <v>32360</v>
      </c>
      <c r="I11" s="206">
        <v>25673</v>
      </c>
      <c r="J11" s="230">
        <v>14700000</v>
      </c>
      <c r="K11" s="208">
        <v>1</v>
      </c>
      <c r="L11" s="206">
        <v>8</v>
      </c>
      <c r="M11" s="206" t="s">
        <v>27</v>
      </c>
      <c r="N11" s="196">
        <v>44855</v>
      </c>
      <c r="O11" s="195">
        <v>1</v>
      </c>
      <c r="P11" s="261" t="s">
        <v>27</v>
      </c>
      <c r="Q11" s="243" t="s">
        <v>128</v>
      </c>
      <c r="R11" s="262" t="s">
        <v>27</v>
      </c>
      <c r="S11" s="244" t="s">
        <v>128</v>
      </c>
      <c r="T11" s="262" t="s">
        <v>27</v>
      </c>
      <c r="U11" s="262">
        <v>2.5</v>
      </c>
      <c r="V11" s="262" t="s">
        <v>694</v>
      </c>
      <c r="W11" s="262" t="s">
        <v>27</v>
      </c>
      <c r="X11" s="262">
        <v>3</v>
      </c>
      <c r="Y11" s="262" t="s">
        <v>825</v>
      </c>
      <c r="Z11" s="262" t="s">
        <v>27</v>
      </c>
      <c r="AA11" s="244" t="s">
        <v>128</v>
      </c>
      <c r="AB11" s="262" t="s">
        <v>822</v>
      </c>
      <c r="AC11" s="262" t="s">
        <v>27</v>
      </c>
      <c r="AD11" s="262">
        <v>1.5</v>
      </c>
      <c r="AE11" s="262" t="s">
        <v>715</v>
      </c>
      <c r="AF11" s="262" t="s">
        <v>27</v>
      </c>
      <c r="AG11" s="244" t="s">
        <v>128</v>
      </c>
      <c r="AH11" s="262" t="s">
        <v>832</v>
      </c>
      <c r="AI11" s="205"/>
      <c r="AJ11" s="140"/>
      <c r="AK11" s="305"/>
      <c r="AL11" s="306"/>
      <c r="AM11" s="228" t="s">
        <v>811</v>
      </c>
      <c r="AN11" s="140" t="s">
        <v>240</v>
      </c>
      <c r="AO11" s="140"/>
      <c r="AP11" s="140"/>
      <c r="AQ11" s="140"/>
      <c r="AR11" s="140"/>
      <c r="AS11" s="140"/>
      <c r="AT11" s="140"/>
      <c r="AU11" s="228"/>
      <c r="AV11" s="228"/>
      <c r="AW11" s="228"/>
      <c r="AX11" s="228"/>
      <c r="AY11" s="228"/>
      <c r="AZ11" s="228"/>
      <c r="BA11" s="228"/>
      <c r="BB11" s="228"/>
      <c r="BC11" s="140"/>
      <c r="BD11" s="140"/>
      <c r="BE11" s="140"/>
      <c r="BF11" s="140"/>
      <c r="BG11" s="140" t="s">
        <v>269</v>
      </c>
      <c r="BH11" s="140" t="s">
        <v>264</v>
      </c>
      <c r="BI11" s="140" t="s">
        <v>264</v>
      </c>
    </row>
    <row r="12" spans="1:61" s="48" customFormat="1" x14ac:dyDescent="0.2">
      <c r="A12" s="206" t="s">
        <v>354</v>
      </c>
      <c r="B12" s="206">
        <v>1493</v>
      </c>
      <c r="C12" s="206" t="s">
        <v>29</v>
      </c>
      <c r="D12" s="206" t="s">
        <v>835</v>
      </c>
      <c r="E12" s="206" t="s">
        <v>38</v>
      </c>
      <c r="F12" s="206" t="s">
        <v>43</v>
      </c>
      <c r="G12" s="206" t="s">
        <v>44</v>
      </c>
      <c r="H12" s="206">
        <v>32360</v>
      </c>
      <c r="I12" s="206">
        <v>25591</v>
      </c>
      <c r="J12" s="230">
        <v>14700000</v>
      </c>
      <c r="K12" s="208">
        <v>1</v>
      </c>
      <c r="L12" s="206">
        <v>8</v>
      </c>
      <c r="M12" s="206" t="s">
        <v>27</v>
      </c>
      <c r="N12" s="196">
        <v>44855</v>
      </c>
      <c r="O12" s="195">
        <v>1</v>
      </c>
      <c r="P12" s="261" t="s">
        <v>27</v>
      </c>
      <c r="Q12" s="243" t="s">
        <v>128</v>
      </c>
      <c r="R12" s="262" t="s">
        <v>27</v>
      </c>
      <c r="S12" s="244" t="s">
        <v>128</v>
      </c>
      <c r="T12" s="262" t="s">
        <v>27</v>
      </c>
      <c r="U12" s="262">
        <v>3</v>
      </c>
      <c r="V12" s="262" t="s">
        <v>555</v>
      </c>
      <c r="W12" s="262" t="s">
        <v>27</v>
      </c>
      <c r="X12" s="262">
        <v>3</v>
      </c>
      <c r="Y12" s="262" t="s">
        <v>830</v>
      </c>
      <c r="Z12" s="262" t="s">
        <v>27</v>
      </c>
      <c r="AA12" s="244" t="s">
        <v>128</v>
      </c>
      <c r="AB12" s="262" t="s">
        <v>822</v>
      </c>
      <c r="AC12" s="262" t="s">
        <v>27</v>
      </c>
      <c r="AD12" s="262">
        <v>1.5</v>
      </c>
      <c r="AE12" s="262" t="s">
        <v>715</v>
      </c>
      <c r="AF12" s="262" t="s">
        <v>27</v>
      </c>
      <c r="AG12" s="244" t="s">
        <v>128</v>
      </c>
      <c r="AH12" s="262" t="s">
        <v>832</v>
      </c>
      <c r="AI12" s="228"/>
      <c r="AJ12" s="140"/>
      <c r="AK12" s="228"/>
      <c r="AL12" s="228"/>
      <c r="AM12" s="228" t="s">
        <v>811</v>
      </c>
      <c r="AN12" s="140" t="s">
        <v>240</v>
      </c>
      <c r="AO12" s="228"/>
      <c r="AP12" s="228"/>
      <c r="AQ12" s="228"/>
      <c r="AR12" s="228"/>
      <c r="AS12" s="228"/>
      <c r="AT12" s="228"/>
      <c r="AU12" s="228"/>
      <c r="AV12" s="228"/>
      <c r="AW12" s="228"/>
      <c r="AX12" s="228"/>
      <c r="AY12" s="228"/>
      <c r="AZ12" s="228"/>
      <c r="BA12" s="228"/>
      <c r="BB12" s="228"/>
      <c r="BC12" s="228"/>
      <c r="BD12" s="228"/>
      <c r="BE12" s="228"/>
      <c r="BF12" s="228"/>
      <c r="BG12" s="140" t="s">
        <v>269</v>
      </c>
      <c r="BH12" s="140"/>
      <c r="BI12" s="140" t="s">
        <v>264</v>
      </c>
    </row>
    <row r="13" spans="1:61" s="48" customFormat="1" x14ac:dyDescent="0.2">
      <c r="A13" s="206" t="s">
        <v>354</v>
      </c>
      <c r="B13" s="206">
        <v>1239</v>
      </c>
      <c r="C13" s="206" t="s">
        <v>22</v>
      </c>
      <c r="D13" s="206" t="s">
        <v>106</v>
      </c>
      <c r="E13" s="206" t="s">
        <v>38</v>
      </c>
      <c r="F13" s="206" t="s">
        <v>692</v>
      </c>
      <c r="G13" s="206" t="s">
        <v>106</v>
      </c>
      <c r="H13" s="206" t="s">
        <v>693</v>
      </c>
      <c r="I13" s="206">
        <v>4020893</v>
      </c>
      <c r="J13" s="230">
        <v>25000000</v>
      </c>
      <c r="K13" s="208">
        <v>1</v>
      </c>
      <c r="L13" s="206">
        <v>10</v>
      </c>
      <c r="M13" s="206" t="s">
        <v>27</v>
      </c>
      <c r="N13" s="196">
        <v>44867</v>
      </c>
      <c r="O13" s="195">
        <v>1</v>
      </c>
      <c r="P13" s="261" t="s">
        <v>27</v>
      </c>
      <c r="Q13" s="243" t="s">
        <v>128</v>
      </c>
      <c r="R13" s="262" t="s">
        <v>27</v>
      </c>
      <c r="S13" s="244" t="s">
        <v>128</v>
      </c>
      <c r="T13" s="262" t="s">
        <v>27</v>
      </c>
      <c r="U13" s="262">
        <v>3.5</v>
      </c>
      <c r="V13" s="262" t="s">
        <v>694</v>
      </c>
      <c r="W13" s="262" t="s">
        <v>27</v>
      </c>
      <c r="X13" s="262">
        <v>5.5</v>
      </c>
      <c r="Y13" s="262" t="s">
        <v>695</v>
      </c>
      <c r="Z13" s="262" t="s">
        <v>27</v>
      </c>
      <c r="AA13" s="262">
        <v>1</v>
      </c>
      <c r="AB13" s="262" t="s">
        <v>822</v>
      </c>
      <c r="AC13" s="262" t="s">
        <v>27</v>
      </c>
      <c r="AD13" s="262">
        <v>2</v>
      </c>
      <c r="AE13" s="262" t="s">
        <v>715</v>
      </c>
      <c r="AF13" s="262" t="s">
        <v>27</v>
      </c>
      <c r="AG13" s="262">
        <v>1</v>
      </c>
      <c r="AH13" s="244" t="s">
        <v>128</v>
      </c>
      <c r="AI13" s="228"/>
      <c r="AJ13" s="140"/>
      <c r="AK13" s="228"/>
      <c r="AL13" s="228"/>
      <c r="AM13" s="228" t="s">
        <v>672</v>
      </c>
      <c r="AN13" s="140" t="s">
        <v>240</v>
      </c>
      <c r="AO13" s="228"/>
      <c r="AP13" s="228"/>
      <c r="AQ13" s="228"/>
      <c r="AR13" s="228"/>
      <c r="AS13" s="228"/>
      <c r="AT13" s="228"/>
      <c r="AU13" s="228"/>
      <c r="AV13" s="228"/>
      <c r="AW13" s="228"/>
      <c r="AX13" s="228"/>
      <c r="AY13" s="228"/>
      <c r="AZ13" s="228"/>
      <c r="BA13" s="228"/>
      <c r="BB13" s="228"/>
      <c r="BC13" s="228"/>
      <c r="BD13" s="228"/>
      <c r="BE13" s="228"/>
      <c r="BF13" s="228"/>
      <c r="BG13" s="140" t="s">
        <v>358</v>
      </c>
      <c r="BH13" s="140" t="s">
        <v>264</v>
      </c>
      <c r="BI13" s="140" t="s">
        <v>264</v>
      </c>
    </row>
    <row r="14" spans="1:61" s="48" customFormat="1" hidden="1" x14ac:dyDescent="0.2">
      <c r="A14" s="207"/>
      <c r="B14" s="207"/>
      <c r="C14" s="207"/>
      <c r="D14" s="207"/>
      <c r="E14" s="207"/>
      <c r="F14" s="207"/>
      <c r="G14" s="207"/>
      <c r="H14" s="207"/>
      <c r="I14" s="207"/>
      <c r="J14" s="36"/>
      <c r="K14" s="19"/>
      <c r="L14" s="33" t="s">
        <v>128</v>
      </c>
      <c r="M14" s="19" t="s">
        <v>128</v>
      </c>
      <c r="N14" s="29" t="s">
        <v>128</v>
      </c>
      <c r="O14" s="46"/>
      <c r="P14" s="261" t="s">
        <v>128</v>
      </c>
      <c r="Q14" s="243" t="s">
        <v>128</v>
      </c>
      <c r="R14" s="262" t="s">
        <v>128</v>
      </c>
      <c r="S14" s="262" t="s">
        <v>128</v>
      </c>
      <c r="T14" s="262" t="s">
        <v>128</v>
      </c>
      <c r="U14" s="262" t="s">
        <v>128</v>
      </c>
      <c r="V14" s="262" t="s">
        <v>128</v>
      </c>
      <c r="W14" s="262" t="s">
        <v>128</v>
      </c>
      <c r="X14" s="262" t="s">
        <v>128</v>
      </c>
      <c r="Y14" s="262" t="s">
        <v>128</v>
      </c>
      <c r="Z14" s="262" t="s">
        <v>128</v>
      </c>
      <c r="AA14" s="244" t="s">
        <v>128</v>
      </c>
      <c r="AB14" s="244" t="s">
        <v>128</v>
      </c>
      <c r="AC14" s="262" t="s">
        <v>128</v>
      </c>
      <c r="AD14" s="244" t="s">
        <v>128</v>
      </c>
      <c r="AE14" s="262" t="s">
        <v>128</v>
      </c>
      <c r="AF14" s="244" t="s">
        <v>128</v>
      </c>
      <c r="AG14" s="244" t="s">
        <v>128</v>
      </c>
      <c r="AH14" s="244" t="s">
        <v>128</v>
      </c>
      <c r="AI14" s="228"/>
      <c r="AJ14" s="140"/>
      <c r="AK14" s="228"/>
      <c r="AL14" s="228"/>
      <c r="AM14" s="228"/>
      <c r="AN14" s="228"/>
      <c r="AO14" s="228"/>
      <c r="AP14" s="228"/>
      <c r="AQ14" s="228"/>
      <c r="AR14" s="228"/>
      <c r="AS14" s="228"/>
      <c r="AT14" s="228"/>
      <c r="AU14" s="228"/>
      <c r="AV14" s="228"/>
      <c r="AW14" s="228"/>
      <c r="AX14" s="228"/>
      <c r="AY14" s="228"/>
      <c r="AZ14" s="228"/>
      <c r="BA14" s="228"/>
      <c r="BB14" s="228"/>
      <c r="BC14" s="228"/>
      <c r="BD14" s="228"/>
      <c r="BE14" s="228"/>
      <c r="BF14" s="228"/>
      <c r="BG14" s="140"/>
      <c r="BH14" s="140"/>
      <c r="BI14" s="140"/>
    </row>
    <row r="15" spans="1:61" s="48" customFormat="1" hidden="1" x14ac:dyDescent="0.2">
      <c r="A15" s="209"/>
      <c r="B15" s="209"/>
      <c r="C15" s="209"/>
      <c r="D15" s="209"/>
      <c r="E15" s="209"/>
      <c r="F15" s="209"/>
      <c r="G15" s="209"/>
      <c r="H15" s="209"/>
      <c r="I15" s="209"/>
      <c r="J15" s="35"/>
      <c r="K15" s="19"/>
      <c r="L15" s="33" t="s">
        <v>128</v>
      </c>
      <c r="M15" s="19" t="s">
        <v>128</v>
      </c>
      <c r="N15" s="29" t="s">
        <v>128</v>
      </c>
      <c r="O15" s="46"/>
      <c r="P15" s="261" t="s">
        <v>128</v>
      </c>
      <c r="Q15" s="243" t="s">
        <v>128</v>
      </c>
      <c r="R15" s="262" t="s">
        <v>128</v>
      </c>
      <c r="S15" s="262" t="s">
        <v>128</v>
      </c>
      <c r="T15" s="262" t="s">
        <v>128</v>
      </c>
      <c r="U15" s="262" t="s">
        <v>128</v>
      </c>
      <c r="V15" s="262" t="s">
        <v>128</v>
      </c>
      <c r="W15" s="262" t="s">
        <v>128</v>
      </c>
      <c r="X15" s="262" t="s">
        <v>128</v>
      </c>
      <c r="Y15" s="262" t="s">
        <v>128</v>
      </c>
      <c r="Z15" s="262" t="s">
        <v>128</v>
      </c>
      <c r="AA15" s="244" t="s">
        <v>128</v>
      </c>
      <c r="AB15" s="244" t="s">
        <v>128</v>
      </c>
      <c r="AC15" s="262" t="s">
        <v>128</v>
      </c>
      <c r="AD15" s="244" t="s">
        <v>128</v>
      </c>
      <c r="AE15" s="262" t="s">
        <v>128</v>
      </c>
      <c r="AF15" s="244" t="s">
        <v>128</v>
      </c>
      <c r="AG15" s="244" t="s">
        <v>128</v>
      </c>
      <c r="AH15" s="244" t="s">
        <v>128</v>
      </c>
      <c r="AI15" s="228"/>
      <c r="AJ15" s="140"/>
      <c r="AK15" s="228"/>
      <c r="AL15" s="228"/>
      <c r="AM15" s="228"/>
      <c r="AN15" s="228"/>
      <c r="AO15" s="228"/>
      <c r="AP15" s="228"/>
      <c r="AQ15" s="228"/>
      <c r="AR15" s="228"/>
      <c r="AS15" s="228"/>
      <c r="AT15" s="228"/>
      <c r="AU15" s="228"/>
      <c r="AV15" s="228"/>
      <c r="AW15" s="228"/>
      <c r="AX15" s="228"/>
      <c r="AY15" s="228"/>
      <c r="AZ15" s="228"/>
      <c r="BA15" s="228"/>
      <c r="BB15" s="228"/>
      <c r="BC15" s="228"/>
      <c r="BD15" s="228"/>
      <c r="BE15" s="228"/>
      <c r="BF15" s="228"/>
      <c r="BG15" s="140"/>
      <c r="BH15" s="228"/>
      <c r="BI15" s="140"/>
    </row>
    <row r="16" spans="1:61" s="48" customFormat="1" hidden="1" x14ac:dyDescent="0.2">
      <c r="A16" s="207"/>
      <c r="B16" s="207"/>
      <c r="C16" s="207"/>
      <c r="D16" s="207"/>
      <c r="E16" s="207"/>
      <c r="F16" s="207"/>
      <c r="G16" s="207"/>
      <c r="H16" s="207"/>
      <c r="I16" s="207"/>
      <c r="J16" s="36"/>
      <c r="K16" s="19"/>
      <c r="L16" s="33" t="s">
        <v>128</v>
      </c>
      <c r="M16" s="19" t="s">
        <v>128</v>
      </c>
      <c r="N16" s="29" t="s">
        <v>128</v>
      </c>
      <c r="O16" s="46"/>
      <c r="P16" s="261" t="s">
        <v>128</v>
      </c>
      <c r="Q16" s="243" t="s">
        <v>128</v>
      </c>
      <c r="R16" s="262" t="s">
        <v>128</v>
      </c>
      <c r="S16" s="262" t="s">
        <v>128</v>
      </c>
      <c r="T16" s="262" t="s">
        <v>128</v>
      </c>
      <c r="U16" s="262" t="s">
        <v>128</v>
      </c>
      <c r="V16" s="262" t="s">
        <v>128</v>
      </c>
      <c r="W16" s="262" t="s">
        <v>128</v>
      </c>
      <c r="X16" s="262" t="s">
        <v>128</v>
      </c>
      <c r="Y16" s="262" t="s">
        <v>128</v>
      </c>
      <c r="Z16" s="262" t="s">
        <v>128</v>
      </c>
      <c r="AA16" s="244" t="s">
        <v>128</v>
      </c>
      <c r="AB16" s="244" t="s">
        <v>128</v>
      </c>
      <c r="AC16" s="262" t="s">
        <v>128</v>
      </c>
      <c r="AD16" s="244" t="s">
        <v>128</v>
      </c>
      <c r="AE16" s="262" t="s">
        <v>128</v>
      </c>
      <c r="AF16" s="244" t="s">
        <v>128</v>
      </c>
      <c r="AG16" s="244" t="s">
        <v>128</v>
      </c>
      <c r="AH16" s="244" t="s">
        <v>128</v>
      </c>
      <c r="AI16" s="228"/>
      <c r="AJ16" s="140"/>
      <c r="AK16" s="228"/>
      <c r="AL16" s="228"/>
      <c r="AM16" s="228"/>
      <c r="AN16" s="228"/>
      <c r="AO16" s="228"/>
      <c r="AP16" s="228"/>
      <c r="AQ16" s="228"/>
      <c r="AR16" s="228"/>
      <c r="AS16" s="228"/>
      <c r="AT16" s="228"/>
      <c r="AU16" s="228"/>
      <c r="AV16" s="228"/>
      <c r="AW16" s="228"/>
      <c r="AX16" s="228"/>
      <c r="AY16" s="228"/>
      <c r="AZ16" s="228"/>
      <c r="BA16" s="228"/>
      <c r="BB16" s="228"/>
      <c r="BC16" s="228"/>
      <c r="BD16" s="228"/>
      <c r="BE16" s="228"/>
      <c r="BF16" s="228"/>
      <c r="BG16" s="140"/>
      <c r="BH16" s="228"/>
      <c r="BI16" s="140"/>
    </row>
    <row r="17" spans="1:61" s="48" customFormat="1" hidden="1" x14ac:dyDescent="0.2">
      <c r="A17" s="209"/>
      <c r="B17" s="209"/>
      <c r="C17" s="209"/>
      <c r="D17" s="209"/>
      <c r="E17" s="209"/>
      <c r="F17" s="209"/>
      <c r="G17" s="209"/>
      <c r="H17" s="209"/>
      <c r="I17" s="209"/>
      <c r="J17" s="35"/>
      <c r="K17" s="19"/>
      <c r="L17" s="33" t="s">
        <v>128</v>
      </c>
      <c r="M17" s="19" t="s">
        <v>128</v>
      </c>
      <c r="N17" s="29" t="s">
        <v>128</v>
      </c>
      <c r="O17" s="46"/>
      <c r="P17" s="261" t="s">
        <v>128</v>
      </c>
      <c r="Q17" s="243" t="s">
        <v>128</v>
      </c>
      <c r="R17" s="262" t="s">
        <v>128</v>
      </c>
      <c r="S17" s="262" t="s">
        <v>128</v>
      </c>
      <c r="T17" s="262" t="s">
        <v>128</v>
      </c>
      <c r="U17" s="262" t="s">
        <v>128</v>
      </c>
      <c r="V17" s="262" t="s">
        <v>128</v>
      </c>
      <c r="W17" s="262" t="s">
        <v>128</v>
      </c>
      <c r="X17" s="262" t="s">
        <v>128</v>
      </c>
      <c r="Y17" s="262" t="s">
        <v>128</v>
      </c>
      <c r="Z17" s="262" t="s">
        <v>128</v>
      </c>
      <c r="AA17" s="244" t="s">
        <v>128</v>
      </c>
      <c r="AB17" s="244" t="s">
        <v>128</v>
      </c>
      <c r="AC17" s="262" t="s">
        <v>128</v>
      </c>
      <c r="AD17" s="244" t="s">
        <v>128</v>
      </c>
      <c r="AE17" s="262" t="s">
        <v>128</v>
      </c>
      <c r="AF17" s="244" t="s">
        <v>128</v>
      </c>
      <c r="AG17" s="244" t="s">
        <v>128</v>
      </c>
      <c r="AH17" s="244" t="s">
        <v>128</v>
      </c>
      <c r="AI17" s="228"/>
      <c r="AJ17" s="140"/>
      <c r="AK17" s="228"/>
      <c r="AL17" s="228"/>
      <c r="AM17" s="228"/>
      <c r="AN17" s="228"/>
      <c r="AO17" s="228"/>
      <c r="AP17" s="228"/>
      <c r="AQ17" s="228"/>
      <c r="AR17" s="228"/>
      <c r="AS17" s="228"/>
      <c r="AT17" s="228"/>
      <c r="AU17" s="228"/>
      <c r="AV17" s="228"/>
      <c r="AW17" s="228"/>
      <c r="AX17" s="228"/>
      <c r="AY17" s="228"/>
      <c r="AZ17" s="228"/>
      <c r="BA17" s="228"/>
      <c r="BB17" s="228"/>
      <c r="BC17" s="228"/>
      <c r="BD17" s="228"/>
      <c r="BE17" s="228"/>
      <c r="BF17" s="228"/>
      <c r="BG17" s="140"/>
      <c r="BH17" s="228"/>
      <c r="BI17" s="140"/>
    </row>
    <row r="18" spans="1:61" s="48" customFormat="1" hidden="1" x14ac:dyDescent="0.2">
      <c r="A18" s="207"/>
      <c r="B18" s="207"/>
      <c r="C18" s="207"/>
      <c r="D18" s="207"/>
      <c r="E18" s="207"/>
      <c r="F18" s="207"/>
      <c r="G18" s="207"/>
      <c r="H18" s="207"/>
      <c r="I18" s="207"/>
      <c r="J18" s="36"/>
      <c r="K18" s="19"/>
      <c r="L18" s="33" t="s">
        <v>128</v>
      </c>
      <c r="M18" s="19" t="s">
        <v>128</v>
      </c>
      <c r="N18" s="29" t="s">
        <v>128</v>
      </c>
      <c r="O18" s="46"/>
      <c r="P18" s="261" t="s">
        <v>128</v>
      </c>
      <c r="Q18" s="243" t="s">
        <v>128</v>
      </c>
      <c r="R18" s="262" t="s">
        <v>128</v>
      </c>
      <c r="S18" s="262" t="s">
        <v>128</v>
      </c>
      <c r="T18" s="262" t="s">
        <v>128</v>
      </c>
      <c r="U18" s="262" t="s">
        <v>128</v>
      </c>
      <c r="V18" s="262" t="s">
        <v>128</v>
      </c>
      <c r="W18" s="262" t="s">
        <v>128</v>
      </c>
      <c r="X18" s="262" t="s">
        <v>128</v>
      </c>
      <c r="Y18" s="262" t="s">
        <v>128</v>
      </c>
      <c r="Z18" s="262" t="s">
        <v>128</v>
      </c>
      <c r="AA18" s="244" t="s">
        <v>128</v>
      </c>
      <c r="AB18" s="244" t="s">
        <v>128</v>
      </c>
      <c r="AC18" s="262" t="s">
        <v>128</v>
      </c>
      <c r="AD18" s="244" t="s">
        <v>128</v>
      </c>
      <c r="AE18" s="262" t="s">
        <v>128</v>
      </c>
      <c r="AF18" s="244" t="s">
        <v>128</v>
      </c>
      <c r="AG18" s="244" t="s">
        <v>128</v>
      </c>
      <c r="AH18" s="244" t="s">
        <v>128</v>
      </c>
      <c r="AI18" s="228"/>
      <c r="AJ18" s="140"/>
      <c r="AK18" s="228"/>
      <c r="AL18" s="228"/>
      <c r="AM18" s="228"/>
      <c r="AN18" s="228"/>
      <c r="AO18" s="228"/>
      <c r="AP18" s="228"/>
      <c r="AQ18" s="228"/>
      <c r="AR18" s="228"/>
      <c r="AS18" s="228"/>
      <c r="AT18" s="228"/>
      <c r="AU18" s="228"/>
      <c r="AV18" s="228"/>
      <c r="AW18" s="228"/>
      <c r="AX18" s="228"/>
      <c r="AY18" s="228"/>
      <c r="AZ18" s="228"/>
      <c r="BA18" s="228"/>
      <c r="BB18" s="228"/>
      <c r="BC18" s="228"/>
      <c r="BD18" s="228"/>
      <c r="BE18" s="228"/>
      <c r="BF18" s="228"/>
      <c r="BG18" s="140"/>
      <c r="BH18" s="228"/>
      <c r="BI18" s="140"/>
    </row>
    <row r="19" spans="1:61" s="48" customFormat="1" hidden="1" x14ac:dyDescent="0.2">
      <c r="A19" s="209"/>
      <c r="B19" s="209"/>
      <c r="C19" s="209"/>
      <c r="D19" s="209"/>
      <c r="E19" s="209"/>
      <c r="F19" s="209"/>
      <c r="G19" s="209"/>
      <c r="H19" s="209"/>
      <c r="I19" s="209"/>
      <c r="J19" s="35"/>
      <c r="K19" s="19"/>
      <c r="L19" s="33" t="s">
        <v>128</v>
      </c>
      <c r="M19" s="19" t="s">
        <v>128</v>
      </c>
      <c r="N19" s="29" t="s">
        <v>128</v>
      </c>
      <c r="O19" s="46"/>
      <c r="P19" s="261" t="s">
        <v>128</v>
      </c>
      <c r="Q19" s="243" t="s">
        <v>128</v>
      </c>
      <c r="R19" s="262" t="s">
        <v>128</v>
      </c>
      <c r="S19" s="262" t="s">
        <v>128</v>
      </c>
      <c r="T19" s="262" t="s">
        <v>128</v>
      </c>
      <c r="U19" s="262" t="s">
        <v>128</v>
      </c>
      <c r="V19" s="262" t="s">
        <v>128</v>
      </c>
      <c r="W19" s="262" t="s">
        <v>128</v>
      </c>
      <c r="X19" s="262" t="s">
        <v>128</v>
      </c>
      <c r="Y19" s="262" t="s">
        <v>128</v>
      </c>
      <c r="Z19" s="262" t="s">
        <v>128</v>
      </c>
      <c r="AA19" s="244" t="s">
        <v>128</v>
      </c>
      <c r="AB19" s="244" t="s">
        <v>128</v>
      </c>
      <c r="AC19" s="262" t="s">
        <v>128</v>
      </c>
      <c r="AD19" s="244" t="s">
        <v>128</v>
      </c>
      <c r="AE19" s="262" t="s">
        <v>128</v>
      </c>
      <c r="AF19" s="244" t="s">
        <v>128</v>
      </c>
      <c r="AG19" s="244" t="s">
        <v>128</v>
      </c>
      <c r="AH19" s="244" t="s">
        <v>128</v>
      </c>
      <c r="AI19" s="228"/>
      <c r="AJ19" s="140"/>
      <c r="AK19" s="228"/>
      <c r="AL19" s="228"/>
      <c r="AM19" s="228"/>
      <c r="AN19" s="228"/>
      <c r="AO19" s="228"/>
      <c r="AP19" s="228"/>
      <c r="AQ19" s="228"/>
      <c r="AR19" s="228"/>
      <c r="AS19" s="228"/>
      <c r="AT19" s="228"/>
      <c r="AU19" s="228"/>
      <c r="AV19" s="228"/>
      <c r="AW19" s="228"/>
      <c r="AX19" s="228"/>
      <c r="AY19" s="228"/>
      <c r="AZ19" s="228"/>
      <c r="BA19" s="228"/>
      <c r="BB19" s="228"/>
      <c r="BC19" s="228"/>
      <c r="BD19" s="228"/>
      <c r="BE19" s="228"/>
      <c r="BF19" s="228"/>
      <c r="BG19" s="140"/>
      <c r="BH19" s="228"/>
      <c r="BI19" s="140"/>
    </row>
    <row r="20" spans="1:61" s="48" customFormat="1" hidden="1" x14ac:dyDescent="0.2">
      <c r="A20" s="207"/>
      <c r="B20" s="207"/>
      <c r="C20" s="207"/>
      <c r="D20" s="207"/>
      <c r="E20" s="207"/>
      <c r="F20" s="207"/>
      <c r="G20" s="207"/>
      <c r="H20" s="207"/>
      <c r="I20" s="207"/>
      <c r="J20" s="36"/>
      <c r="K20" s="19"/>
      <c r="L20" s="33" t="s">
        <v>128</v>
      </c>
      <c r="M20" s="19" t="s">
        <v>128</v>
      </c>
      <c r="N20" s="29" t="s">
        <v>128</v>
      </c>
      <c r="O20" s="46"/>
      <c r="P20" s="261" t="s">
        <v>128</v>
      </c>
      <c r="Q20" s="243" t="s">
        <v>128</v>
      </c>
      <c r="R20" s="262" t="s">
        <v>128</v>
      </c>
      <c r="S20" s="262" t="s">
        <v>128</v>
      </c>
      <c r="T20" s="262" t="s">
        <v>128</v>
      </c>
      <c r="U20" s="262" t="s">
        <v>128</v>
      </c>
      <c r="V20" s="262" t="s">
        <v>128</v>
      </c>
      <c r="W20" s="262" t="s">
        <v>128</v>
      </c>
      <c r="X20" s="262" t="s">
        <v>128</v>
      </c>
      <c r="Y20" s="262" t="s">
        <v>128</v>
      </c>
      <c r="Z20" s="262" t="s">
        <v>128</v>
      </c>
      <c r="AA20" s="244" t="s">
        <v>128</v>
      </c>
      <c r="AB20" s="244" t="s">
        <v>128</v>
      </c>
      <c r="AC20" s="262" t="s">
        <v>128</v>
      </c>
      <c r="AD20" s="244" t="s">
        <v>128</v>
      </c>
      <c r="AE20" s="262" t="s">
        <v>128</v>
      </c>
      <c r="AF20" s="244" t="s">
        <v>128</v>
      </c>
      <c r="AG20" s="244" t="s">
        <v>128</v>
      </c>
      <c r="AH20" s="244" t="s">
        <v>128</v>
      </c>
      <c r="AI20" s="228"/>
      <c r="AJ20" s="140"/>
      <c r="AK20" s="228"/>
      <c r="AL20" s="228"/>
      <c r="AM20" s="228"/>
      <c r="AN20" s="228"/>
      <c r="AO20" s="228"/>
      <c r="AP20" s="228"/>
      <c r="AQ20" s="228"/>
      <c r="AR20" s="228"/>
      <c r="AS20" s="228"/>
      <c r="AT20" s="228"/>
      <c r="AU20" s="228"/>
      <c r="AV20" s="228"/>
      <c r="AW20" s="228"/>
      <c r="AX20" s="228"/>
      <c r="AY20" s="228"/>
      <c r="AZ20" s="228"/>
      <c r="BA20" s="228"/>
      <c r="BB20" s="228"/>
      <c r="BC20" s="228"/>
      <c r="BD20" s="228"/>
      <c r="BE20" s="228"/>
      <c r="BF20" s="228"/>
      <c r="BG20" s="140"/>
      <c r="BH20" s="228"/>
      <c r="BI20" s="140"/>
    </row>
    <row r="21" spans="1:61" s="48" customFormat="1" hidden="1" x14ac:dyDescent="0.2">
      <c r="A21" s="209"/>
      <c r="B21" s="209"/>
      <c r="C21" s="209"/>
      <c r="D21" s="209"/>
      <c r="E21" s="209"/>
      <c r="F21" s="209"/>
      <c r="G21" s="209"/>
      <c r="H21" s="209"/>
      <c r="I21" s="209"/>
      <c r="J21" s="35"/>
      <c r="K21" s="19"/>
      <c r="L21" s="33" t="s">
        <v>128</v>
      </c>
      <c r="M21" s="19" t="s">
        <v>128</v>
      </c>
      <c r="N21" s="29" t="s">
        <v>128</v>
      </c>
      <c r="O21" s="46"/>
      <c r="P21" s="261" t="s">
        <v>128</v>
      </c>
      <c r="Q21" s="243" t="s">
        <v>128</v>
      </c>
      <c r="R21" s="262" t="s">
        <v>128</v>
      </c>
      <c r="S21" s="262" t="s">
        <v>128</v>
      </c>
      <c r="T21" s="262" t="s">
        <v>128</v>
      </c>
      <c r="U21" s="262" t="s">
        <v>128</v>
      </c>
      <c r="V21" s="262" t="s">
        <v>128</v>
      </c>
      <c r="W21" s="262" t="s">
        <v>128</v>
      </c>
      <c r="X21" s="262" t="s">
        <v>128</v>
      </c>
      <c r="Y21" s="262" t="s">
        <v>128</v>
      </c>
      <c r="Z21" s="262" t="s">
        <v>128</v>
      </c>
      <c r="AA21" s="244" t="s">
        <v>128</v>
      </c>
      <c r="AB21" s="244" t="s">
        <v>128</v>
      </c>
      <c r="AC21" s="262" t="s">
        <v>128</v>
      </c>
      <c r="AD21" s="244" t="s">
        <v>128</v>
      </c>
      <c r="AE21" s="262" t="s">
        <v>128</v>
      </c>
      <c r="AF21" s="244" t="s">
        <v>128</v>
      </c>
      <c r="AG21" s="244" t="s">
        <v>128</v>
      </c>
      <c r="AH21" s="244" t="s">
        <v>128</v>
      </c>
      <c r="AI21" s="228"/>
      <c r="AJ21" s="140"/>
      <c r="AK21" s="228"/>
      <c r="AL21" s="228"/>
      <c r="AM21" s="228"/>
      <c r="AN21" s="228"/>
      <c r="AO21" s="228"/>
      <c r="AP21" s="228"/>
      <c r="AQ21" s="228"/>
      <c r="AR21" s="228"/>
      <c r="AS21" s="228"/>
      <c r="AT21" s="228"/>
      <c r="AU21" s="228"/>
      <c r="AV21" s="228"/>
      <c r="AW21" s="228"/>
      <c r="AX21" s="228"/>
      <c r="AY21" s="228"/>
      <c r="AZ21" s="228"/>
      <c r="BA21" s="228"/>
      <c r="BB21" s="228"/>
      <c r="BC21" s="228"/>
      <c r="BD21" s="228"/>
      <c r="BE21" s="228"/>
      <c r="BF21" s="228"/>
      <c r="BG21" s="140"/>
      <c r="BH21" s="228"/>
      <c r="BI21" s="140"/>
    </row>
    <row r="22" spans="1:61" s="48" customFormat="1" hidden="1" x14ac:dyDescent="0.2">
      <c r="A22" s="207"/>
      <c r="B22" s="207"/>
      <c r="C22" s="207"/>
      <c r="D22" s="207"/>
      <c r="E22" s="207"/>
      <c r="F22" s="207"/>
      <c r="G22" s="207"/>
      <c r="H22" s="207"/>
      <c r="I22" s="207"/>
      <c r="J22" s="36"/>
      <c r="K22" s="19"/>
      <c r="L22" s="33" t="s">
        <v>128</v>
      </c>
      <c r="M22" s="19" t="s">
        <v>128</v>
      </c>
      <c r="N22" s="29" t="s">
        <v>128</v>
      </c>
      <c r="O22" s="46"/>
      <c r="P22" s="261" t="s">
        <v>128</v>
      </c>
      <c r="Q22" s="243" t="s">
        <v>128</v>
      </c>
      <c r="R22" s="262" t="s">
        <v>128</v>
      </c>
      <c r="S22" s="262" t="s">
        <v>128</v>
      </c>
      <c r="T22" s="262" t="s">
        <v>128</v>
      </c>
      <c r="U22" s="262" t="s">
        <v>128</v>
      </c>
      <c r="V22" s="262" t="s">
        <v>128</v>
      </c>
      <c r="W22" s="262" t="s">
        <v>128</v>
      </c>
      <c r="X22" s="262" t="s">
        <v>128</v>
      </c>
      <c r="Y22" s="262" t="s">
        <v>128</v>
      </c>
      <c r="Z22" s="262" t="s">
        <v>128</v>
      </c>
      <c r="AA22" s="244" t="s">
        <v>128</v>
      </c>
      <c r="AB22" s="244" t="s">
        <v>128</v>
      </c>
      <c r="AC22" s="262" t="s">
        <v>128</v>
      </c>
      <c r="AD22" s="244" t="s">
        <v>128</v>
      </c>
      <c r="AE22" s="262" t="s">
        <v>128</v>
      </c>
      <c r="AF22" s="244" t="s">
        <v>128</v>
      </c>
      <c r="AG22" s="244" t="s">
        <v>128</v>
      </c>
      <c r="AH22" s="244" t="s">
        <v>128</v>
      </c>
      <c r="AI22" s="228"/>
      <c r="AJ22" s="140"/>
      <c r="AK22" s="228"/>
      <c r="AL22" s="228"/>
      <c r="AM22" s="228"/>
      <c r="AN22" s="228"/>
      <c r="AO22" s="228"/>
      <c r="AP22" s="228"/>
      <c r="AQ22" s="228"/>
      <c r="AR22" s="228"/>
      <c r="AS22" s="228"/>
      <c r="AT22" s="228"/>
      <c r="AU22" s="228"/>
      <c r="AV22" s="228"/>
      <c r="AW22" s="228"/>
      <c r="AX22" s="228"/>
      <c r="AY22" s="228"/>
      <c r="AZ22" s="228"/>
      <c r="BA22" s="228"/>
      <c r="BB22" s="228"/>
      <c r="BC22" s="228"/>
      <c r="BD22" s="228"/>
      <c r="BE22" s="228"/>
      <c r="BF22" s="228"/>
      <c r="BG22" s="140"/>
      <c r="BH22" s="228"/>
      <c r="BI22" s="140"/>
    </row>
    <row r="23" spans="1:61" s="48" customFormat="1" hidden="1" x14ac:dyDescent="0.2">
      <c r="A23" s="209"/>
      <c r="B23" s="209"/>
      <c r="C23" s="209"/>
      <c r="D23" s="209"/>
      <c r="E23" s="209"/>
      <c r="F23" s="209"/>
      <c r="G23" s="209"/>
      <c r="H23" s="209"/>
      <c r="I23" s="209"/>
      <c r="J23" s="35"/>
      <c r="K23" s="19"/>
      <c r="L23" s="33" t="s">
        <v>128</v>
      </c>
      <c r="M23" s="19" t="s">
        <v>128</v>
      </c>
      <c r="N23" s="29" t="s">
        <v>128</v>
      </c>
      <c r="O23" s="46"/>
      <c r="P23" s="261" t="s">
        <v>128</v>
      </c>
      <c r="Q23" s="243" t="s">
        <v>128</v>
      </c>
      <c r="R23" s="262" t="s">
        <v>128</v>
      </c>
      <c r="S23" s="262" t="s">
        <v>128</v>
      </c>
      <c r="T23" s="262" t="s">
        <v>128</v>
      </c>
      <c r="U23" s="262" t="s">
        <v>128</v>
      </c>
      <c r="V23" s="262" t="s">
        <v>128</v>
      </c>
      <c r="W23" s="262" t="s">
        <v>128</v>
      </c>
      <c r="X23" s="262" t="s">
        <v>128</v>
      </c>
      <c r="Y23" s="262" t="s">
        <v>128</v>
      </c>
      <c r="Z23" s="262" t="s">
        <v>128</v>
      </c>
      <c r="AA23" s="244" t="s">
        <v>128</v>
      </c>
      <c r="AB23" s="244" t="s">
        <v>128</v>
      </c>
      <c r="AC23" s="262" t="s">
        <v>128</v>
      </c>
      <c r="AD23" s="244" t="s">
        <v>128</v>
      </c>
      <c r="AE23" s="262" t="s">
        <v>128</v>
      </c>
      <c r="AF23" s="244" t="s">
        <v>128</v>
      </c>
      <c r="AG23" s="244" t="s">
        <v>128</v>
      </c>
      <c r="AH23" s="244" t="s">
        <v>128</v>
      </c>
      <c r="AI23" s="228"/>
      <c r="AJ23" s="140"/>
      <c r="AK23" s="228"/>
      <c r="AL23" s="228"/>
      <c r="AM23" s="228"/>
      <c r="AN23" s="228"/>
      <c r="AO23" s="228"/>
      <c r="AP23" s="228"/>
      <c r="AQ23" s="228"/>
      <c r="AR23" s="228"/>
      <c r="AS23" s="228"/>
      <c r="AT23" s="228"/>
      <c r="AU23" s="228"/>
      <c r="AV23" s="228"/>
      <c r="AW23" s="228"/>
      <c r="AX23" s="228"/>
      <c r="AY23" s="228"/>
      <c r="AZ23" s="228"/>
      <c r="BA23" s="228"/>
      <c r="BB23" s="228"/>
      <c r="BC23" s="228"/>
      <c r="BD23" s="228"/>
      <c r="BE23" s="228"/>
      <c r="BF23" s="228"/>
      <c r="BG23" s="140"/>
      <c r="BH23" s="228"/>
      <c r="BI23" s="140"/>
    </row>
    <row r="24" spans="1:61" s="48" customFormat="1" hidden="1" x14ac:dyDescent="0.2">
      <c r="A24" s="207"/>
      <c r="B24" s="207"/>
      <c r="C24" s="207"/>
      <c r="D24" s="207"/>
      <c r="E24" s="207"/>
      <c r="F24" s="207"/>
      <c r="G24" s="207"/>
      <c r="H24" s="207"/>
      <c r="I24" s="207"/>
      <c r="J24" s="36"/>
      <c r="K24" s="19"/>
      <c r="L24" s="33" t="s">
        <v>128</v>
      </c>
      <c r="M24" s="19" t="s">
        <v>128</v>
      </c>
      <c r="N24" s="29" t="s">
        <v>128</v>
      </c>
      <c r="O24" s="46"/>
      <c r="P24" s="261" t="s">
        <v>128</v>
      </c>
      <c r="Q24" s="243" t="s">
        <v>128</v>
      </c>
      <c r="R24" s="262" t="s">
        <v>128</v>
      </c>
      <c r="S24" s="262" t="s">
        <v>128</v>
      </c>
      <c r="T24" s="262" t="s">
        <v>128</v>
      </c>
      <c r="U24" s="262" t="s">
        <v>128</v>
      </c>
      <c r="V24" s="262" t="s">
        <v>128</v>
      </c>
      <c r="W24" s="262" t="s">
        <v>128</v>
      </c>
      <c r="X24" s="262" t="s">
        <v>128</v>
      </c>
      <c r="Y24" s="262" t="s">
        <v>128</v>
      </c>
      <c r="Z24" s="262" t="s">
        <v>128</v>
      </c>
      <c r="AA24" s="244" t="s">
        <v>128</v>
      </c>
      <c r="AB24" s="244" t="s">
        <v>128</v>
      </c>
      <c r="AC24" s="262" t="s">
        <v>128</v>
      </c>
      <c r="AD24" s="244" t="s">
        <v>128</v>
      </c>
      <c r="AE24" s="262" t="s">
        <v>128</v>
      </c>
      <c r="AF24" s="244" t="s">
        <v>128</v>
      </c>
      <c r="AG24" s="244" t="s">
        <v>128</v>
      </c>
      <c r="AH24" s="244" t="s">
        <v>128</v>
      </c>
      <c r="AI24" s="228"/>
      <c r="AJ24" s="140"/>
      <c r="AK24" s="228"/>
      <c r="AL24" s="228"/>
      <c r="AM24" s="228"/>
      <c r="AN24" s="228"/>
      <c r="AO24" s="228"/>
      <c r="AP24" s="228"/>
      <c r="AQ24" s="228"/>
      <c r="AR24" s="228"/>
      <c r="AS24" s="228"/>
      <c r="AT24" s="228"/>
      <c r="AU24" s="228"/>
      <c r="AV24" s="228"/>
      <c r="AW24" s="228"/>
      <c r="AX24" s="228"/>
      <c r="AY24" s="228"/>
      <c r="AZ24" s="228"/>
      <c r="BA24" s="228"/>
      <c r="BB24" s="228"/>
      <c r="BC24" s="228"/>
      <c r="BD24" s="228"/>
      <c r="BE24" s="228"/>
      <c r="BF24" s="228"/>
      <c r="BG24" s="140"/>
      <c r="BH24" s="228"/>
      <c r="BI24" s="140"/>
    </row>
    <row r="25" spans="1:61" s="48" customFormat="1" hidden="1" x14ac:dyDescent="0.2">
      <c r="A25" s="209"/>
      <c r="B25" s="209"/>
      <c r="C25" s="209"/>
      <c r="D25" s="209"/>
      <c r="E25" s="209"/>
      <c r="F25" s="209"/>
      <c r="G25" s="209"/>
      <c r="H25" s="209"/>
      <c r="I25" s="209"/>
      <c r="J25" s="35"/>
      <c r="K25" s="19"/>
      <c r="L25" s="33" t="s">
        <v>128</v>
      </c>
      <c r="M25" s="19" t="s">
        <v>128</v>
      </c>
      <c r="N25" s="29" t="s">
        <v>128</v>
      </c>
      <c r="O25" s="46"/>
      <c r="P25" s="261" t="s">
        <v>128</v>
      </c>
      <c r="Q25" s="243" t="s">
        <v>128</v>
      </c>
      <c r="R25" s="262" t="s">
        <v>128</v>
      </c>
      <c r="S25" s="262" t="s">
        <v>128</v>
      </c>
      <c r="T25" s="262" t="s">
        <v>128</v>
      </c>
      <c r="U25" s="262" t="s">
        <v>128</v>
      </c>
      <c r="V25" s="262" t="s">
        <v>128</v>
      </c>
      <c r="W25" s="262" t="s">
        <v>128</v>
      </c>
      <c r="X25" s="262" t="s">
        <v>128</v>
      </c>
      <c r="Y25" s="262" t="s">
        <v>128</v>
      </c>
      <c r="Z25" s="262" t="s">
        <v>128</v>
      </c>
      <c r="AA25" s="244" t="s">
        <v>128</v>
      </c>
      <c r="AB25" s="244" t="s">
        <v>128</v>
      </c>
      <c r="AC25" s="262" t="s">
        <v>128</v>
      </c>
      <c r="AD25" s="244" t="s">
        <v>128</v>
      </c>
      <c r="AE25" s="262" t="s">
        <v>128</v>
      </c>
      <c r="AF25" s="244" t="s">
        <v>128</v>
      </c>
      <c r="AG25" s="244" t="s">
        <v>128</v>
      </c>
      <c r="AH25" s="244" t="s">
        <v>128</v>
      </c>
      <c r="AI25" s="228"/>
      <c r="AJ25" s="140"/>
      <c r="AK25" s="228"/>
      <c r="AL25" s="228"/>
      <c r="AM25" s="228"/>
      <c r="AN25" s="228"/>
      <c r="AO25" s="228"/>
      <c r="AP25" s="228"/>
      <c r="AQ25" s="228"/>
      <c r="AR25" s="228"/>
      <c r="AS25" s="228"/>
      <c r="AT25" s="228"/>
      <c r="AU25" s="228"/>
      <c r="AV25" s="228"/>
      <c r="AW25" s="228"/>
      <c r="AX25" s="228"/>
      <c r="AY25" s="228"/>
      <c r="AZ25" s="228"/>
      <c r="BA25" s="228"/>
      <c r="BB25" s="228"/>
      <c r="BC25" s="228"/>
      <c r="BD25" s="228"/>
      <c r="BE25" s="228"/>
      <c r="BF25" s="228"/>
      <c r="BG25" s="140"/>
      <c r="BH25" s="228"/>
      <c r="BI25" s="140"/>
    </row>
    <row r="26" spans="1:61" s="48" customFormat="1" hidden="1" x14ac:dyDescent="0.2">
      <c r="A26" s="207"/>
      <c r="B26" s="207"/>
      <c r="C26" s="207"/>
      <c r="D26" s="207"/>
      <c r="E26" s="207"/>
      <c r="F26" s="207"/>
      <c r="G26" s="207"/>
      <c r="H26" s="207"/>
      <c r="I26" s="207"/>
      <c r="J26" s="36"/>
      <c r="K26" s="19"/>
      <c r="L26" s="33" t="s">
        <v>128</v>
      </c>
      <c r="M26" s="19" t="s">
        <v>128</v>
      </c>
      <c r="N26" s="29" t="s">
        <v>128</v>
      </c>
      <c r="O26" s="46"/>
      <c r="P26" s="261" t="s">
        <v>128</v>
      </c>
      <c r="Q26" s="243" t="s">
        <v>128</v>
      </c>
      <c r="R26" s="262" t="s">
        <v>128</v>
      </c>
      <c r="S26" s="262" t="s">
        <v>128</v>
      </c>
      <c r="T26" s="262" t="s">
        <v>128</v>
      </c>
      <c r="U26" s="262" t="s">
        <v>128</v>
      </c>
      <c r="V26" s="262" t="s">
        <v>128</v>
      </c>
      <c r="W26" s="262" t="s">
        <v>128</v>
      </c>
      <c r="X26" s="262" t="s">
        <v>128</v>
      </c>
      <c r="Y26" s="262" t="s">
        <v>128</v>
      </c>
      <c r="Z26" s="262" t="s">
        <v>128</v>
      </c>
      <c r="AA26" s="244" t="s">
        <v>128</v>
      </c>
      <c r="AB26" s="244" t="s">
        <v>128</v>
      </c>
      <c r="AC26" s="262" t="s">
        <v>128</v>
      </c>
      <c r="AD26" s="244" t="s">
        <v>128</v>
      </c>
      <c r="AE26" s="262" t="s">
        <v>128</v>
      </c>
      <c r="AF26" s="244" t="s">
        <v>128</v>
      </c>
      <c r="AG26" s="244" t="s">
        <v>128</v>
      </c>
      <c r="AH26" s="244" t="s">
        <v>128</v>
      </c>
      <c r="AI26" s="228"/>
      <c r="AJ26" s="140"/>
      <c r="AK26" s="228"/>
      <c r="AL26" s="228"/>
      <c r="AM26" s="228"/>
      <c r="AN26" s="228"/>
      <c r="AO26" s="228"/>
      <c r="AP26" s="228"/>
      <c r="AQ26" s="228"/>
      <c r="AR26" s="228"/>
      <c r="AS26" s="228"/>
      <c r="AT26" s="228"/>
      <c r="AU26" s="228"/>
      <c r="AV26" s="228"/>
      <c r="AW26" s="228"/>
      <c r="AX26" s="228"/>
      <c r="AY26" s="228"/>
      <c r="AZ26" s="228"/>
      <c r="BA26" s="228"/>
      <c r="BB26" s="228"/>
      <c r="BC26" s="228"/>
      <c r="BD26" s="228"/>
      <c r="BE26" s="228"/>
      <c r="BF26" s="228"/>
      <c r="BG26" s="140"/>
      <c r="BH26" s="140"/>
      <c r="BI26" s="140"/>
    </row>
    <row r="27" spans="1:61" s="48" customFormat="1" hidden="1" x14ac:dyDescent="0.2">
      <c r="A27" s="209"/>
      <c r="B27" s="209"/>
      <c r="C27" s="209"/>
      <c r="D27" s="209"/>
      <c r="E27" s="209"/>
      <c r="F27" s="209"/>
      <c r="G27" s="209"/>
      <c r="H27" s="209"/>
      <c r="I27" s="209"/>
      <c r="J27" s="35"/>
      <c r="K27" s="19"/>
      <c r="L27" s="33" t="s">
        <v>128</v>
      </c>
      <c r="M27" s="19" t="s">
        <v>128</v>
      </c>
      <c r="N27" s="29" t="s">
        <v>128</v>
      </c>
      <c r="O27" s="46"/>
      <c r="P27" s="261" t="s">
        <v>128</v>
      </c>
      <c r="Q27" s="243" t="s">
        <v>128</v>
      </c>
      <c r="R27" s="262" t="s">
        <v>128</v>
      </c>
      <c r="S27" s="262" t="s">
        <v>128</v>
      </c>
      <c r="T27" s="262" t="s">
        <v>128</v>
      </c>
      <c r="U27" s="262" t="s">
        <v>128</v>
      </c>
      <c r="V27" s="262" t="s">
        <v>128</v>
      </c>
      <c r="W27" s="262" t="s">
        <v>128</v>
      </c>
      <c r="X27" s="262" t="s">
        <v>128</v>
      </c>
      <c r="Y27" s="262" t="s">
        <v>128</v>
      </c>
      <c r="Z27" s="262" t="s">
        <v>128</v>
      </c>
      <c r="AA27" s="244" t="s">
        <v>128</v>
      </c>
      <c r="AB27" s="244" t="s">
        <v>128</v>
      </c>
      <c r="AC27" s="262" t="s">
        <v>128</v>
      </c>
      <c r="AD27" s="244" t="s">
        <v>128</v>
      </c>
      <c r="AE27" s="262" t="s">
        <v>128</v>
      </c>
      <c r="AF27" s="244" t="s">
        <v>128</v>
      </c>
      <c r="AG27" s="244" t="s">
        <v>128</v>
      </c>
      <c r="AH27" s="244" t="s">
        <v>128</v>
      </c>
      <c r="AI27" s="228"/>
      <c r="AJ27" s="140"/>
      <c r="AK27" s="228"/>
      <c r="AL27" s="228"/>
      <c r="AM27" s="228"/>
      <c r="AN27" s="228"/>
      <c r="AO27" s="228"/>
      <c r="AP27" s="228"/>
      <c r="AQ27" s="228"/>
      <c r="AR27" s="228"/>
      <c r="AS27" s="228"/>
      <c r="AT27" s="228"/>
      <c r="AU27" s="228"/>
      <c r="AV27" s="228"/>
      <c r="AW27" s="228"/>
      <c r="AX27" s="228"/>
      <c r="AY27" s="228"/>
      <c r="AZ27" s="228"/>
      <c r="BA27" s="228"/>
      <c r="BB27" s="228"/>
      <c r="BC27" s="228"/>
      <c r="BD27" s="228"/>
      <c r="BE27" s="228"/>
      <c r="BF27" s="228"/>
      <c r="BG27" s="140"/>
      <c r="BH27" s="140"/>
      <c r="BI27" s="140"/>
    </row>
    <row r="28" spans="1:61" s="48" customFormat="1" hidden="1" x14ac:dyDescent="0.2">
      <c r="A28" s="207"/>
      <c r="B28" s="207"/>
      <c r="C28" s="207"/>
      <c r="D28" s="207"/>
      <c r="E28" s="207"/>
      <c r="F28" s="207"/>
      <c r="G28" s="207"/>
      <c r="H28" s="207"/>
      <c r="I28" s="207"/>
      <c r="J28" s="36"/>
      <c r="K28" s="19"/>
      <c r="L28" s="33" t="s">
        <v>128</v>
      </c>
      <c r="M28" s="19" t="s">
        <v>128</v>
      </c>
      <c r="N28" s="29" t="s">
        <v>128</v>
      </c>
      <c r="O28" s="46"/>
      <c r="P28" s="261" t="s">
        <v>128</v>
      </c>
      <c r="Q28" s="243" t="s">
        <v>128</v>
      </c>
      <c r="R28" s="262" t="s">
        <v>128</v>
      </c>
      <c r="S28" s="262" t="s">
        <v>128</v>
      </c>
      <c r="T28" s="262" t="s">
        <v>128</v>
      </c>
      <c r="U28" s="262" t="s">
        <v>128</v>
      </c>
      <c r="V28" s="262" t="s">
        <v>128</v>
      </c>
      <c r="W28" s="262" t="s">
        <v>128</v>
      </c>
      <c r="X28" s="262" t="s">
        <v>128</v>
      </c>
      <c r="Y28" s="262" t="s">
        <v>128</v>
      </c>
      <c r="Z28" s="262" t="s">
        <v>128</v>
      </c>
      <c r="AA28" s="244" t="s">
        <v>128</v>
      </c>
      <c r="AB28" s="244" t="s">
        <v>128</v>
      </c>
      <c r="AC28" s="262" t="s">
        <v>128</v>
      </c>
      <c r="AD28" s="244" t="s">
        <v>128</v>
      </c>
      <c r="AE28" s="262" t="s">
        <v>128</v>
      </c>
      <c r="AF28" s="244" t="s">
        <v>128</v>
      </c>
      <c r="AG28" s="244" t="s">
        <v>128</v>
      </c>
      <c r="AH28" s="244" t="s">
        <v>128</v>
      </c>
      <c r="AI28" s="228"/>
      <c r="AJ28" s="140"/>
      <c r="AK28" s="228"/>
      <c r="AL28" s="228"/>
      <c r="AM28" s="228"/>
      <c r="AN28" s="228"/>
      <c r="AO28" s="228"/>
      <c r="AP28" s="228"/>
      <c r="AQ28" s="228"/>
      <c r="AR28" s="228"/>
      <c r="AS28" s="228"/>
      <c r="AT28" s="228"/>
      <c r="AU28" s="228"/>
      <c r="AV28" s="228"/>
      <c r="AW28" s="228"/>
      <c r="AX28" s="228"/>
      <c r="AY28" s="228"/>
      <c r="AZ28" s="228"/>
      <c r="BA28" s="228"/>
      <c r="BB28" s="228"/>
      <c r="BC28" s="228"/>
      <c r="BD28" s="228"/>
      <c r="BE28" s="228"/>
      <c r="BF28" s="228"/>
      <c r="BG28" s="140"/>
      <c r="BH28" s="140"/>
      <c r="BI28" s="140"/>
    </row>
    <row r="29" spans="1:61" s="48" customFormat="1" hidden="1" x14ac:dyDescent="0.2">
      <c r="A29" s="209"/>
      <c r="B29" s="209"/>
      <c r="C29" s="209"/>
      <c r="D29" s="209"/>
      <c r="E29" s="209"/>
      <c r="F29" s="209"/>
      <c r="G29" s="209"/>
      <c r="H29" s="209"/>
      <c r="I29" s="209"/>
      <c r="J29" s="35"/>
      <c r="K29" s="19"/>
      <c r="L29" s="33" t="s">
        <v>128</v>
      </c>
      <c r="M29" s="19" t="s">
        <v>128</v>
      </c>
      <c r="N29" s="29" t="s">
        <v>128</v>
      </c>
      <c r="O29" s="46"/>
      <c r="P29" s="261" t="s">
        <v>128</v>
      </c>
      <c r="Q29" s="243" t="s">
        <v>128</v>
      </c>
      <c r="R29" s="262" t="s">
        <v>128</v>
      </c>
      <c r="S29" s="262" t="s">
        <v>128</v>
      </c>
      <c r="T29" s="262" t="s">
        <v>128</v>
      </c>
      <c r="U29" s="262" t="s">
        <v>128</v>
      </c>
      <c r="V29" s="262" t="s">
        <v>128</v>
      </c>
      <c r="W29" s="262" t="s">
        <v>128</v>
      </c>
      <c r="X29" s="262" t="s">
        <v>128</v>
      </c>
      <c r="Y29" s="262" t="s">
        <v>128</v>
      </c>
      <c r="Z29" s="262" t="s">
        <v>128</v>
      </c>
      <c r="AA29" s="244" t="s">
        <v>128</v>
      </c>
      <c r="AB29" s="244" t="s">
        <v>128</v>
      </c>
      <c r="AC29" s="262" t="s">
        <v>128</v>
      </c>
      <c r="AD29" s="244" t="s">
        <v>128</v>
      </c>
      <c r="AE29" s="262" t="s">
        <v>128</v>
      </c>
      <c r="AF29" s="244" t="s">
        <v>128</v>
      </c>
      <c r="AG29" s="244" t="s">
        <v>128</v>
      </c>
      <c r="AH29" s="244" t="s">
        <v>128</v>
      </c>
      <c r="AI29" s="228"/>
      <c r="AJ29" s="140"/>
      <c r="AK29" s="228"/>
      <c r="AL29" s="228"/>
      <c r="AM29" s="228"/>
      <c r="AN29" s="228"/>
      <c r="AO29" s="228"/>
      <c r="AP29" s="228"/>
      <c r="AQ29" s="228"/>
      <c r="AR29" s="228"/>
      <c r="AS29" s="228"/>
      <c r="AT29" s="228"/>
      <c r="AU29" s="228"/>
      <c r="AV29" s="228"/>
      <c r="AW29" s="228"/>
      <c r="AX29" s="228"/>
      <c r="AY29" s="228"/>
      <c r="AZ29" s="228"/>
      <c r="BA29" s="228"/>
      <c r="BB29" s="228"/>
      <c r="BC29" s="228"/>
      <c r="BD29" s="228"/>
      <c r="BE29" s="228"/>
      <c r="BF29" s="228"/>
      <c r="BG29" s="140"/>
      <c r="BH29" s="140"/>
      <c r="BI29" s="140"/>
    </row>
    <row r="30" spans="1:61" x14ac:dyDescent="0.2">
      <c r="C30" s="8"/>
      <c r="D30" s="23"/>
      <c r="E30" s="8"/>
      <c r="F30" s="8"/>
      <c r="G30" s="8"/>
      <c r="H30" s="8"/>
      <c r="I30" s="8"/>
      <c r="J30" s="35"/>
      <c r="K30" s="19"/>
      <c r="L30" s="33"/>
      <c r="M30" s="19"/>
      <c r="N30"/>
      <c r="O30"/>
      <c r="P30"/>
      <c r="Q30"/>
      <c r="R30"/>
      <c r="S30"/>
      <c r="T30"/>
      <c r="U30"/>
      <c r="V30"/>
      <c r="W30"/>
      <c r="X30"/>
      <c r="Y30"/>
      <c r="Z30"/>
      <c r="AA30"/>
      <c r="AB30"/>
      <c r="AC30"/>
      <c r="BH30" s="8"/>
    </row>
    <row r="31" spans="1:61" s="8" customFormat="1" x14ac:dyDescent="0.2">
      <c r="C31" s="366" t="s">
        <v>83</v>
      </c>
      <c r="D31" s="366"/>
      <c r="E31" s="43" t="s">
        <v>4</v>
      </c>
      <c r="F31" s="1"/>
      <c r="G31" s="1"/>
      <c r="H31" s="31" t="s">
        <v>836</v>
      </c>
      <c r="I31" s="30">
        <f>SUM(O2:O29)</f>
        <v>12</v>
      </c>
      <c r="J31" s="20">
        <f>SUM(J2:J29)</f>
        <v>231200000</v>
      </c>
      <c r="K31" s="24">
        <f>SUM(P31:AH31)</f>
        <v>1</v>
      </c>
      <c r="L31" s="1"/>
      <c r="M31" s="1"/>
      <c r="N31" s="21"/>
      <c r="P31" s="271">
        <v>0.03</v>
      </c>
      <c r="Q31" s="209"/>
      <c r="R31" s="271">
        <v>0.1</v>
      </c>
      <c r="S31" s="209"/>
      <c r="T31" s="436">
        <v>0.3</v>
      </c>
      <c r="U31" s="438"/>
      <c r="V31" s="438"/>
      <c r="W31" s="436">
        <v>0.3</v>
      </c>
      <c r="X31" s="438"/>
      <c r="Y31" s="438"/>
      <c r="Z31" s="436">
        <v>0.1</v>
      </c>
      <c r="AA31" s="438"/>
      <c r="AB31" s="438"/>
      <c r="AC31" s="436">
        <v>0.12</v>
      </c>
      <c r="AD31" s="438"/>
      <c r="AE31" s="438"/>
      <c r="AF31" s="436">
        <v>0.05</v>
      </c>
      <c r="AG31" s="438"/>
      <c r="AH31" s="438"/>
    </row>
    <row r="32" spans="1:61" x14ac:dyDescent="0.2">
      <c r="C32" s="23" t="s">
        <v>24</v>
      </c>
      <c r="D32" s="8">
        <f t="shared" ref="D32:D38" si="0">SUMIF($E$2:$E$29,C32,$O$2:$O$29)</f>
        <v>2</v>
      </c>
      <c r="E32" s="23" t="s">
        <v>29</v>
      </c>
      <c r="F32" s="8">
        <f>SUMIF($C$2:$C$29,E32,$O$2:$O$33)</f>
        <v>5</v>
      </c>
      <c r="M32" s="360" t="s">
        <v>406</v>
      </c>
      <c r="N32" s="360"/>
      <c r="O32" s="360"/>
      <c r="BH32" s="8"/>
    </row>
    <row r="33" spans="1:61" s="8" customFormat="1" x14ac:dyDescent="0.2">
      <c r="C33" s="23" t="s">
        <v>66</v>
      </c>
      <c r="D33" s="8">
        <f t="shared" si="0"/>
        <v>1</v>
      </c>
      <c r="E33" s="23" t="s">
        <v>22</v>
      </c>
      <c r="F33" s="8">
        <f>SUMIF($C$2:$C$29,E33,$O$2:$O$33)</f>
        <v>7</v>
      </c>
      <c r="G33" s="1"/>
      <c r="H33" s="348" t="s">
        <v>75</v>
      </c>
      <c r="I33" s="348"/>
      <c r="J33" s="20">
        <f>SUMIF(K2:K29,K33,J2:J29)</f>
        <v>231200000</v>
      </c>
      <c r="K33" s="24">
        <v>1</v>
      </c>
      <c r="L33" s="1"/>
      <c r="M33" s="48"/>
      <c r="N33" s="43">
        <f>SUMIF($K$2:$K$29,K33,$O$2:$O$29)</f>
        <v>12</v>
      </c>
      <c r="O33" s="43"/>
      <c r="P33" s="1"/>
      <c r="Q33" s="1"/>
      <c r="R33" s="1"/>
      <c r="S33" s="1"/>
      <c r="T33" s="1"/>
      <c r="U33" s="1"/>
      <c r="V33" s="1"/>
      <c r="W33" s="1"/>
      <c r="X33" s="1"/>
      <c r="Y33" s="1"/>
      <c r="Z33" s="1"/>
      <c r="AA33" s="1"/>
      <c r="AB33" s="1"/>
      <c r="AC33" s="1"/>
    </row>
    <row r="34" spans="1:61" s="8" customFormat="1" x14ac:dyDescent="0.2">
      <c r="B34" s="8" t="s">
        <v>3</v>
      </c>
      <c r="C34" s="1" t="s">
        <v>34</v>
      </c>
      <c r="D34" s="8">
        <f t="shared" si="0"/>
        <v>1</v>
      </c>
      <c r="E34" s="23" t="s">
        <v>837</v>
      </c>
      <c r="F34" s="8">
        <f>SUMIF($C$2:$C$29,E34,$O$2:$O$33)</f>
        <v>0</v>
      </c>
      <c r="G34" s="1"/>
      <c r="H34" s="148" t="s">
        <v>76</v>
      </c>
      <c r="I34" s="148" t="s">
        <v>604</v>
      </c>
      <c r="J34" s="20">
        <f t="shared" ref="J34:J43" si="1">SUMIF($L$2:$L$29,K34,$J$2:$J$29)</f>
        <v>0</v>
      </c>
      <c r="K34" s="25">
        <v>1</v>
      </c>
      <c r="L34" s="1"/>
      <c r="M34" s="1"/>
      <c r="N34" s="21"/>
      <c r="P34" s="1"/>
      <c r="Q34" s="1"/>
      <c r="R34" s="1"/>
      <c r="S34" s="1"/>
      <c r="T34" s="1"/>
      <c r="U34" s="1"/>
      <c r="V34" s="1"/>
      <c r="W34" s="1"/>
      <c r="X34" s="1"/>
      <c r="Y34" s="1"/>
      <c r="Z34" s="1"/>
      <c r="AA34" s="1"/>
      <c r="AB34" s="1"/>
      <c r="AC34" s="1"/>
    </row>
    <row r="35" spans="1:61" s="8" customFormat="1" x14ac:dyDescent="0.2">
      <c r="C35" s="23" t="s">
        <v>31</v>
      </c>
      <c r="D35" s="8">
        <f t="shared" si="0"/>
        <v>1</v>
      </c>
      <c r="E35" s="1"/>
      <c r="F35" s="1"/>
      <c r="G35" s="1"/>
      <c r="H35" s="148" t="s">
        <v>76</v>
      </c>
      <c r="I35" s="148" t="s">
        <v>680</v>
      </c>
      <c r="J35" s="20">
        <f t="shared" si="1"/>
        <v>0</v>
      </c>
      <c r="K35" s="25">
        <v>2</v>
      </c>
      <c r="L35" s="1"/>
      <c r="M35" s="1"/>
      <c r="N35" s="21"/>
      <c r="P35" s="1"/>
      <c r="Q35" s="1"/>
      <c r="R35" s="1"/>
      <c r="S35" s="1"/>
      <c r="T35" s="1"/>
      <c r="U35" s="1"/>
      <c r="V35" s="1"/>
      <c r="W35" s="1"/>
      <c r="X35" s="1"/>
      <c r="Y35" s="1"/>
      <c r="Z35" s="1"/>
      <c r="AA35" s="1"/>
      <c r="AB35" s="1"/>
      <c r="AC35" s="1"/>
    </row>
    <row r="36" spans="1:61" s="8" customFormat="1" x14ac:dyDescent="0.2">
      <c r="C36" s="23" t="s">
        <v>85</v>
      </c>
      <c r="D36" s="8">
        <f t="shared" si="0"/>
        <v>0</v>
      </c>
      <c r="E36" s="1"/>
      <c r="F36" s="1"/>
      <c r="G36" s="1"/>
      <c r="H36" s="148" t="s">
        <v>76</v>
      </c>
      <c r="I36" s="148" t="s">
        <v>681</v>
      </c>
      <c r="J36" s="20">
        <f t="shared" si="1"/>
        <v>0</v>
      </c>
      <c r="K36" s="25">
        <v>3</v>
      </c>
      <c r="L36" s="1"/>
      <c r="M36" s="1"/>
      <c r="N36" s="21"/>
      <c r="P36" s="1"/>
      <c r="Q36" s="1"/>
      <c r="R36" s="1"/>
      <c r="S36" s="1"/>
      <c r="T36" s="1"/>
      <c r="U36" s="1"/>
      <c r="V36" s="1"/>
      <c r="W36" s="1"/>
      <c r="X36" s="1"/>
      <c r="Y36" s="1"/>
      <c r="Z36" s="1"/>
      <c r="AA36" s="1"/>
      <c r="AB36" s="1"/>
      <c r="AC36" s="1"/>
    </row>
    <row r="37" spans="1:61" s="8" customFormat="1" x14ac:dyDescent="0.2">
      <c r="C37" s="23" t="s">
        <v>46</v>
      </c>
      <c r="D37" s="8">
        <f t="shared" si="0"/>
        <v>0</v>
      </c>
      <c r="E37" s="1"/>
      <c r="F37" s="1"/>
      <c r="G37" s="1"/>
      <c r="H37" s="148" t="s">
        <v>76</v>
      </c>
      <c r="I37" s="148" t="s">
        <v>682</v>
      </c>
      <c r="J37" s="20">
        <f t="shared" si="1"/>
        <v>0</v>
      </c>
      <c r="K37" s="25">
        <v>4</v>
      </c>
      <c r="L37" s="1"/>
      <c r="M37" s="1"/>
      <c r="N37" s="21"/>
      <c r="P37" s="1"/>
      <c r="Q37" s="1"/>
      <c r="R37" s="1"/>
      <c r="S37" s="1"/>
      <c r="T37" s="1"/>
      <c r="U37" s="1"/>
      <c r="V37" s="1"/>
      <c r="W37" s="1"/>
      <c r="X37" s="1"/>
      <c r="Y37" s="1"/>
      <c r="Z37" s="1"/>
      <c r="AA37" s="1"/>
      <c r="AB37" s="1"/>
      <c r="AC37" s="1"/>
    </row>
    <row r="38" spans="1:61" x14ac:dyDescent="0.2">
      <c r="C38" s="23" t="s">
        <v>38</v>
      </c>
      <c r="D38" s="8">
        <f t="shared" si="0"/>
        <v>7</v>
      </c>
      <c r="H38" s="148" t="s">
        <v>76</v>
      </c>
      <c r="I38" s="148" t="s">
        <v>683</v>
      </c>
      <c r="J38" s="20">
        <f t="shared" si="1"/>
        <v>0</v>
      </c>
      <c r="K38" s="25">
        <v>5</v>
      </c>
      <c r="BH38" s="8"/>
    </row>
    <row r="39" spans="1:61" x14ac:dyDescent="0.2">
      <c r="H39" s="148" t="s">
        <v>76</v>
      </c>
      <c r="I39" s="148" t="s">
        <v>818</v>
      </c>
      <c r="J39" s="20">
        <f t="shared" si="1"/>
        <v>0</v>
      </c>
      <c r="K39" s="8">
        <v>6</v>
      </c>
      <c r="BH39" s="8"/>
    </row>
    <row r="40" spans="1:61" x14ac:dyDescent="0.2">
      <c r="C40" s="3" t="s">
        <v>157</v>
      </c>
      <c r="D40" s="8">
        <f>SUM(D32:D39)</f>
        <v>12</v>
      </c>
      <c r="E40" s="3" t="s">
        <v>157</v>
      </c>
      <c r="F40" s="8">
        <f>SUM(F32:F39)</f>
        <v>12</v>
      </c>
      <c r="H40" s="148" t="s">
        <v>76</v>
      </c>
      <c r="I40" s="148" t="s">
        <v>819</v>
      </c>
      <c r="J40" s="20">
        <f t="shared" si="1"/>
        <v>32800000</v>
      </c>
      <c r="K40" s="8">
        <v>7</v>
      </c>
      <c r="L40" s="33"/>
    </row>
    <row r="41" spans="1:61" x14ac:dyDescent="0.2">
      <c r="H41" s="148" t="s">
        <v>76</v>
      </c>
      <c r="I41" s="148" t="s">
        <v>820</v>
      </c>
      <c r="J41" s="20">
        <f t="shared" si="1"/>
        <v>36100000</v>
      </c>
      <c r="K41" s="8">
        <v>8</v>
      </c>
    </row>
    <row r="42" spans="1:61" x14ac:dyDescent="0.2">
      <c r="C42" s="3"/>
      <c r="D42" s="8"/>
      <c r="E42" s="3"/>
      <c r="F42" s="8"/>
      <c r="H42" s="148" t="s">
        <v>76</v>
      </c>
      <c r="I42" s="148" t="s">
        <v>821</v>
      </c>
      <c r="J42" s="20">
        <f t="shared" si="1"/>
        <v>47500000</v>
      </c>
      <c r="K42" s="8">
        <v>9</v>
      </c>
    </row>
    <row r="43" spans="1:61" x14ac:dyDescent="0.2">
      <c r="C43" s="3"/>
      <c r="D43" s="8"/>
      <c r="E43" s="3"/>
      <c r="F43" s="8"/>
      <c r="H43" s="148" t="s">
        <v>76</v>
      </c>
      <c r="I43" s="148" t="s">
        <v>838</v>
      </c>
      <c r="J43" s="20">
        <f t="shared" si="1"/>
        <v>114800000</v>
      </c>
      <c r="K43" s="8">
        <v>10</v>
      </c>
    </row>
    <row r="44" spans="1:61" x14ac:dyDescent="0.2">
      <c r="C44" s="3"/>
      <c r="D44" s="8"/>
      <c r="E44" s="3"/>
      <c r="F44" s="8"/>
    </row>
    <row r="45" spans="1:61" s="57" customFormat="1" ht="29.25" customHeight="1" x14ac:dyDescent="0.2">
      <c r="A45" s="383" t="s">
        <v>158</v>
      </c>
      <c r="B45" s="383"/>
      <c r="C45" s="383"/>
      <c r="I45" s="58" t="s">
        <v>159</v>
      </c>
      <c r="J45" s="58" t="s">
        <v>160</v>
      </c>
      <c r="N45" s="59"/>
      <c r="O45" s="7"/>
      <c r="AJ45" s="7"/>
      <c r="BG45" s="7"/>
      <c r="BI45" s="7"/>
    </row>
    <row r="46" spans="1:61" x14ac:dyDescent="0.2">
      <c r="A46" s="49">
        <v>44835</v>
      </c>
      <c r="B46" s="50" t="s">
        <v>165</v>
      </c>
      <c r="C46" s="353"/>
      <c r="D46" s="353"/>
      <c r="E46" s="353"/>
      <c r="F46" s="353"/>
      <c r="G46" s="353"/>
      <c r="H46" s="353"/>
      <c r="I46" s="51"/>
      <c r="J46" s="51"/>
    </row>
    <row r="47" spans="1:61" x14ac:dyDescent="0.2">
      <c r="A47" s="49">
        <f>+A46+1</f>
        <v>44836</v>
      </c>
      <c r="B47" s="50" t="s">
        <v>166</v>
      </c>
      <c r="C47" s="353"/>
      <c r="D47" s="353"/>
      <c r="E47" s="353"/>
      <c r="F47" s="353"/>
      <c r="G47" s="353"/>
      <c r="H47" s="353"/>
      <c r="I47" s="51"/>
      <c r="J47" s="51"/>
    </row>
    <row r="48" spans="1:61" x14ac:dyDescent="0.2">
      <c r="A48" s="49">
        <f t="shared" ref="A48:A108" si="2">+A47+1</f>
        <v>44837</v>
      </c>
      <c r="B48" s="50" t="s">
        <v>167</v>
      </c>
      <c r="C48" s="353"/>
      <c r="D48" s="353"/>
      <c r="E48" s="353"/>
      <c r="F48" s="353"/>
      <c r="G48" s="353"/>
      <c r="H48" s="353"/>
      <c r="I48" s="51"/>
      <c r="J48" s="51"/>
    </row>
    <row r="49" spans="1:10" x14ac:dyDescent="0.2">
      <c r="A49" s="49">
        <f t="shared" si="2"/>
        <v>44838</v>
      </c>
      <c r="B49" s="50" t="s">
        <v>161</v>
      </c>
      <c r="C49" s="353"/>
      <c r="D49" s="353"/>
      <c r="E49" s="353"/>
      <c r="F49" s="353"/>
      <c r="G49" s="353"/>
      <c r="H49" s="353"/>
      <c r="I49" s="51"/>
      <c r="J49" s="51"/>
    </row>
    <row r="50" spans="1:10" x14ac:dyDescent="0.2">
      <c r="A50" s="134">
        <f t="shared" si="2"/>
        <v>44839</v>
      </c>
      <c r="B50" s="91" t="s">
        <v>162</v>
      </c>
      <c r="C50" s="354"/>
      <c r="D50" s="354"/>
      <c r="E50" s="354"/>
      <c r="F50" s="354"/>
      <c r="G50" s="354"/>
      <c r="H50" s="354"/>
      <c r="I50" s="92"/>
      <c r="J50" s="92"/>
    </row>
    <row r="51" spans="1:10" x14ac:dyDescent="0.2">
      <c r="A51" s="109">
        <f>+A50+1</f>
        <v>44840</v>
      </c>
      <c r="B51" s="110" t="s">
        <v>163</v>
      </c>
      <c r="C51" s="355"/>
      <c r="D51" s="355"/>
      <c r="E51" s="355"/>
      <c r="F51" s="355"/>
      <c r="G51" s="355"/>
      <c r="H51" s="355"/>
      <c r="I51" s="111"/>
      <c r="J51" s="112"/>
    </row>
    <row r="52" spans="1:10" x14ac:dyDescent="0.2">
      <c r="A52" s="113">
        <v>44840</v>
      </c>
      <c r="B52" s="50" t="s">
        <v>163</v>
      </c>
      <c r="C52" s="353"/>
      <c r="D52" s="353"/>
      <c r="E52" s="353"/>
      <c r="F52" s="353"/>
      <c r="G52" s="353"/>
      <c r="H52" s="353"/>
      <c r="I52" s="51"/>
      <c r="J52" s="114"/>
    </row>
    <row r="53" spans="1:10" x14ac:dyDescent="0.2">
      <c r="A53" s="113">
        <v>44840</v>
      </c>
      <c r="B53" s="50" t="s">
        <v>163</v>
      </c>
      <c r="C53" s="353"/>
      <c r="D53" s="353"/>
      <c r="E53" s="353"/>
      <c r="F53" s="353"/>
      <c r="G53" s="353"/>
      <c r="H53" s="353"/>
      <c r="I53" s="51"/>
      <c r="J53" s="114"/>
    </row>
    <row r="54" spans="1:10" x14ac:dyDescent="0.2">
      <c r="A54" s="113">
        <v>44840</v>
      </c>
      <c r="B54" s="50" t="s">
        <v>163</v>
      </c>
      <c r="C54" s="353"/>
      <c r="D54" s="353"/>
      <c r="E54" s="353"/>
      <c r="F54" s="353"/>
      <c r="G54" s="353"/>
      <c r="H54" s="353"/>
      <c r="I54" s="51"/>
      <c r="J54" s="114"/>
    </row>
    <row r="55" spans="1:10" x14ac:dyDescent="0.2">
      <c r="A55" s="113">
        <v>44840</v>
      </c>
      <c r="B55" s="50" t="s">
        <v>163</v>
      </c>
      <c r="C55" s="353"/>
      <c r="D55" s="353"/>
      <c r="E55" s="353"/>
      <c r="F55" s="353"/>
      <c r="G55" s="353"/>
      <c r="H55" s="353"/>
      <c r="I55" s="51"/>
      <c r="J55" s="114"/>
    </row>
    <row r="56" spans="1:10" x14ac:dyDescent="0.2">
      <c r="A56" s="113">
        <v>44840</v>
      </c>
      <c r="B56" s="50" t="s">
        <v>163</v>
      </c>
      <c r="C56" s="353"/>
      <c r="D56" s="353"/>
      <c r="E56" s="353"/>
      <c r="F56" s="353"/>
      <c r="G56" s="353"/>
      <c r="H56" s="353"/>
      <c r="I56" s="51"/>
      <c r="J56" s="114"/>
    </row>
    <row r="57" spans="1:10" x14ac:dyDescent="0.2">
      <c r="A57" s="115">
        <v>44840</v>
      </c>
      <c r="B57" s="116" t="s">
        <v>163</v>
      </c>
      <c r="C57" s="352"/>
      <c r="D57" s="352"/>
      <c r="E57" s="352"/>
      <c r="F57" s="352"/>
      <c r="G57" s="352"/>
      <c r="H57" s="352"/>
      <c r="I57" s="117"/>
      <c r="J57" s="118"/>
    </row>
    <row r="58" spans="1:10" x14ac:dyDescent="0.2">
      <c r="A58" s="123">
        <f>+A51+1</f>
        <v>44841</v>
      </c>
      <c r="B58" s="124" t="s">
        <v>164</v>
      </c>
      <c r="C58" s="363" t="s">
        <v>839</v>
      </c>
      <c r="D58" s="363"/>
      <c r="E58" s="363"/>
      <c r="F58" s="363"/>
      <c r="G58" s="363"/>
      <c r="H58" s="363"/>
      <c r="I58" s="65"/>
      <c r="J58" s="125"/>
    </row>
    <row r="59" spans="1:10" x14ac:dyDescent="0.2">
      <c r="A59" s="113">
        <v>44841</v>
      </c>
      <c r="B59" s="50" t="s">
        <v>164</v>
      </c>
      <c r="C59" s="353"/>
      <c r="D59" s="353"/>
      <c r="E59" s="353"/>
      <c r="F59" s="353"/>
      <c r="G59" s="353"/>
      <c r="H59" s="353"/>
      <c r="I59" s="51"/>
      <c r="J59" s="114"/>
    </row>
    <row r="60" spans="1:10" x14ac:dyDescent="0.2">
      <c r="A60" s="113">
        <v>44841</v>
      </c>
      <c r="B60" s="50" t="s">
        <v>164</v>
      </c>
      <c r="C60" s="353"/>
      <c r="D60" s="353"/>
      <c r="E60" s="353"/>
      <c r="F60" s="353"/>
      <c r="G60" s="353"/>
      <c r="H60" s="353"/>
      <c r="I60" s="51"/>
      <c r="J60" s="114"/>
    </row>
    <row r="61" spans="1:10" x14ac:dyDescent="0.2">
      <c r="A61" s="113">
        <v>44841</v>
      </c>
      <c r="B61" s="50" t="s">
        <v>164</v>
      </c>
      <c r="C61" s="353"/>
      <c r="D61" s="353"/>
      <c r="E61" s="353"/>
      <c r="F61" s="353"/>
      <c r="G61" s="353"/>
      <c r="H61" s="353"/>
      <c r="I61" s="51"/>
      <c r="J61" s="114"/>
    </row>
    <row r="62" spans="1:10" x14ac:dyDescent="0.2">
      <c r="A62" s="113">
        <v>44841</v>
      </c>
      <c r="B62" s="50" t="s">
        <v>164</v>
      </c>
      <c r="C62" s="353"/>
      <c r="D62" s="353"/>
      <c r="E62" s="353"/>
      <c r="F62" s="353"/>
      <c r="G62" s="353"/>
      <c r="H62" s="353"/>
      <c r="I62" s="51"/>
      <c r="J62" s="114"/>
    </row>
    <row r="63" spans="1:10" x14ac:dyDescent="0.2">
      <c r="A63" s="113">
        <v>44841</v>
      </c>
      <c r="B63" s="50" t="s">
        <v>164</v>
      </c>
      <c r="C63" s="353"/>
      <c r="D63" s="353"/>
      <c r="E63" s="353"/>
      <c r="F63" s="353"/>
      <c r="G63" s="353"/>
      <c r="H63" s="353"/>
      <c r="I63" s="51"/>
      <c r="J63" s="114"/>
    </row>
    <row r="64" spans="1:10" x14ac:dyDescent="0.2">
      <c r="A64" s="115">
        <v>44841</v>
      </c>
      <c r="B64" s="116" t="s">
        <v>164</v>
      </c>
      <c r="C64" s="352"/>
      <c r="D64" s="352"/>
      <c r="E64" s="352"/>
      <c r="F64" s="352"/>
      <c r="G64" s="352"/>
      <c r="H64" s="352"/>
      <c r="I64" s="117"/>
      <c r="J64" s="118"/>
    </row>
    <row r="65" spans="1:10" x14ac:dyDescent="0.2">
      <c r="A65" s="234">
        <f>+A58+1</f>
        <v>44842</v>
      </c>
      <c r="B65" s="235" t="s">
        <v>165</v>
      </c>
      <c r="C65" s="427"/>
      <c r="D65" s="427"/>
      <c r="E65" s="427"/>
      <c r="F65" s="427"/>
      <c r="G65" s="427"/>
      <c r="H65" s="427"/>
      <c r="I65" s="236"/>
      <c r="J65" s="237"/>
    </row>
    <row r="66" spans="1:10" x14ac:dyDescent="0.2">
      <c r="A66" s="263">
        <f t="shared" si="2"/>
        <v>44843</v>
      </c>
      <c r="B66" s="264" t="s">
        <v>166</v>
      </c>
      <c r="C66" s="435"/>
      <c r="D66" s="435"/>
      <c r="E66" s="435"/>
      <c r="F66" s="435"/>
      <c r="G66" s="435"/>
      <c r="H66" s="435"/>
      <c r="I66" s="265"/>
      <c r="J66" s="266"/>
    </row>
    <row r="67" spans="1:10" x14ac:dyDescent="0.2">
      <c r="A67" s="275">
        <f t="shared" si="2"/>
        <v>44844</v>
      </c>
      <c r="B67" s="249" t="s">
        <v>167</v>
      </c>
      <c r="C67" s="428"/>
      <c r="D67" s="428"/>
      <c r="E67" s="428"/>
      <c r="F67" s="428"/>
      <c r="G67" s="428"/>
      <c r="H67" s="428"/>
      <c r="I67" s="250"/>
      <c r="J67" s="250"/>
    </row>
    <row r="68" spans="1:10" x14ac:dyDescent="0.2">
      <c r="A68" s="109">
        <f t="shared" si="2"/>
        <v>44845</v>
      </c>
      <c r="B68" s="110" t="s">
        <v>161</v>
      </c>
      <c r="C68" s="355" t="s">
        <v>840</v>
      </c>
      <c r="D68" s="355"/>
      <c r="E68" s="355"/>
      <c r="F68" s="355"/>
      <c r="G68" s="355"/>
      <c r="H68" s="355"/>
      <c r="I68" s="111" t="s">
        <v>214</v>
      </c>
      <c r="J68" s="112" t="s">
        <v>174</v>
      </c>
    </row>
    <row r="69" spans="1:10" x14ac:dyDescent="0.2">
      <c r="A69" s="113">
        <v>44845</v>
      </c>
      <c r="B69" s="50" t="s">
        <v>161</v>
      </c>
      <c r="C69" s="353" t="s">
        <v>841</v>
      </c>
      <c r="D69" s="353"/>
      <c r="E69" s="353"/>
      <c r="F69" s="353"/>
      <c r="G69" s="353"/>
      <c r="H69" s="353"/>
      <c r="I69" s="51" t="s">
        <v>181</v>
      </c>
      <c r="J69" s="114" t="s">
        <v>174</v>
      </c>
    </row>
    <row r="70" spans="1:10" x14ac:dyDescent="0.2">
      <c r="A70" s="113">
        <v>44845</v>
      </c>
      <c r="B70" s="50" t="s">
        <v>161</v>
      </c>
      <c r="C70" s="353" t="s">
        <v>842</v>
      </c>
      <c r="D70" s="353"/>
      <c r="E70" s="353"/>
      <c r="F70" s="353"/>
      <c r="G70" s="353"/>
      <c r="H70" s="353"/>
      <c r="I70" s="51" t="s">
        <v>181</v>
      </c>
      <c r="J70" s="114" t="s">
        <v>187</v>
      </c>
    </row>
    <row r="71" spans="1:10" x14ac:dyDescent="0.2">
      <c r="A71" s="113">
        <v>44845</v>
      </c>
      <c r="B71" s="50" t="s">
        <v>161</v>
      </c>
      <c r="C71" s="353" t="s">
        <v>843</v>
      </c>
      <c r="D71" s="353"/>
      <c r="E71" s="353"/>
      <c r="F71" s="353"/>
      <c r="G71" s="353"/>
      <c r="H71" s="353"/>
      <c r="I71" s="51" t="s">
        <v>183</v>
      </c>
      <c r="J71" s="114" t="s">
        <v>191</v>
      </c>
    </row>
    <row r="72" spans="1:10" x14ac:dyDescent="0.2">
      <c r="A72" s="113">
        <v>44845</v>
      </c>
      <c r="B72" s="50" t="s">
        <v>161</v>
      </c>
      <c r="C72" s="353" t="s">
        <v>844</v>
      </c>
      <c r="D72" s="353"/>
      <c r="E72" s="353"/>
      <c r="F72" s="353"/>
      <c r="G72" s="353"/>
      <c r="H72" s="353"/>
      <c r="I72" s="51" t="s">
        <v>214</v>
      </c>
      <c r="J72" s="114" t="s">
        <v>191</v>
      </c>
    </row>
    <row r="73" spans="1:10" x14ac:dyDescent="0.2">
      <c r="A73" s="113">
        <v>44845</v>
      </c>
      <c r="B73" s="50" t="s">
        <v>161</v>
      </c>
      <c r="C73" s="353" t="s">
        <v>845</v>
      </c>
      <c r="D73" s="353"/>
      <c r="E73" s="353"/>
      <c r="F73" s="353"/>
      <c r="G73" s="353"/>
      <c r="H73" s="353"/>
      <c r="I73" s="51" t="s">
        <v>216</v>
      </c>
      <c r="J73" s="114" t="s">
        <v>174</v>
      </c>
    </row>
    <row r="74" spans="1:10" x14ac:dyDescent="0.2">
      <c r="A74" s="115">
        <v>44845</v>
      </c>
      <c r="B74" s="116" t="s">
        <v>161</v>
      </c>
      <c r="C74" s="352" t="s">
        <v>846</v>
      </c>
      <c r="D74" s="352"/>
      <c r="E74" s="352"/>
      <c r="F74" s="352"/>
      <c r="G74" s="352"/>
      <c r="H74" s="352"/>
      <c r="I74" s="117" t="s">
        <v>216</v>
      </c>
      <c r="J74" s="118" t="s">
        <v>174</v>
      </c>
    </row>
    <row r="75" spans="1:10" x14ac:dyDescent="0.2">
      <c r="A75" s="137">
        <f>+A68+1</f>
        <v>44846</v>
      </c>
      <c r="B75" s="124" t="s">
        <v>162</v>
      </c>
      <c r="C75" s="363"/>
      <c r="D75" s="363"/>
      <c r="E75" s="363"/>
      <c r="F75" s="363"/>
      <c r="G75" s="363"/>
      <c r="H75" s="363"/>
      <c r="I75" s="65"/>
      <c r="J75" s="65"/>
    </row>
    <row r="76" spans="1:10" x14ac:dyDescent="0.2">
      <c r="A76" s="49">
        <f t="shared" si="2"/>
        <v>44847</v>
      </c>
      <c r="B76" s="50" t="s">
        <v>163</v>
      </c>
      <c r="C76" s="353"/>
      <c r="D76" s="353"/>
      <c r="E76" s="353"/>
      <c r="F76" s="353"/>
      <c r="G76" s="353"/>
      <c r="H76" s="353"/>
      <c r="I76" s="51"/>
      <c r="J76" s="51"/>
    </row>
    <row r="77" spans="1:10" x14ac:dyDescent="0.2">
      <c r="A77" s="49">
        <f t="shared" si="2"/>
        <v>44848</v>
      </c>
      <c r="B77" s="50" t="s">
        <v>164</v>
      </c>
      <c r="C77" s="353"/>
      <c r="D77" s="353"/>
      <c r="E77" s="353"/>
      <c r="F77" s="353"/>
      <c r="G77" s="353"/>
      <c r="H77" s="353"/>
      <c r="I77" s="51"/>
      <c r="J77" s="51"/>
    </row>
    <row r="78" spans="1:10" x14ac:dyDescent="0.2">
      <c r="A78" s="49">
        <f t="shared" si="2"/>
        <v>44849</v>
      </c>
      <c r="B78" s="50" t="s">
        <v>165</v>
      </c>
      <c r="C78" s="353"/>
      <c r="D78" s="353"/>
      <c r="E78" s="353"/>
      <c r="F78" s="353"/>
      <c r="G78" s="353"/>
      <c r="H78" s="353"/>
      <c r="I78" s="51"/>
      <c r="J78" s="51"/>
    </row>
    <row r="79" spans="1:10" x14ac:dyDescent="0.2">
      <c r="A79" s="49">
        <f t="shared" si="2"/>
        <v>44850</v>
      </c>
      <c r="B79" s="50" t="s">
        <v>166</v>
      </c>
      <c r="C79" s="353"/>
      <c r="D79" s="353"/>
      <c r="E79" s="353"/>
      <c r="F79" s="353"/>
      <c r="G79" s="353"/>
      <c r="H79" s="353"/>
      <c r="I79" s="51"/>
      <c r="J79" s="51"/>
    </row>
    <row r="80" spans="1:10" x14ac:dyDescent="0.2">
      <c r="A80" s="49">
        <f t="shared" si="2"/>
        <v>44851</v>
      </c>
      <c r="B80" s="50" t="s">
        <v>167</v>
      </c>
      <c r="C80" s="353"/>
      <c r="D80" s="353"/>
      <c r="E80" s="353"/>
      <c r="F80" s="353"/>
      <c r="G80" s="353"/>
      <c r="H80" s="353"/>
      <c r="I80" s="51"/>
      <c r="J80" s="51"/>
    </row>
    <row r="81" spans="1:10" x14ac:dyDescent="0.2">
      <c r="A81" s="49">
        <f t="shared" si="2"/>
        <v>44852</v>
      </c>
      <c r="B81" s="50" t="s">
        <v>161</v>
      </c>
      <c r="C81" s="353"/>
      <c r="D81" s="353"/>
      <c r="E81" s="353"/>
      <c r="F81" s="353"/>
      <c r="G81" s="353"/>
      <c r="H81" s="353"/>
      <c r="I81" s="51"/>
      <c r="J81" s="51"/>
    </row>
    <row r="82" spans="1:10" x14ac:dyDescent="0.2">
      <c r="A82" s="49">
        <f t="shared" si="2"/>
        <v>44853</v>
      </c>
      <c r="B82" s="50" t="s">
        <v>162</v>
      </c>
      <c r="C82" s="353"/>
      <c r="D82" s="353"/>
      <c r="E82" s="353"/>
      <c r="F82" s="353"/>
      <c r="G82" s="353"/>
      <c r="H82" s="353"/>
      <c r="I82" s="51"/>
      <c r="J82" s="51"/>
    </row>
    <row r="83" spans="1:10" x14ac:dyDescent="0.2">
      <c r="A83" s="49">
        <f t="shared" si="2"/>
        <v>44854</v>
      </c>
      <c r="B83" s="50" t="s">
        <v>163</v>
      </c>
      <c r="C83" s="353"/>
      <c r="D83" s="353"/>
      <c r="E83" s="353"/>
      <c r="F83" s="353"/>
      <c r="G83" s="353"/>
      <c r="H83" s="353"/>
      <c r="I83" s="51"/>
      <c r="J83" s="51"/>
    </row>
    <row r="84" spans="1:10" x14ac:dyDescent="0.2">
      <c r="A84" s="49">
        <f t="shared" si="2"/>
        <v>44855</v>
      </c>
      <c r="B84" s="50" t="s">
        <v>164</v>
      </c>
      <c r="C84" s="353"/>
      <c r="D84" s="353"/>
      <c r="E84" s="353"/>
      <c r="F84" s="353"/>
      <c r="G84" s="353"/>
      <c r="H84" s="353"/>
      <c r="I84" s="51"/>
      <c r="J84" s="51"/>
    </row>
    <row r="85" spans="1:10" x14ac:dyDescent="0.2">
      <c r="A85" s="49">
        <f t="shared" si="2"/>
        <v>44856</v>
      </c>
      <c r="B85" s="50" t="s">
        <v>165</v>
      </c>
      <c r="C85" s="353"/>
      <c r="D85" s="353"/>
      <c r="E85" s="353"/>
      <c r="F85" s="353"/>
      <c r="G85" s="353"/>
      <c r="H85" s="353"/>
      <c r="I85" s="51"/>
      <c r="J85" s="51"/>
    </row>
    <row r="86" spans="1:10" x14ac:dyDescent="0.2">
      <c r="A86" s="49">
        <f t="shared" si="2"/>
        <v>44857</v>
      </c>
      <c r="B86" s="50" t="s">
        <v>166</v>
      </c>
      <c r="C86" s="353"/>
      <c r="D86" s="353"/>
      <c r="E86" s="353"/>
      <c r="F86" s="353"/>
      <c r="G86" s="353"/>
      <c r="H86" s="353"/>
      <c r="I86" s="51"/>
      <c r="J86" s="51"/>
    </row>
    <row r="87" spans="1:10" x14ac:dyDescent="0.2">
      <c r="A87" s="134">
        <f t="shared" si="2"/>
        <v>44858</v>
      </c>
      <c r="B87" s="91" t="s">
        <v>167</v>
      </c>
      <c r="C87" s="354"/>
      <c r="D87" s="354"/>
      <c r="E87" s="354"/>
      <c r="F87" s="354"/>
      <c r="G87" s="354"/>
      <c r="H87" s="354"/>
      <c r="I87" s="92"/>
      <c r="J87" s="92"/>
    </row>
    <row r="88" spans="1:10" x14ac:dyDescent="0.2">
      <c r="A88" s="109">
        <f t="shared" si="2"/>
        <v>44859</v>
      </c>
      <c r="B88" s="110" t="s">
        <v>161</v>
      </c>
      <c r="C88" s="355" t="s">
        <v>847</v>
      </c>
      <c r="D88" s="355"/>
      <c r="E88" s="355"/>
      <c r="F88" s="355"/>
      <c r="G88" s="355"/>
      <c r="H88" s="355"/>
      <c r="I88" s="111" t="s">
        <v>216</v>
      </c>
      <c r="J88" s="112" t="s">
        <v>174</v>
      </c>
    </row>
    <row r="89" spans="1:10" x14ac:dyDescent="0.2">
      <c r="A89" s="113">
        <v>44859</v>
      </c>
      <c r="B89" s="50" t="s">
        <v>161</v>
      </c>
      <c r="C89" s="353" t="s">
        <v>848</v>
      </c>
      <c r="D89" s="353"/>
      <c r="E89" s="353"/>
      <c r="F89" s="353"/>
      <c r="G89" s="353"/>
      <c r="H89" s="353"/>
      <c r="I89" s="51" t="s">
        <v>181</v>
      </c>
      <c r="J89" s="114" t="s">
        <v>187</v>
      </c>
    </row>
    <row r="90" spans="1:10" x14ac:dyDescent="0.2">
      <c r="A90" s="113">
        <v>44859</v>
      </c>
      <c r="B90" s="50" t="s">
        <v>161</v>
      </c>
      <c r="C90" s="363" t="s">
        <v>849</v>
      </c>
      <c r="D90" s="363"/>
      <c r="E90" s="363"/>
      <c r="F90" s="363"/>
      <c r="G90" s="363"/>
      <c r="H90" s="363"/>
      <c r="I90" s="65" t="s">
        <v>181</v>
      </c>
      <c r="J90" s="125" t="s">
        <v>174</v>
      </c>
    </row>
    <row r="91" spans="1:10" x14ac:dyDescent="0.2">
      <c r="A91" s="113">
        <v>44859</v>
      </c>
      <c r="B91" s="50" t="s">
        <v>161</v>
      </c>
      <c r="C91" s="353"/>
      <c r="D91" s="353"/>
      <c r="E91" s="353"/>
      <c r="F91" s="353"/>
      <c r="G91" s="353"/>
      <c r="H91" s="353"/>
      <c r="I91" s="51"/>
      <c r="J91" s="114"/>
    </row>
    <row r="92" spans="1:10" x14ac:dyDescent="0.2">
      <c r="A92" s="115">
        <v>44859</v>
      </c>
      <c r="B92" s="116" t="s">
        <v>161</v>
      </c>
      <c r="C92" s="352"/>
      <c r="D92" s="352"/>
      <c r="E92" s="352"/>
      <c r="F92" s="352"/>
      <c r="G92" s="352"/>
      <c r="H92" s="352"/>
      <c r="I92" s="117"/>
      <c r="J92" s="118"/>
    </row>
    <row r="93" spans="1:10" x14ac:dyDescent="0.2">
      <c r="A93" s="172">
        <f>+A88+1</f>
        <v>44860</v>
      </c>
      <c r="B93" s="173" t="s">
        <v>162</v>
      </c>
      <c r="C93" s="363" t="s">
        <v>849</v>
      </c>
      <c r="D93" s="363"/>
      <c r="E93" s="363"/>
      <c r="F93" s="363"/>
      <c r="G93" s="363"/>
      <c r="H93" s="363"/>
      <c r="I93" s="65" t="s">
        <v>181</v>
      </c>
      <c r="J93" s="125" t="s">
        <v>174</v>
      </c>
    </row>
    <row r="94" spans="1:10" x14ac:dyDescent="0.2">
      <c r="A94" s="113">
        <v>44860</v>
      </c>
      <c r="B94" s="91" t="s">
        <v>162</v>
      </c>
      <c r="C94" s="353" t="s">
        <v>848</v>
      </c>
      <c r="D94" s="353"/>
      <c r="E94" s="353"/>
      <c r="F94" s="353"/>
      <c r="G94" s="353"/>
      <c r="H94" s="353"/>
      <c r="I94" s="51" t="s">
        <v>181</v>
      </c>
      <c r="J94" s="114" t="s">
        <v>187</v>
      </c>
    </row>
    <row r="95" spans="1:10" x14ac:dyDescent="0.2">
      <c r="A95" s="113">
        <v>44860</v>
      </c>
      <c r="B95" s="91" t="s">
        <v>162</v>
      </c>
      <c r="C95" s="353"/>
      <c r="D95" s="353"/>
      <c r="E95" s="353"/>
      <c r="F95" s="353"/>
      <c r="G95" s="353"/>
      <c r="H95" s="353"/>
      <c r="I95" s="51"/>
      <c r="J95" s="114"/>
    </row>
    <row r="96" spans="1:10" x14ac:dyDescent="0.2">
      <c r="A96" s="113">
        <v>44860</v>
      </c>
      <c r="B96" s="91" t="s">
        <v>162</v>
      </c>
      <c r="C96" s="353"/>
      <c r="D96" s="353"/>
      <c r="E96" s="353"/>
      <c r="F96" s="353"/>
      <c r="G96" s="353"/>
      <c r="H96" s="353"/>
      <c r="I96" s="51"/>
      <c r="J96" s="114"/>
    </row>
    <row r="97" spans="1:21" x14ac:dyDescent="0.2">
      <c r="A97" s="115">
        <v>44860</v>
      </c>
      <c r="B97" s="116" t="s">
        <v>162</v>
      </c>
      <c r="C97" s="352"/>
      <c r="D97" s="352"/>
      <c r="E97" s="352"/>
      <c r="F97" s="352"/>
      <c r="G97" s="352"/>
      <c r="H97" s="352"/>
      <c r="I97" s="117"/>
      <c r="J97" s="118"/>
    </row>
    <row r="98" spans="1:21" x14ac:dyDescent="0.2">
      <c r="A98" s="123">
        <f>+A93+1</f>
        <v>44861</v>
      </c>
      <c r="B98" s="124" t="s">
        <v>163</v>
      </c>
      <c r="C98" s="363" t="s">
        <v>849</v>
      </c>
      <c r="D98" s="363"/>
      <c r="E98" s="363"/>
      <c r="F98" s="363"/>
      <c r="G98" s="363"/>
      <c r="H98" s="363"/>
      <c r="I98" s="65" t="s">
        <v>181</v>
      </c>
      <c r="J98" s="125" t="s">
        <v>174</v>
      </c>
    </row>
    <row r="99" spans="1:21" x14ac:dyDescent="0.2">
      <c r="A99" s="113">
        <v>44861</v>
      </c>
      <c r="B99" s="50" t="s">
        <v>163</v>
      </c>
      <c r="C99" s="353" t="s">
        <v>850</v>
      </c>
      <c r="D99" s="353"/>
      <c r="E99" s="353"/>
      <c r="F99" s="353"/>
      <c r="G99" s="353"/>
      <c r="H99" s="353"/>
      <c r="I99" s="51" t="s">
        <v>216</v>
      </c>
      <c r="J99" s="114" t="s">
        <v>174</v>
      </c>
    </row>
    <row r="100" spans="1:21" x14ac:dyDescent="0.2">
      <c r="A100" s="113">
        <v>44861</v>
      </c>
      <c r="B100" s="50" t="s">
        <v>163</v>
      </c>
      <c r="C100" s="353" t="s">
        <v>846</v>
      </c>
      <c r="D100" s="353"/>
      <c r="E100" s="353"/>
      <c r="F100" s="353"/>
      <c r="G100" s="353"/>
      <c r="H100" s="353"/>
      <c r="I100" s="51" t="s">
        <v>216</v>
      </c>
      <c r="J100" s="114" t="s">
        <v>174</v>
      </c>
    </row>
    <row r="101" spans="1:21" x14ac:dyDescent="0.2">
      <c r="A101" s="113">
        <v>44861</v>
      </c>
      <c r="B101" s="50" t="s">
        <v>163</v>
      </c>
      <c r="C101" s="353"/>
      <c r="D101" s="353"/>
      <c r="E101" s="353"/>
      <c r="F101" s="353"/>
      <c r="G101" s="353"/>
      <c r="H101" s="353"/>
      <c r="I101" s="51"/>
      <c r="J101" s="114"/>
    </row>
    <row r="102" spans="1:21" x14ac:dyDescent="0.2">
      <c r="A102" s="113">
        <v>44861</v>
      </c>
      <c r="B102" s="50" t="s">
        <v>163</v>
      </c>
      <c r="C102" s="353"/>
      <c r="D102" s="353"/>
      <c r="E102" s="353"/>
      <c r="F102" s="353"/>
      <c r="G102" s="353"/>
      <c r="H102" s="353"/>
      <c r="I102" s="51"/>
      <c r="J102" s="114"/>
    </row>
    <row r="103" spans="1:21" x14ac:dyDescent="0.2">
      <c r="A103" s="113">
        <v>44861</v>
      </c>
      <c r="B103" s="50" t="s">
        <v>163</v>
      </c>
      <c r="C103" s="353"/>
      <c r="D103" s="353"/>
      <c r="E103" s="353"/>
      <c r="F103" s="353"/>
      <c r="G103" s="353"/>
      <c r="H103" s="353"/>
      <c r="I103" s="51"/>
      <c r="J103" s="114"/>
    </row>
    <row r="104" spans="1:21" x14ac:dyDescent="0.2">
      <c r="A104" s="115">
        <v>44861</v>
      </c>
      <c r="B104" s="116" t="s">
        <v>163</v>
      </c>
      <c r="C104" s="352"/>
      <c r="D104" s="352"/>
      <c r="E104" s="352"/>
      <c r="F104" s="352"/>
      <c r="G104" s="352"/>
      <c r="H104" s="352"/>
      <c r="I104" s="117"/>
      <c r="J104" s="118"/>
    </row>
    <row r="105" spans="1:21" x14ac:dyDescent="0.2">
      <c r="A105" s="137">
        <f>+A98+1</f>
        <v>44862</v>
      </c>
      <c r="B105" s="124" t="s">
        <v>164</v>
      </c>
      <c r="C105" s="363"/>
      <c r="D105" s="363"/>
      <c r="E105" s="363"/>
      <c r="F105" s="363"/>
      <c r="G105" s="363"/>
      <c r="H105" s="363"/>
      <c r="I105" s="65"/>
      <c r="J105" s="65"/>
    </row>
    <row r="106" spans="1:21" x14ac:dyDescent="0.2">
      <c r="A106" s="49">
        <f t="shared" si="2"/>
        <v>44863</v>
      </c>
      <c r="B106" s="50" t="s">
        <v>165</v>
      </c>
      <c r="C106" s="353"/>
      <c r="D106" s="353"/>
      <c r="E106" s="353"/>
      <c r="F106" s="353"/>
      <c r="G106" s="353"/>
      <c r="H106" s="353"/>
      <c r="I106" s="51"/>
      <c r="J106" s="51"/>
    </row>
    <row r="107" spans="1:21" x14ac:dyDescent="0.2">
      <c r="A107" s="49">
        <f t="shared" si="2"/>
        <v>44864</v>
      </c>
      <c r="B107" s="50" t="s">
        <v>166</v>
      </c>
      <c r="C107" s="353"/>
      <c r="D107" s="353"/>
      <c r="E107" s="353"/>
      <c r="F107" s="353"/>
      <c r="G107" s="353"/>
      <c r="H107" s="353"/>
      <c r="I107" s="51"/>
      <c r="J107" s="51"/>
    </row>
    <row r="108" spans="1:21" x14ac:dyDescent="0.2">
      <c r="A108" s="61">
        <f t="shared" si="2"/>
        <v>44865</v>
      </c>
      <c r="B108" s="62" t="s">
        <v>167</v>
      </c>
      <c r="C108" s="429"/>
      <c r="D108" s="429"/>
      <c r="E108" s="429"/>
      <c r="F108" s="429"/>
      <c r="G108" s="429"/>
      <c r="H108" s="429"/>
      <c r="I108" s="63"/>
      <c r="J108" s="63"/>
    </row>
    <row r="109" spans="1:21" x14ac:dyDescent="0.2">
      <c r="A109" s="32"/>
      <c r="I109" s="8"/>
      <c r="J109" s="8"/>
      <c r="R109" s="21"/>
      <c r="S109" s="21"/>
      <c r="T109" s="8"/>
      <c r="U109" s="8"/>
    </row>
    <row r="110" spans="1:21" x14ac:dyDescent="0.2">
      <c r="A110" s="367" t="s">
        <v>207</v>
      </c>
      <c r="B110" s="368"/>
      <c r="C110" s="368"/>
      <c r="D110" s="368"/>
      <c r="I110" s="8"/>
      <c r="J110" s="8"/>
      <c r="R110" s="21"/>
      <c r="S110" s="21"/>
      <c r="T110" s="8"/>
      <c r="U110" s="8"/>
    </row>
    <row r="111" spans="1:21" x14ac:dyDescent="0.2">
      <c r="A111" s="52">
        <f t="shared" ref="A111:A121" si="3">COUNTIF($I$46:$I$111,B111)</f>
        <v>0</v>
      </c>
      <c r="B111" s="53" t="s">
        <v>208</v>
      </c>
      <c r="C111" s="370" t="s">
        <v>209</v>
      </c>
      <c r="D111" s="370"/>
      <c r="I111" s="8"/>
      <c r="J111" s="8"/>
      <c r="R111" s="21"/>
      <c r="S111" s="21"/>
      <c r="T111" s="8"/>
      <c r="U111" s="8"/>
    </row>
    <row r="112" spans="1:21" x14ac:dyDescent="0.2">
      <c r="A112" s="52">
        <f t="shared" si="3"/>
        <v>0</v>
      </c>
      <c r="B112" s="53" t="s">
        <v>172</v>
      </c>
      <c r="C112" s="370" t="s">
        <v>210</v>
      </c>
      <c r="D112" s="370"/>
      <c r="I112" s="8"/>
      <c r="J112" s="8"/>
      <c r="R112" s="21"/>
      <c r="S112" s="21"/>
      <c r="T112" s="8"/>
      <c r="U112" s="8"/>
    </row>
    <row r="113" spans="1:21" x14ac:dyDescent="0.2">
      <c r="A113" s="52">
        <f t="shared" si="3"/>
        <v>0</v>
      </c>
      <c r="B113" s="53" t="s">
        <v>169</v>
      </c>
      <c r="C113" s="370" t="s">
        <v>211</v>
      </c>
      <c r="D113" s="370"/>
      <c r="I113" s="8"/>
      <c r="J113" s="8"/>
      <c r="R113" s="21"/>
      <c r="S113" s="21"/>
      <c r="T113" s="8"/>
      <c r="U113" s="8"/>
    </row>
    <row r="114" spans="1:21" x14ac:dyDescent="0.2">
      <c r="A114" s="52">
        <f t="shared" si="3"/>
        <v>7</v>
      </c>
      <c r="B114" s="53" t="s">
        <v>181</v>
      </c>
      <c r="C114" s="370" t="s">
        <v>212</v>
      </c>
      <c r="D114" s="370"/>
      <c r="I114" s="8"/>
      <c r="J114" s="8"/>
      <c r="R114" s="21"/>
      <c r="S114" s="21"/>
      <c r="T114" s="8"/>
      <c r="U114" s="8"/>
    </row>
    <row r="115" spans="1:21" x14ac:dyDescent="0.2">
      <c r="A115" s="52">
        <f t="shared" si="3"/>
        <v>1</v>
      </c>
      <c r="B115" s="53" t="s">
        <v>183</v>
      </c>
      <c r="C115" s="370" t="s">
        <v>213</v>
      </c>
      <c r="D115" s="370"/>
      <c r="I115" s="8"/>
      <c r="J115" s="8"/>
      <c r="R115" s="21"/>
      <c r="S115" s="21"/>
      <c r="T115" s="8"/>
      <c r="U115" s="8"/>
    </row>
    <row r="116" spans="1:21" x14ac:dyDescent="0.2">
      <c r="A116" s="52">
        <f t="shared" si="3"/>
        <v>2</v>
      </c>
      <c r="B116" s="53" t="s">
        <v>214</v>
      </c>
      <c r="C116" s="370" t="s">
        <v>215</v>
      </c>
      <c r="D116" s="370"/>
      <c r="I116" s="8"/>
      <c r="J116" s="8"/>
      <c r="R116" s="21"/>
      <c r="S116" s="21"/>
      <c r="T116" s="8"/>
      <c r="U116" s="8"/>
    </row>
    <row r="117" spans="1:21" x14ac:dyDescent="0.2">
      <c r="A117" s="52">
        <f t="shared" si="3"/>
        <v>5</v>
      </c>
      <c r="B117" s="53" t="s">
        <v>216</v>
      </c>
      <c r="C117" s="370" t="s">
        <v>217</v>
      </c>
      <c r="D117" s="370"/>
      <c r="I117" s="8"/>
      <c r="J117" s="8"/>
      <c r="R117" s="21"/>
      <c r="S117" s="21"/>
      <c r="T117" s="8"/>
      <c r="U117" s="8"/>
    </row>
    <row r="118" spans="1:21" x14ac:dyDescent="0.2">
      <c r="A118" s="52">
        <f t="shared" si="3"/>
        <v>0</v>
      </c>
      <c r="B118" s="53" t="s">
        <v>218</v>
      </c>
      <c r="C118" s="371" t="s">
        <v>219</v>
      </c>
      <c r="D118" s="372"/>
      <c r="I118" s="8"/>
      <c r="J118" s="8"/>
      <c r="R118" s="21"/>
      <c r="S118" s="21"/>
      <c r="T118" s="8"/>
      <c r="U118" s="8"/>
    </row>
    <row r="119" spans="1:21" x14ac:dyDescent="0.2">
      <c r="A119" s="52">
        <f t="shared" si="3"/>
        <v>0</v>
      </c>
      <c r="B119" s="53" t="s">
        <v>220</v>
      </c>
      <c r="C119" s="370" t="s">
        <v>221</v>
      </c>
      <c r="D119" s="370"/>
      <c r="I119" s="8"/>
      <c r="J119" s="8"/>
    </row>
    <row r="120" spans="1:21" x14ac:dyDescent="0.2">
      <c r="A120" s="52">
        <f t="shared" si="3"/>
        <v>0</v>
      </c>
      <c r="B120" s="53" t="s">
        <v>178</v>
      </c>
      <c r="C120" s="370" t="s">
        <v>222</v>
      </c>
      <c r="D120" s="370"/>
      <c r="I120" s="8"/>
      <c r="J120" s="8"/>
    </row>
    <row r="121" spans="1:21" x14ac:dyDescent="0.2">
      <c r="A121" s="52">
        <f t="shared" si="3"/>
        <v>0</v>
      </c>
      <c r="B121" s="53" t="s">
        <v>223</v>
      </c>
      <c r="C121" s="370" t="s">
        <v>224</v>
      </c>
      <c r="D121" s="370"/>
      <c r="I121" s="8"/>
      <c r="J121" s="8"/>
    </row>
    <row r="122" spans="1:21" x14ac:dyDescent="0.2">
      <c r="A122" s="54"/>
      <c r="B122" s="55"/>
      <c r="C122" s="56"/>
      <c r="D122" s="56"/>
      <c r="I122" s="8"/>
      <c r="J122" s="8"/>
    </row>
    <row r="123" spans="1:21" x14ac:dyDescent="0.2">
      <c r="A123" s="54"/>
      <c r="B123" s="55"/>
      <c r="C123" s="56"/>
      <c r="D123" s="56"/>
      <c r="I123" s="8"/>
      <c r="J123" s="8"/>
    </row>
    <row r="124" spans="1:21" x14ac:dyDescent="0.2">
      <c r="A124" s="54"/>
      <c r="B124" s="55"/>
      <c r="C124" s="56"/>
      <c r="D124" s="56"/>
      <c r="I124" s="8"/>
      <c r="J124" s="8"/>
    </row>
    <row r="125" spans="1:21" x14ac:dyDescent="0.2">
      <c r="A125" s="54"/>
      <c r="B125" s="55"/>
      <c r="C125" s="56"/>
      <c r="D125" s="56"/>
      <c r="I125" s="8"/>
      <c r="J125" s="8"/>
    </row>
    <row r="126" spans="1:21" x14ac:dyDescent="0.2">
      <c r="A126" s="32"/>
      <c r="I126" s="8"/>
      <c r="J126" s="8"/>
    </row>
    <row r="127" spans="1:21" x14ac:dyDescent="0.2">
      <c r="A127" s="367" t="s">
        <v>225</v>
      </c>
      <c r="B127" s="368"/>
      <c r="C127" s="368"/>
      <c r="D127" s="368"/>
      <c r="I127" s="8"/>
      <c r="J127" s="8"/>
    </row>
    <row r="128" spans="1:21" x14ac:dyDescent="0.2">
      <c r="A128" s="52">
        <f t="shared" ref="A128:A140" si="4">COUNTIF($J$46:$J$111,B128)</f>
        <v>0</v>
      </c>
      <c r="B128" s="52" t="s">
        <v>170</v>
      </c>
      <c r="C128" s="356" t="s">
        <v>226</v>
      </c>
      <c r="D128" s="356"/>
      <c r="I128" s="8"/>
      <c r="J128" s="8"/>
    </row>
    <row r="129" spans="1:10" x14ac:dyDescent="0.2">
      <c r="A129" s="52">
        <f t="shared" si="4"/>
        <v>2</v>
      </c>
      <c r="B129" s="52" t="s">
        <v>191</v>
      </c>
      <c r="C129" s="356" t="s">
        <v>227</v>
      </c>
      <c r="D129" s="356"/>
      <c r="I129" s="8"/>
      <c r="J129" s="8"/>
    </row>
    <row r="130" spans="1:10" x14ac:dyDescent="0.2">
      <c r="A130" s="52">
        <f t="shared" si="4"/>
        <v>0</v>
      </c>
      <c r="B130" s="52" t="s">
        <v>179</v>
      </c>
      <c r="C130" s="356" t="s">
        <v>228</v>
      </c>
      <c r="D130" s="356"/>
      <c r="I130" s="8"/>
      <c r="J130" s="8"/>
    </row>
    <row r="131" spans="1:10" x14ac:dyDescent="0.2">
      <c r="A131" s="52">
        <f t="shared" si="4"/>
        <v>0</v>
      </c>
      <c r="B131" s="52" t="s">
        <v>229</v>
      </c>
      <c r="C131" s="356" t="s">
        <v>230</v>
      </c>
      <c r="D131" s="356"/>
      <c r="I131" s="8"/>
      <c r="J131" s="8"/>
    </row>
    <row r="132" spans="1:10" x14ac:dyDescent="0.2">
      <c r="A132" s="52">
        <f t="shared" si="4"/>
        <v>10</v>
      </c>
      <c r="B132" s="52" t="s">
        <v>174</v>
      </c>
      <c r="C132" s="356" t="s">
        <v>231</v>
      </c>
      <c r="D132" s="356"/>
      <c r="I132" s="8"/>
      <c r="J132" s="8"/>
    </row>
    <row r="133" spans="1:10" x14ac:dyDescent="0.2">
      <c r="A133" s="52">
        <f t="shared" si="4"/>
        <v>0</v>
      </c>
      <c r="B133" s="52" t="s">
        <v>232</v>
      </c>
      <c r="C133" s="356" t="s">
        <v>233</v>
      </c>
      <c r="D133" s="356"/>
      <c r="I133" s="8"/>
      <c r="J133" s="8"/>
    </row>
    <row r="134" spans="1:10" x14ac:dyDescent="0.2">
      <c r="A134" s="52">
        <f t="shared" si="4"/>
        <v>3</v>
      </c>
      <c r="B134" s="52" t="s">
        <v>187</v>
      </c>
      <c r="C134" s="356" t="s">
        <v>234</v>
      </c>
      <c r="D134" s="356"/>
      <c r="I134" s="8"/>
      <c r="J134" s="8"/>
    </row>
    <row r="135" spans="1:10" x14ac:dyDescent="0.2">
      <c r="A135" s="52">
        <f t="shared" si="4"/>
        <v>0</v>
      </c>
      <c r="B135" s="52" t="s">
        <v>235</v>
      </c>
      <c r="C135" s="356" t="s">
        <v>236</v>
      </c>
      <c r="D135" s="356"/>
      <c r="I135" s="8"/>
      <c r="J135" s="8"/>
    </row>
    <row r="136" spans="1:10" x14ac:dyDescent="0.2">
      <c r="A136" s="52">
        <f t="shared" si="4"/>
        <v>0</v>
      </c>
      <c r="B136" s="52" t="s">
        <v>185</v>
      </c>
      <c r="C136" s="356" t="s">
        <v>237</v>
      </c>
      <c r="D136" s="356"/>
      <c r="I136" s="8"/>
      <c r="J136" s="8"/>
    </row>
    <row r="137" spans="1:10" x14ac:dyDescent="0.2">
      <c r="A137" s="52">
        <f t="shared" si="4"/>
        <v>0</v>
      </c>
      <c r="B137" s="52" t="s">
        <v>238</v>
      </c>
      <c r="C137" s="356" t="s">
        <v>239</v>
      </c>
      <c r="D137" s="356"/>
      <c r="I137" s="8"/>
      <c r="J137" s="8"/>
    </row>
    <row r="138" spans="1:10" x14ac:dyDescent="0.2">
      <c r="A138" s="52">
        <f t="shared" si="4"/>
        <v>0</v>
      </c>
      <c r="B138" s="52" t="s">
        <v>240</v>
      </c>
      <c r="C138" s="356" t="s">
        <v>241</v>
      </c>
      <c r="D138" s="356"/>
      <c r="I138" s="8"/>
      <c r="J138" s="8"/>
    </row>
    <row r="139" spans="1:10" x14ac:dyDescent="0.2">
      <c r="A139" s="52">
        <f t="shared" si="4"/>
        <v>0</v>
      </c>
      <c r="B139" s="52" t="s">
        <v>242</v>
      </c>
      <c r="C139" s="356" t="s">
        <v>243</v>
      </c>
      <c r="D139" s="356"/>
      <c r="I139" s="8"/>
      <c r="J139" s="8"/>
    </row>
    <row r="140" spans="1:10" x14ac:dyDescent="0.2">
      <c r="A140" s="52">
        <f t="shared" si="4"/>
        <v>0</v>
      </c>
      <c r="B140" s="52" t="s">
        <v>244</v>
      </c>
      <c r="C140" s="356" t="s">
        <v>245</v>
      </c>
      <c r="D140" s="356"/>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x14ac:dyDescent="0.2">
      <c r="A145" s="32"/>
      <c r="I145" s="8"/>
      <c r="J145" s="8"/>
    </row>
    <row r="146" spans="1:10" ht="16" thickBot="1" x14ac:dyDescent="0.25">
      <c r="A146" s="32"/>
      <c r="I146" s="8"/>
      <c r="J146" s="8"/>
    </row>
    <row r="147" spans="1:10" ht="19" x14ac:dyDescent="0.2">
      <c r="A147" s="32"/>
      <c r="C147" s="349" t="s">
        <v>86</v>
      </c>
      <c r="D147" s="350"/>
      <c r="E147" s="350"/>
      <c r="F147" s="350"/>
      <c r="G147" s="351"/>
      <c r="I147" s="8"/>
      <c r="J147" s="8"/>
    </row>
    <row r="148" spans="1:10" ht="32" x14ac:dyDescent="0.2">
      <c r="A148" s="32"/>
      <c r="C148" s="68" t="s">
        <v>87</v>
      </c>
      <c r="D148" s="64" t="s">
        <v>88</v>
      </c>
      <c r="E148" s="64" t="s">
        <v>89</v>
      </c>
      <c r="F148" s="64" t="s">
        <v>90</v>
      </c>
      <c r="G148" s="66" t="s">
        <v>91</v>
      </c>
      <c r="I148" s="8"/>
      <c r="J148" s="8"/>
    </row>
    <row r="149" spans="1:10" x14ac:dyDescent="0.2">
      <c r="A149" s="32"/>
      <c r="C149" s="65">
        <v>244</v>
      </c>
      <c r="D149" s="65">
        <v>649</v>
      </c>
      <c r="E149" s="65">
        <v>91</v>
      </c>
      <c r="F149" s="65">
        <v>0</v>
      </c>
      <c r="G149" s="67">
        <f>SUM(B149:F149)</f>
        <v>984</v>
      </c>
      <c r="I149" s="8"/>
      <c r="J149" s="8"/>
    </row>
    <row r="150" spans="1:10" x14ac:dyDescent="0.2">
      <c r="A150" s="32"/>
      <c r="G150"/>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c r="I223" s="8"/>
      <c r="J223" s="8"/>
    </row>
    <row r="224" spans="1:10" x14ac:dyDescent="0.2">
      <c r="A224" s="32"/>
      <c r="I224" s="8"/>
      <c r="J224" s="8"/>
    </row>
    <row r="225" spans="1:1" x14ac:dyDescent="0.2">
      <c r="A225" s="32"/>
    </row>
    <row r="226" spans="1:1" x14ac:dyDescent="0.2">
      <c r="A226" s="32"/>
    </row>
    <row r="227" spans="1:1" x14ac:dyDescent="0.2">
      <c r="A227" s="32"/>
    </row>
    <row r="228" spans="1:1" x14ac:dyDescent="0.2">
      <c r="A228" s="32"/>
    </row>
    <row r="229" spans="1:1" x14ac:dyDescent="0.2">
      <c r="A229" s="32"/>
    </row>
    <row r="230" spans="1:1" x14ac:dyDescent="0.2">
      <c r="A230" s="32"/>
    </row>
    <row r="231" spans="1:1" x14ac:dyDescent="0.2">
      <c r="A231" s="32"/>
    </row>
    <row r="232" spans="1:1" x14ac:dyDescent="0.2">
      <c r="A232" s="32"/>
    </row>
    <row r="233" spans="1:1" x14ac:dyDescent="0.2">
      <c r="A233" s="32"/>
    </row>
    <row r="234" spans="1:1" x14ac:dyDescent="0.2">
      <c r="A234" s="32"/>
    </row>
    <row r="235" spans="1:1" x14ac:dyDescent="0.2">
      <c r="A235" s="32"/>
    </row>
    <row r="236" spans="1:1" x14ac:dyDescent="0.2">
      <c r="A236" s="32"/>
    </row>
    <row r="237" spans="1:1" x14ac:dyDescent="0.2">
      <c r="A237" s="32"/>
    </row>
    <row r="238" spans="1:1" x14ac:dyDescent="0.2">
      <c r="A238" s="32"/>
    </row>
    <row r="239" spans="1:1" x14ac:dyDescent="0.2">
      <c r="A239" s="32"/>
    </row>
    <row r="240" spans="1:1" x14ac:dyDescent="0.2">
      <c r="A240" s="32"/>
    </row>
    <row r="241" spans="1:1" x14ac:dyDescent="0.2">
      <c r="A241" s="32"/>
    </row>
    <row r="242" spans="1:1" x14ac:dyDescent="0.2">
      <c r="A242" s="32"/>
    </row>
    <row r="243" spans="1:1" x14ac:dyDescent="0.2">
      <c r="A243" s="32"/>
    </row>
    <row r="244" spans="1:1" x14ac:dyDescent="0.2">
      <c r="A244" s="32"/>
    </row>
    <row r="245" spans="1:1" x14ac:dyDescent="0.2">
      <c r="A245" s="32"/>
    </row>
    <row r="246" spans="1:1" x14ac:dyDescent="0.2">
      <c r="A246" s="32"/>
    </row>
    <row r="247" spans="1:1" x14ac:dyDescent="0.2">
      <c r="A247" s="32"/>
    </row>
    <row r="248" spans="1:1" x14ac:dyDescent="0.2">
      <c r="A248" s="32"/>
    </row>
    <row r="249" spans="1:1" x14ac:dyDescent="0.2">
      <c r="A249" s="32"/>
    </row>
    <row r="250" spans="1:1" x14ac:dyDescent="0.2">
      <c r="A250" s="32"/>
    </row>
  </sheetData>
  <autoFilter ref="A1:BJ1" xr:uid="{4BD94777-8D83-43CD-BD7A-3E32F6BB8F6B}"/>
  <mergeCells count="99">
    <mergeCell ref="C99:H99"/>
    <mergeCell ref="C100:H100"/>
    <mergeCell ref="C86:H86"/>
    <mergeCell ref="C94:H94"/>
    <mergeCell ref="C95:H95"/>
    <mergeCell ref="C96:H96"/>
    <mergeCell ref="C97:H97"/>
    <mergeCell ref="C89:H89"/>
    <mergeCell ref="C90:H90"/>
    <mergeCell ref="C91:H91"/>
    <mergeCell ref="C92:H92"/>
    <mergeCell ref="T31:V31"/>
    <mergeCell ref="W31:Y31"/>
    <mergeCell ref="Z31:AB31"/>
    <mergeCell ref="AC31:AE31"/>
    <mergeCell ref="AF31:AH31"/>
    <mergeCell ref="C47:H47"/>
    <mergeCell ref="C147:G147"/>
    <mergeCell ref="C31:D31"/>
    <mergeCell ref="C93:H93"/>
    <mergeCell ref="C78:H78"/>
    <mergeCell ref="C79:H79"/>
    <mergeCell ref="C80:H80"/>
    <mergeCell ref="C81:H81"/>
    <mergeCell ref="C82:H82"/>
    <mergeCell ref="C83:H83"/>
    <mergeCell ref="C84:H84"/>
    <mergeCell ref="C85:H85"/>
    <mergeCell ref="C87:H87"/>
    <mergeCell ref="C88:H88"/>
    <mergeCell ref="C116:D116"/>
    <mergeCell ref="C98:H98"/>
    <mergeCell ref="M32:O32"/>
    <mergeCell ref="H33:I33"/>
    <mergeCell ref="A45:C45"/>
    <mergeCell ref="C46:H46"/>
    <mergeCell ref="C77:H77"/>
    <mergeCell ref="C48:H48"/>
    <mergeCell ref="C49:H49"/>
    <mergeCell ref="C50:H50"/>
    <mergeCell ref="C51:H51"/>
    <mergeCell ref="C58:H58"/>
    <mergeCell ref="C65:H65"/>
    <mergeCell ref="C66:H66"/>
    <mergeCell ref="C67:H67"/>
    <mergeCell ref="C68:H68"/>
    <mergeCell ref="C75:H75"/>
    <mergeCell ref="C76:H76"/>
    <mergeCell ref="C101:H101"/>
    <mergeCell ref="C102:H102"/>
    <mergeCell ref="A110:D110"/>
    <mergeCell ref="C111:D111"/>
    <mergeCell ref="C112:D112"/>
    <mergeCell ref="C105:H105"/>
    <mergeCell ref="C106:H106"/>
    <mergeCell ref="C107:H107"/>
    <mergeCell ref="C108:H108"/>
    <mergeCell ref="C103:H103"/>
    <mergeCell ref="C104:H104"/>
    <mergeCell ref="C113:D113"/>
    <mergeCell ref="C114:D114"/>
    <mergeCell ref="C115:D115"/>
    <mergeCell ref="C133:D133"/>
    <mergeCell ref="C117:D117"/>
    <mergeCell ref="C118:D118"/>
    <mergeCell ref="C119:D119"/>
    <mergeCell ref="C121:D121"/>
    <mergeCell ref="C128:D128"/>
    <mergeCell ref="C129:D129"/>
    <mergeCell ref="C130:D130"/>
    <mergeCell ref="C131:D131"/>
    <mergeCell ref="C132:D132"/>
    <mergeCell ref="C120:D120"/>
    <mergeCell ref="A127:D127"/>
    <mergeCell ref="C134:D134"/>
    <mergeCell ref="C135:D135"/>
    <mergeCell ref="C136:D136"/>
    <mergeCell ref="C137:D137"/>
    <mergeCell ref="C140:D140"/>
    <mergeCell ref="C138:D138"/>
    <mergeCell ref="C139:D139"/>
    <mergeCell ref="C62:H62"/>
    <mergeCell ref="C64:H64"/>
    <mergeCell ref="C63:H63"/>
    <mergeCell ref="C59:H59"/>
    <mergeCell ref="C60:H60"/>
    <mergeCell ref="C61:H61"/>
    <mergeCell ref="C52:H52"/>
    <mergeCell ref="C53:H53"/>
    <mergeCell ref="C54:H54"/>
    <mergeCell ref="C57:H57"/>
    <mergeCell ref="C56:H56"/>
    <mergeCell ref="C55:H55"/>
    <mergeCell ref="C74:H74"/>
    <mergeCell ref="C69:H69"/>
    <mergeCell ref="C70:H70"/>
    <mergeCell ref="C71:H71"/>
    <mergeCell ref="C72:H72"/>
    <mergeCell ref="C73:H73"/>
  </mergeCells>
  <dataValidations count="2">
    <dataValidation type="list" allowBlank="1" showInputMessage="1" showErrorMessage="1" sqref="J46:J108" xr:uid="{B0FC305F-6C73-407B-9F26-B3B5AAE2DC18}">
      <formula1>$B$127:$B$140</formula1>
    </dataValidation>
    <dataValidation type="list" allowBlank="1" showInputMessage="1" showErrorMessage="1" sqref="I46:I108" xr:uid="{520A1348-7406-437C-8A2D-26AEA14227BF}">
      <formula1>$B$111:$B$121</formula1>
    </dataValidation>
  </dataValidations>
  <pageMargins left="0.7" right="0.7" top="0.75" bottom="0.75" header="0.3" footer="0.3"/>
  <pageSetup orientation="portrait" r:id="rId1"/>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D0F11-62FE-4B7F-9D19-60304DC90446}">
  <sheetPr codeName="Hoja25"/>
  <dimension ref="A1:AP248"/>
  <sheetViews>
    <sheetView zoomScale="85" zoomScaleNormal="85" workbookViewId="0">
      <pane xSplit="11" ySplit="1" topLeftCell="L2"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13.5" style="1" customWidth="1"/>
    <col min="23" max="23" width="4.6640625" style="1" customWidth="1"/>
    <col min="24" max="24" width="13.5" style="1" customWidth="1"/>
    <col min="25" max="25" width="4.6640625" style="1" customWidth="1"/>
    <col min="26" max="26" width="13.5" style="1" customWidth="1"/>
    <col min="27" max="27" width="4.6640625" style="1" customWidth="1"/>
    <col min="28" max="28" width="13.5" style="1" customWidth="1"/>
    <col min="29" max="29" width="13" style="1" bestFit="1" customWidth="1"/>
    <col min="30" max="30" width="4.6640625" style="48" customWidth="1"/>
    <col min="31" max="31" width="11.5" style="48" bestFit="1" customWidth="1"/>
    <col min="32" max="32" width="16.6640625" style="48" bestFit="1" customWidth="1"/>
    <col min="33" max="33" width="4.6640625" style="1" customWidth="1"/>
    <col min="34" max="34" width="11.5" style="1" bestFit="1" customWidth="1"/>
    <col min="35" max="38" width="9.1640625" style="1"/>
    <col min="39" max="39" width="15.5" style="1" bestFit="1" customWidth="1"/>
    <col min="40" max="16384" width="11.5" style="1"/>
  </cols>
  <sheetData>
    <row r="1" spans="1:42"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125</v>
      </c>
      <c r="AO1" s="304" t="s">
        <v>255</v>
      </c>
      <c r="AP1" s="304" t="s">
        <v>257</v>
      </c>
    </row>
    <row r="2" spans="1:42" s="48" customFormat="1" x14ac:dyDescent="0.2">
      <c r="A2" s="209"/>
      <c r="B2" s="8"/>
      <c r="C2" s="8"/>
      <c r="D2" s="8"/>
      <c r="E2" s="8"/>
      <c r="F2" s="8"/>
      <c r="G2" s="8"/>
      <c r="H2" s="8"/>
      <c r="I2" s="8"/>
      <c r="J2" s="37"/>
      <c r="K2" s="19">
        <v>0</v>
      </c>
      <c r="L2" s="198" t="s">
        <v>128</v>
      </c>
      <c r="M2" s="198" t="s">
        <v>128</v>
      </c>
      <c r="N2" s="197" t="s">
        <v>128</v>
      </c>
      <c r="O2" s="195">
        <v>1</v>
      </c>
      <c r="P2" s="45" t="s">
        <v>128</v>
      </c>
      <c r="Q2" s="45" t="s">
        <v>128</v>
      </c>
      <c r="R2" s="45" t="s">
        <v>128</v>
      </c>
      <c r="S2" s="45" t="s">
        <v>128</v>
      </c>
      <c r="T2" s="45" t="s">
        <v>128</v>
      </c>
      <c r="U2" s="45" t="s">
        <v>128</v>
      </c>
      <c r="V2" s="45" t="s">
        <v>128</v>
      </c>
      <c r="W2" s="45" t="s">
        <v>128</v>
      </c>
      <c r="X2" s="45" t="s">
        <v>128</v>
      </c>
      <c r="Y2" s="45" t="s">
        <v>128</v>
      </c>
      <c r="Z2" s="45" t="s">
        <v>128</v>
      </c>
      <c r="AA2" s="45" t="s">
        <v>128</v>
      </c>
      <c r="AB2" s="45" t="s">
        <v>128</v>
      </c>
      <c r="AC2" s="107" t="s">
        <v>128</v>
      </c>
      <c r="AD2" s="107" t="s">
        <v>128</v>
      </c>
      <c r="AE2" s="107" t="s">
        <v>128</v>
      </c>
      <c r="AF2" s="107" t="s">
        <v>128</v>
      </c>
      <c r="AG2" s="107" t="s">
        <v>128</v>
      </c>
      <c r="AH2" s="107" t="s">
        <v>128</v>
      </c>
      <c r="AI2" s="228"/>
      <c r="AJ2" s="228"/>
      <c r="AK2" s="228"/>
      <c r="AL2" s="228"/>
      <c r="AM2" s="228"/>
      <c r="AN2" s="228"/>
      <c r="AO2" s="140"/>
      <c r="AP2" s="140"/>
    </row>
    <row r="3" spans="1:42" s="48" customFormat="1" x14ac:dyDescent="0.2">
      <c r="A3" s="22"/>
      <c r="B3" s="22"/>
      <c r="C3" s="22"/>
      <c r="D3" s="22"/>
      <c r="E3" s="22"/>
      <c r="F3" s="22"/>
      <c r="G3" s="22"/>
      <c r="H3" s="22"/>
      <c r="I3" s="22"/>
      <c r="J3" s="36"/>
      <c r="K3" s="19">
        <v>0</v>
      </c>
      <c r="L3" s="198" t="s">
        <v>128</v>
      </c>
      <c r="M3" s="198" t="s">
        <v>128</v>
      </c>
      <c r="N3" s="197" t="s">
        <v>128</v>
      </c>
      <c r="O3" s="195">
        <v>1</v>
      </c>
      <c r="P3" s="45" t="s">
        <v>128</v>
      </c>
      <c r="Q3" s="45" t="s">
        <v>128</v>
      </c>
      <c r="R3" s="45" t="s">
        <v>128</v>
      </c>
      <c r="S3" s="45" t="s">
        <v>128</v>
      </c>
      <c r="T3" s="45" t="s">
        <v>128</v>
      </c>
      <c r="U3" s="45" t="s">
        <v>128</v>
      </c>
      <c r="V3" s="45" t="s">
        <v>128</v>
      </c>
      <c r="W3" s="45" t="s">
        <v>128</v>
      </c>
      <c r="X3" s="45" t="s">
        <v>128</v>
      </c>
      <c r="Y3" s="45" t="s">
        <v>128</v>
      </c>
      <c r="Z3" s="45" t="s">
        <v>128</v>
      </c>
      <c r="AA3" s="45" t="s">
        <v>128</v>
      </c>
      <c r="AB3" s="45" t="s">
        <v>128</v>
      </c>
      <c r="AC3" s="107" t="s">
        <v>128</v>
      </c>
      <c r="AD3" s="107" t="s">
        <v>128</v>
      </c>
      <c r="AE3" s="107" t="s">
        <v>128</v>
      </c>
      <c r="AF3" s="107" t="s">
        <v>128</v>
      </c>
      <c r="AG3" s="107" t="s">
        <v>128</v>
      </c>
      <c r="AH3" s="107" t="s">
        <v>128</v>
      </c>
      <c r="AI3" s="228"/>
      <c r="AJ3" s="228"/>
      <c r="AK3" s="228"/>
      <c r="AL3" s="228"/>
      <c r="AM3" s="228"/>
      <c r="AN3" s="228"/>
      <c r="AO3" s="140"/>
      <c r="AP3" s="140"/>
    </row>
    <row r="4" spans="1:42" s="48" customFormat="1" x14ac:dyDescent="0.2">
      <c r="A4" s="209"/>
      <c r="B4" s="8"/>
      <c r="C4" s="8"/>
      <c r="D4" s="8"/>
      <c r="E4" s="8"/>
      <c r="F4" s="8"/>
      <c r="G4" s="8"/>
      <c r="H4" s="8"/>
      <c r="I4" s="8"/>
      <c r="J4" s="37"/>
      <c r="K4" s="19">
        <v>0</v>
      </c>
      <c r="L4" s="198" t="s">
        <v>128</v>
      </c>
      <c r="M4" s="198" t="s">
        <v>128</v>
      </c>
      <c r="N4" s="197" t="s">
        <v>128</v>
      </c>
      <c r="O4" s="195">
        <v>1</v>
      </c>
      <c r="P4" s="45" t="s">
        <v>128</v>
      </c>
      <c r="Q4" s="45" t="s">
        <v>128</v>
      </c>
      <c r="R4" s="45" t="s">
        <v>128</v>
      </c>
      <c r="S4" s="45" t="s">
        <v>128</v>
      </c>
      <c r="T4" s="45" t="s">
        <v>128</v>
      </c>
      <c r="U4" s="45" t="s">
        <v>128</v>
      </c>
      <c r="V4" s="45" t="s">
        <v>128</v>
      </c>
      <c r="W4" s="45" t="s">
        <v>128</v>
      </c>
      <c r="X4" s="45" t="s">
        <v>128</v>
      </c>
      <c r="Y4" s="45" t="s">
        <v>128</v>
      </c>
      <c r="Z4" s="45" t="s">
        <v>128</v>
      </c>
      <c r="AA4" s="45" t="s">
        <v>128</v>
      </c>
      <c r="AB4" s="45" t="s">
        <v>128</v>
      </c>
      <c r="AC4" s="107" t="s">
        <v>128</v>
      </c>
      <c r="AD4" s="107" t="s">
        <v>128</v>
      </c>
      <c r="AE4" s="107" t="s">
        <v>128</v>
      </c>
      <c r="AF4" s="107" t="s">
        <v>128</v>
      </c>
      <c r="AG4" s="107" t="s">
        <v>128</v>
      </c>
      <c r="AH4" s="107" t="s">
        <v>128</v>
      </c>
      <c r="AI4" s="228"/>
      <c r="AJ4" s="228"/>
      <c r="AK4" s="228"/>
      <c r="AL4" s="228"/>
      <c r="AM4" s="228"/>
      <c r="AN4" s="228"/>
      <c r="AO4" s="140"/>
      <c r="AP4" s="140"/>
    </row>
    <row r="5" spans="1:42" s="48" customFormat="1" x14ac:dyDescent="0.2">
      <c r="A5" s="22"/>
      <c r="B5" s="22"/>
      <c r="C5" s="22"/>
      <c r="D5" s="22"/>
      <c r="E5" s="22"/>
      <c r="F5" s="22"/>
      <c r="G5" s="22"/>
      <c r="H5" s="22"/>
      <c r="I5" s="22"/>
      <c r="J5" s="36"/>
      <c r="K5" s="19">
        <v>0</v>
      </c>
      <c r="L5" s="198" t="s">
        <v>128</v>
      </c>
      <c r="M5" s="198" t="s">
        <v>128</v>
      </c>
      <c r="N5" s="197" t="s">
        <v>128</v>
      </c>
      <c r="O5" s="195">
        <v>1</v>
      </c>
      <c r="P5" s="45" t="s">
        <v>128</v>
      </c>
      <c r="Q5" s="45" t="s">
        <v>128</v>
      </c>
      <c r="R5" s="45" t="s">
        <v>128</v>
      </c>
      <c r="S5" s="45" t="s">
        <v>128</v>
      </c>
      <c r="T5" s="45" t="s">
        <v>128</v>
      </c>
      <c r="U5" s="45" t="s">
        <v>128</v>
      </c>
      <c r="V5" s="45" t="s">
        <v>128</v>
      </c>
      <c r="W5" s="45" t="s">
        <v>128</v>
      </c>
      <c r="X5" s="45" t="s">
        <v>128</v>
      </c>
      <c r="Y5" s="45" t="s">
        <v>128</v>
      </c>
      <c r="Z5" s="45" t="s">
        <v>128</v>
      </c>
      <c r="AA5" s="45" t="s">
        <v>128</v>
      </c>
      <c r="AB5" s="45" t="s">
        <v>128</v>
      </c>
      <c r="AC5" s="107" t="s">
        <v>128</v>
      </c>
      <c r="AD5" s="107" t="s">
        <v>128</v>
      </c>
      <c r="AE5" s="107" t="s">
        <v>128</v>
      </c>
      <c r="AF5" s="107" t="s">
        <v>128</v>
      </c>
      <c r="AG5" s="107" t="s">
        <v>128</v>
      </c>
      <c r="AH5" s="107" t="s">
        <v>128</v>
      </c>
      <c r="AI5" s="228"/>
      <c r="AJ5" s="228"/>
      <c r="AK5" s="228"/>
      <c r="AL5" s="228"/>
      <c r="AM5" s="228"/>
      <c r="AN5" s="228"/>
      <c r="AO5" s="140"/>
      <c r="AP5" s="140"/>
    </row>
    <row r="6" spans="1:42" s="48" customFormat="1" x14ac:dyDescent="0.2">
      <c r="A6" s="209"/>
      <c r="B6" s="8"/>
      <c r="C6" s="8"/>
      <c r="D6" s="8"/>
      <c r="E6" s="8"/>
      <c r="F6" s="8"/>
      <c r="G6" s="8"/>
      <c r="H6" s="8"/>
      <c r="I6" s="8"/>
      <c r="J6" s="37"/>
      <c r="K6" s="19">
        <v>0</v>
      </c>
      <c r="L6" s="198" t="s">
        <v>128</v>
      </c>
      <c r="M6" s="198" t="s">
        <v>128</v>
      </c>
      <c r="N6" s="197" t="s">
        <v>128</v>
      </c>
      <c r="O6" s="195">
        <v>1</v>
      </c>
      <c r="P6" s="45" t="s">
        <v>128</v>
      </c>
      <c r="Q6" s="45" t="s">
        <v>128</v>
      </c>
      <c r="R6" s="45" t="s">
        <v>128</v>
      </c>
      <c r="S6" s="45" t="s">
        <v>128</v>
      </c>
      <c r="T6" s="45" t="s">
        <v>128</v>
      </c>
      <c r="U6" s="45" t="s">
        <v>128</v>
      </c>
      <c r="V6" s="45" t="s">
        <v>128</v>
      </c>
      <c r="W6" s="45" t="s">
        <v>128</v>
      </c>
      <c r="X6" s="45" t="s">
        <v>128</v>
      </c>
      <c r="Y6" s="45" t="s">
        <v>128</v>
      </c>
      <c r="Z6" s="45" t="s">
        <v>128</v>
      </c>
      <c r="AA6" s="45" t="s">
        <v>128</v>
      </c>
      <c r="AB6" s="45" t="s">
        <v>128</v>
      </c>
      <c r="AC6" s="107" t="s">
        <v>128</v>
      </c>
      <c r="AD6" s="107" t="s">
        <v>128</v>
      </c>
      <c r="AE6" s="107" t="s">
        <v>128</v>
      </c>
      <c r="AF6" s="107" t="s">
        <v>128</v>
      </c>
      <c r="AG6" s="107" t="s">
        <v>128</v>
      </c>
      <c r="AH6" s="107" t="s">
        <v>128</v>
      </c>
      <c r="AI6" s="228"/>
      <c r="AJ6" s="228"/>
      <c r="AK6" s="228"/>
      <c r="AL6" s="228"/>
      <c r="AM6" s="228"/>
      <c r="AN6" s="228"/>
      <c r="AO6" s="140"/>
      <c r="AP6" s="140"/>
    </row>
    <row r="7" spans="1:42" s="48" customFormat="1" x14ac:dyDescent="0.2">
      <c r="A7" s="22"/>
      <c r="B7" s="22"/>
      <c r="C7" s="22"/>
      <c r="D7" s="22"/>
      <c r="E7" s="22"/>
      <c r="F7" s="22"/>
      <c r="G7" s="22"/>
      <c r="H7" s="22"/>
      <c r="I7" s="22"/>
      <c r="J7" s="36"/>
      <c r="K7" s="19">
        <v>0</v>
      </c>
      <c r="L7" s="198" t="s">
        <v>128</v>
      </c>
      <c r="M7" s="198" t="s">
        <v>128</v>
      </c>
      <c r="N7" s="197" t="s">
        <v>128</v>
      </c>
      <c r="O7" s="195">
        <v>1</v>
      </c>
      <c r="P7" s="45" t="s">
        <v>128</v>
      </c>
      <c r="Q7" s="45" t="s">
        <v>128</v>
      </c>
      <c r="R7" s="45" t="s">
        <v>128</v>
      </c>
      <c r="S7" s="45" t="s">
        <v>128</v>
      </c>
      <c r="T7" s="45" t="s">
        <v>128</v>
      </c>
      <c r="U7" s="45" t="s">
        <v>128</v>
      </c>
      <c r="V7" s="45" t="s">
        <v>128</v>
      </c>
      <c r="W7" s="45" t="s">
        <v>128</v>
      </c>
      <c r="X7" s="45" t="s">
        <v>128</v>
      </c>
      <c r="Y7" s="45" t="s">
        <v>128</v>
      </c>
      <c r="Z7" s="45" t="s">
        <v>128</v>
      </c>
      <c r="AA7" s="45" t="s">
        <v>128</v>
      </c>
      <c r="AB7" s="45" t="s">
        <v>128</v>
      </c>
      <c r="AC7" s="107" t="s">
        <v>128</v>
      </c>
      <c r="AD7" s="107" t="s">
        <v>128</v>
      </c>
      <c r="AE7" s="107" t="s">
        <v>128</v>
      </c>
      <c r="AF7" s="107" t="s">
        <v>128</v>
      </c>
      <c r="AG7" s="107" t="s">
        <v>128</v>
      </c>
      <c r="AH7" s="107" t="s">
        <v>128</v>
      </c>
      <c r="AI7" s="228"/>
      <c r="AJ7" s="228"/>
      <c r="AK7" s="228"/>
      <c r="AL7" s="228"/>
      <c r="AM7" s="228"/>
      <c r="AN7" s="228"/>
      <c r="AO7" s="140"/>
      <c r="AP7" s="140"/>
    </row>
    <row r="8" spans="1:42" s="48" customFormat="1" x14ac:dyDescent="0.2">
      <c r="A8" s="209"/>
      <c r="B8" s="8"/>
      <c r="C8" s="8"/>
      <c r="D8" s="8"/>
      <c r="E8" s="8"/>
      <c r="F8" s="8"/>
      <c r="G8" s="8"/>
      <c r="H8" s="8"/>
      <c r="I8" s="8"/>
      <c r="J8" s="37"/>
      <c r="K8" s="19">
        <v>0</v>
      </c>
      <c r="L8" s="198" t="s">
        <v>128</v>
      </c>
      <c r="M8" s="198" t="s">
        <v>128</v>
      </c>
      <c r="N8" s="197" t="s">
        <v>128</v>
      </c>
      <c r="O8" s="195">
        <v>1</v>
      </c>
      <c r="P8" s="45" t="s">
        <v>128</v>
      </c>
      <c r="Q8" s="45" t="s">
        <v>128</v>
      </c>
      <c r="R8" s="45" t="s">
        <v>128</v>
      </c>
      <c r="S8" s="45" t="s">
        <v>128</v>
      </c>
      <c r="T8" s="45" t="s">
        <v>128</v>
      </c>
      <c r="U8" s="45" t="s">
        <v>128</v>
      </c>
      <c r="V8" s="45" t="s">
        <v>128</v>
      </c>
      <c r="W8" s="45" t="s">
        <v>128</v>
      </c>
      <c r="X8" s="45" t="s">
        <v>128</v>
      </c>
      <c r="Y8" s="45" t="s">
        <v>128</v>
      </c>
      <c r="Z8" s="45" t="s">
        <v>128</v>
      </c>
      <c r="AA8" s="45" t="s">
        <v>128</v>
      </c>
      <c r="AB8" s="45" t="s">
        <v>128</v>
      </c>
      <c r="AC8" s="107" t="s">
        <v>128</v>
      </c>
      <c r="AD8" s="107" t="s">
        <v>128</v>
      </c>
      <c r="AE8" s="107" t="s">
        <v>128</v>
      </c>
      <c r="AF8" s="107" t="s">
        <v>128</v>
      </c>
      <c r="AG8" s="107" t="s">
        <v>128</v>
      </c>
      <c r="AH8" s="107" t="s">
        <v>128</v>
      </c>
      <c r="AI8" s="228"/>
      <c r="AJ8" s="228"/>
      <c r="AK8" s="228"/>
      <c r="AL8" s="228"/>
      <c r="AM8" s="228"/>
      <c r="AN8" s="228"/>
      <c r="AO8" s="140"/>
      <c r="AP8" s="140"/>
    </row>
    <row r="9" spans="1:42" s="48" customFormat="1" x14ac:dyDescent="0.2">
      <c r="A9" s="22"/>
      <c r="B9" s="22"/>
      <c r="C9" s="22"/>
      <c r="D9" s="22"/>
      <c r="E9" s="22"/>
      <c r="F9" s="22"/>
      <c r="G9" s="22"/>
      <c r="H9" s="22"/>
      <c r="I9" s="22"/>
      <c r="J9" s="36"/>
      <c r="K9" s="19">
        <v>0</v>
      </c>
      <c r="L9" s="198" t="s">
        <v>128</v>
      </c>
      <c r="M9" s="198" t="s">
        <v>128</v>
      </c>
      <c r="N9" s="197" t="s">
        <v>128</v>
      </c>
      <c r="O9" s="195">
        <v>1</v>
      </c>
      <c r="P9" s="45" t="s">
        <v>128</v>
      </c>
      <c r="Q9" s="45" t="s">
        <v>128</v>
      </c>
      <c r="R9" s="45" t="s">
        <v>128</v>
      </c>
      <c r="S9" s="45" t="s">
        <v>128</v>
      </c>
      <c r="T9" s="45" t="s">
        <v>128</v>
      </c>
      <c r="U9" s="45" t="s">
        <v>128</v>
      </c>
      <c r="V9" s="45" t="s">
        <v>128</v>
      </c>
      <c r="W9" s="45" t="s">
        <v>128</v>
      </c>
      <c r="X9" s="45" t="s">
        <v>128</v>
      </c>
      <c r="Y9" s="45" t="s">
        <v>128</v>
      </c>
      <c r="Z9" s="45" t="s">
        <v>128</v>
      </c>
      <c r="AA9" s="45" t="s">
        <v>128</v>
      </c>
      <c r="AB9" s="45" t="s">
        <v>128</v>
      </c>
      <c r="AC9" s="107" t="s">
        <v>128</v>
      </c>
      <c r="AD9" s="107" t="s">
        <v>128</v>
      </c>
      <c r="AE9" s="107" t="s">
        <v>128</v>
      </c>
      <c r="AF9" s="107" t="s">
        <v>128</v>
      </c>
      <c r="AG9" s="107" t="s">
        <v>128</v>
      </c>
      <c r="AH9" s="107" t="s">
        <v>128</v>
      </c>
      <c r="AI9" s="228"/>
      <c r="AJ9" s="228"/>
      <c r="AK9" s="228"/>
      <c r="AL9" s="228"/>
      <c r="AM9" s="228"/>
      <c r="AN9" s="228"/>
      <c r="AO9" s="140"/>
      <c r="AP9" s="140"/>
    </row>
    <row r="10" spans="1:42" s="48" customFormat="1" x14ac:dyDescent="0.2">
      <c r="A10" s="209"/>
      <c r="B10" s="8"/>
      <c r="C10" s="8"/>
      <c r="D10" s="8"/>
      <c r="E10" s="8"/>
      <c r="F10" s="8"/>
      <c r="G10" s="8"/>
      <c r="H10" s="8"/>
      <c r="I10" s="8"/>
      <c r="J10" s="37"/>
      <c r="K10" s="19">
        <v>0</v>
      </c>
      <c r="L10" s="198" t="s">
        <v>128</v>
      </c>
      <c r="M10" s="198" t="s">
        <v>128</v>
      </c>
      <c r="N10" s="197" t="s">
        <v>128</v>
      </c>
      <c r="O10" s="195">
        <v>1</v>
      </c>
      <c r="P10" s="45" t="s">
        <v>128</v>
      </c>
      <c r="Q10" s="45" t="s">
        <v>128</v>
      </c>
      <c r="R10" s="45" t="s">
        <v>128</v>
      </c>
      <c r="S10" s="45" t="s">
        <v>128</v>
      </c>
      <c r="T10" s="45" t="s">
        <v>128</v>
      </c>
      <c r="U10" s="45" t="s">
        <v>128</v>
      </c>
      <c r="V10" s="45" t="s">
        <v>128</v>
      </c>
      <c r="W10" s="45" t="s">
        <v>128</v>
      </c>
      <c r="X10" s="45" t="s">
        <v>128</v>
      </c>
      <c r="Y10" s="45" t="s">
        <v>128</v>
      </c>
      <c r="Z10" s="45" t="s">
        <v>128</v>
      </c>
      <c r="AA10" s="45" t="s">
        <v>128</v>
      </c>
      <c r="AB10" s="45" t="s">
        <v>128</v>
      </c>
      <c r="AC10" s="107" t="s">
        <v>128</v>
      </c>
      <c r="AD10" s="107" t="s">
        <v>128</v>
      </c>
      <c r="AE10" s="107" t="s">
        <v>128</v>
      </c>
      <c r="AF10" s="107" t="s">
        <v>128</v>
      </c>
      <c r="AG10" s="107" t="s">
        <v>128</v>
      </c>
      <c r="AH10" s="107" t="s">
        <v>128</v>
      </c>
      <c r="AI10" s="228"/>
      <c r="AJ10" s="228"/>
      <c r="AK10" s="228"/>
      <c r="AL10" s="228"/>
      <c r="AM10" s="228"/>
      <c r="AN10" s="228"/>
      <c r="AO10" s="140"/>
      <c r="AP10" s="140"/>
    </row>
    <row r="11" spans="1:42" s="48" customFormat="1" x14ac:dyDescent="0.2">
      <c r="A11" s="22"/>
      <c r="B11" s="22"/>
      <c r="C11" s="22"/>
      <c r="D11" s="22"/>
      <c r="E11" s="22"/>
      <c r="F11" s="22"/>
      <c r="G11" s="22"/>
      <c r="H11" s="22"/>
      <c r="I11" s="22"/>
      <c r="J11" s="36"/>
      <c r="K11" s="19">
        <v>0</v>
      </c>
      <c r="L11" s="198" t="s">
        <v>128</v>
      </c>
      <c r="M11" s="198" t="s">
        <v>128</v>
      </c>
      <c r="N11" s="197" t="s">
        <v>128</v>
      </c>
      <c r="O11" s="195">
        <v>1</v>
      </c>
      <c r="P11" s="45" t="s">
        <v>128</v>
      </c>
      <c r="Q11" s="45" t="s">
        <v>128</v>
      </c>
      <c r="R11" s="45" t="s">
        <v>128</v>
      </c>
      <c r="S11" s="45" t="s">
        <v>128</v>
      </c>
      <c r="T11" s="45" t="s">
        <v>128</v>
      </c>
      <c r="U11" s="45" t="s">
        <v>128</v>
      </c>
      <c r="V11" s="45" t="s">
        <v>128</v>
      </c>
      <c r="W11" s="45" t="s">
        <v>128</v>
      </c>
      <c r="X11" s="45" t="s">
        <v>128</v>
      </c>
      <c r="Y11" s="45" t="s">
        <v>128</v>
      </c>
      <c r="Z11" s="45" t="s">
        <v>128</v>
      </c>
      <c r="AA11" s="45" t="s">
        <v>128</v>
      </c>
      <c r="AB11" s="45" t="s">
        <v>128</v>
      </c>
      <c r="AC11" s="107" t="s">
        <v>128</v>
      </c>
      <c r="AD11" s="107" t="s">
        <v>128</v>
      </c>
      <c r="AE11" s="107" t="s">
        <v>128</v>
      </c>
      <c r="AF11" s="107" t="s">
        <v>128</v>
      </c>
      <c r="AG11" s="107" t="s">
        <v>128</v>
      </c>
      <c r="AH11" s="107" t="s">
        <v>128</v>
      </c>
      <c r="AI11" s="228"/>
      <c r="AJ11" s="228"/>
      <c r="AK11" s="228"/>
      <c r="AL11" s="228"/>
      <c r="AM11" s="228"/>
      <c r="AN11" s="228"/>
      <c r="AO11" s="140"/>
      <c r="AP11" s="140"/>
    </row>
    <row r="12" spans="1:42" s="48" customFormat="1" x14ac:dyDescent="0.2">
      <c r="A12" s="209"/>
      <c r="B12" s="8"/>
      <c r="C12" s="8"/>
      <c r="D12" s="8"/>
      <c r="E12" s="8"/>
      <c r="F12" s="8"/>
      <c r="G12" s="8"/>
      <c r="H12" s="8"/>
      <c r="I12" s="8"/>
      <c r="J12" s="37"/>
      <c r="K12" s="19">
        <v>0</v>
      </c>
      <c r="L12" s="198" t="s">
        <v>128</v>
      </c>
      <c r="M12" s="198" t="s">
        <v>128</v>
      </c>
      <c r="N12" s="197" t="s">
        <v>128</v>
      </c>
      <c r="O12" s="195">
        <v>1</v>
      </c>
      <c r="P12" s="45" t="s">
        <v>128</v>
      </c>
      <c r="Q12" s="45" t="s">
        <v>128</v>
      </c>
      <c r="R12" s="45" t="s">
        <v>128</v>
      </c>
      <c r="S12" s="45" t="s">
        <v>128</v>
      </c>
      <c r="T12" s="45" t="s">
        <v>128</v>
      </c>
      <c r="U12" s="45" t="s">
        <v>128</v>
      </c>
      <c r="V12" s="45" t="s">
        <v>128</v>
      </c>
      <c r="W12" s="45" t="s">
        <v>128</v>
      </c>
      <c r="X12" s="45" t="s">
        <v>128</v>
      </c>
      <c r="Y12" s="45" t="s">
        <v>128</v>
      </c>
      <c r="Z12" s="45" t="s">
        <v>128</v>
      </c>
      <c r="AA12" s="45" t="s">
        <v>128</v>
      </c>
      <c r="AB12" s="45" t="s">
        <v>128</v>
      </c>
      <c r="AC12" s="107" t="s">
        <v>128</v>
      </c>
      <c r="AD12" s="107" t="s">
        <v>128</v>
      </c>
      <c r="AE12" s="107" t="s">
        <v>128</v>
      </c>
      <c r="AF12" s="107" t="s">
        <v>128</v>
      </c>
      <c r="AG12" s="107" t="s">
        <v>128</v>
      </c>
      <c r="AH12" s="107" t="s">
        <v>128</v>
      </c>
      <c r="AI12" s="228"/>
      <c r="AJ12" s="228"/>
      <c r="AK12" s="228"/>
      <c r="AL12" s="228"/>
      <c r="AM12" s="228"/>
      <c r="AN12" s="228"/>
      <c r="AO12" s="140"/>
      <c r="AP12" s="140"/>
    </row>
    <row r="13" spans="1:42" s="48" customFormat="1" x14ac:dyDescent="0.2">
      <c r="A13" s="22"/>
      <c r="B13" s="22"/>
      <c r="C13" s="22"/>
      <c r="D13" s="22"/>
      <c r="E13" s="22"/>
      <c r="F13" s="22"/>
      <c r="G13" s="22"/>
      <c r="H13" s="22"/>
      <c r="I13" s="22"/>
      <c r="J13" s="36"/>
      <c r="K13" s="19">
        <v>0</v>
      </c>
      <c r="L13" s="198" t="s">
        <v>128</v>
      </c>
      <c r="M13" s="198" t="s">
        <v>128</v>
      </c>
      <c r="N13" s="197" t="s">
        <v>128</v>
      </c>
      <c r="O13" s="195">
        <v>1</v>
      </c>
      <c r="P13" s="45" t="s">
        <v>128</v>
      </c>
      <c r="Q13" s="45" t="s">
        <v>128</v>
      </c>
      <c r="R13" s="45" t="s">
        <v>128</v>
      </c>
      <c r="S13" s="45" t="s">
        <v>128</v>
      </c>
      <c r="T13" s="45" t="s">
        <v>128</v>
      </c>
      <c r="U13" s="45" t="s">
        <v>128</v>
      </c>
      <c r="V13" s="45" t="s">
        <v>128</v>
      </c>
      <c r="W13" s="45" t="s">
        <v>128</v>
      </c>
      <c r="X13" s="45" t="s">
        <v>128</v>
      </c>
      <c r="Y13" s="45" t="s">
        <v>128</v>
      </c>
      <c r="Z13" s="45" t="s">
        <v>128</v>
      </c>
      <c r="AA13" s="45" t="s">
        <v>128</v>
      </c>
      <c r="AB13" s="45" t="s">
        <v>128</v>
      </c>
      <c r="AC13" s="107" t="s">
        <v>128</v>
      </c>
      <c r="AD13" s="107" t="s">
        <v>128</v>
      </c>
      <c r="AE13" s="107" t="s">
        <v>128</v>
      </c>
      <c r="AF13" s="107" t="s">
        <v>128</v>
      </c>
      <c r="AG13" s="107" t="s">
        <v>128</v>
      </c>
      <c r="AH13" s="107" t="s">
        <v>128</v>
      </c>
      <c r="AI13" s="228"/>
      <c r="AJ13" s="228"/>
      <c r="AK13" s="228"/>
      <c r="AL13" s="228"/>
      <c r="AM13" s="228"/>
      <c r="AN13" s="228"/>
      <c r="AO13" s="140"/>
      <c r="AP13" s="140"/>
    </row>
    <row r="14" spans="1:42" s="48" customFormat="1" x14ac:dyDescent="0.2">
      <c r="A14" s="209"/>
      <c r="B14" s="8"/>
      <c r="C14" s="8"/>
      <c r="D14" s="8"/>
      <c r="E14" s="8"/>
      <c r="F14" s="8"/>
      <c r="G14" s="8"/>
      <c r="H14" s="8"/>
      <c r="I14" s="8"/>
      <c r="J14" s="37"/>
      <c r="K14" s="19">
        <v>0</v>
      </c>
      <c r="L14" s="198" t="s">
        <v>128</v>
      </c>
      <c r="M14" s="198" t="s">
        <v>128</v>
      </c>
      <c r="N14" s="197" t="s">
        <v>128</v>
      </c>
      <c r="O14" s="195">
        <v>1</v>
      </c>
      <c r="P14" s="45" t="s">
        <v>128</v>
      </c>
      <c r="Q14" s="45" t="s">
        <v>128</v>
      </c>
      <c r="R14" s="45" t="s">
        <v>128</v>
      </c>
      <c r="S14" s="45" t="s">
        <v>128</v>
      </c>
      <c r="T14" s="45" t="s">
        <v>128</v>
      </c>
      <c r="U14" s="45" t="s">
        <v>128</v>
      </c>
      <c r="V14" s="45" t="s">
        <v>128</v>
      </c>
      <c r="W14" s="45" t="s">
        <v>128</v>
      </c>
      <c r="X14" s="45" t="s">
        <v>128</v>
      </c>
      <c r="Y14" s="45" t="s">
        <v>128</v>
      </c>
      <c r="Z14" s="45" t="s">
        <v>128</v>
      </c>
      <c r="AA14" s="45" t="s">
        <v>128</v>
      </c>
      <c r="AB14" s="45" t="s">
        <v>128</v>
      </c>
      <c r="AC14" s="107" t="s">
        <v>128</v>
      </c>
      <c r="AD14" s="107" t="s">
        <v>128</v>
      </c>
      <c r="AE14" s="107" t="s">
        <v>128</v>
      </c>
      <c r="AF14" s="107" t="s">
        <v>128</v>
      </c>
      <c r="AG14" s="107" t="s">
        <v>128</v>
      </c>
      <c r="AH14" s="107" t="s">
        <v>128</v>
      </c>
      <c r="AI14" s="228"/>
      <c r="AJ14" s="228"/>
      <c r="AK14" s="228"/>
      <c r="AL14" s="228"/>
      <c r="AM14" s="228"/>
      <c r="AN14" s="228"/>
      <c r="AO14" s="140"/>
      <c r="AP14" s="140"/>
    </row>
    <row r="15" spans="1:42" s="48" customFormat="1" x14ac:dyDescent="0.2">
      <c r="A15" s="22"/>
      <c r="B15" s="22"/>
      <c r="C15" s="22"/>
      <c r="D15" s="22"/>
      <c r="E15" s="22"/>
      <c r="F15" s="22"/>
      <c r="G15" s="22"/>
      <c r="H15" s="22"/>
      <c r="I15" s="22"/>
      <c r="J15" s="36"/>
      <c r="K15" s="19">
        <v>0</v>
      </c>
      <c r="L15" s="198" t="s">
        <v>128</v>
      </c>
      <c r="M15" s="198" t="s">
        <v>128</v>
      </c>
      <c r="N15" s="197" t="s">
        <v>128</v>
      </c>
      <c r="O15" s="195">
        <v>1</v>
      </c>
      <c r="P15" s="45" t="s">
        <v>128</v>
      </c>
      <c r="Q15" s="45" t="s">
        <v>128</v>
      </c>
      <c r="R15" s="45" t="s">
        <v>128</v>
      </c>
      <c r="S15" s="45" t="s">
        <v>128</v>
      </c>
      <c r="T15" s="45" t="s">
        <v>128</v>
      </c>
      <c r="U15" s="45" t="s">
        <v>128</v>
      </c>
      <c r="V15" s="45" t="s">
        <v>128</v>
      </c>
      <c r="W15" s="45" t="s">
        <v>128</v>
      </c>
      <c r="X15" s="45" t="s">
        <v>128</v>
      </c>
      <c r="Y15" s="45" t="s">
        <v>128</v>
      </c>
      <c r="Z15" s="45" t="s">
        <v>128</v>
      </c>
      <c r="AA15" s="45" t="s">
        <v>128</v>
      </c>
      <c r="AB15" s="45" t="s">
        <v>128</v>
      </c>
      <c r="AC15" s="107" t="s">
        <v>128</v>
      </c>
      <c r="AD15" s="107" t="s">
        <v>128</v>
      </c>
      <c r="AE15" s="107" t="s">
        <v>128</v>
      </c>
      <c r="AF15" s="107" t="s">
        <v>128</v>
      </c>
      <c r="AG15" s="107" t="s">
        <v>128</v>
      </c>
      <c r="AH15" s="107" t="s">
        <v>128</v>
      </c>
      <c r="AI15" s="228"/>
      <c r="AJ15" s="228"/>
      <c r="AK15" s="228"/>
      <c r="AL15" s="228"/>
      <c r="AM15" s="228"/>
      <c r="AN15" s="228"/>
      <c r="AO15" s="140"/>
      <c r="AP15" s="140"/>
    </row>
    <row r="16" spans="1:42" s="48" customFormat="1" x14ac:dyDescent="0.2">
      <c r="A16" s="209"/>
      <c r="B16" s="8"/>
      <c r="C16" s="8"/>
      <c r="D16" s="8"/>
      <c r="E16" s="8"/>
      <c r="F16" s="8"/>
      <c r="G16" s="8"/>
      <c r="H16" s="8"/>
      <c r="I16" s="8"/>
      <c r="J16" s="37"/>
      <c r="K16" s="19">
        <v>0</v>
      </c>
      <c r="L16" s="198" t="s">
        <v>128</v>
      </c>
      <c r="M16" s="198" t="s">
        <v>128</v>
      </c>
      <c r="N16" s="197" t="s">
        <v>128</v>
      </c>
      <c r="O16" s="195">
        <v>1</v>
      </c>
      <c r="P16" s="45" t="s">
        <v>128</v>
      </c>
      <c r="Q16" s="45" t="s">
        <v>128</v>
      </c>
      <c r="R16" s="45" t="s">
        <v>128</v>
      </c>
      <c r="S16" s="45" t="s">
        <v>128</v>
      </c>
      <c r="T16" s="45" t="s">
        <v>128</v>
      </c>
      <c r="U16" s="45" t="s">
        <v>128</v>
      </c>
      <c r="V16" s="45" t="s">
        <v>128</v>
      </c>
      <c r="W16" s="45" t="s">
        <v>128</v>
      </c>
      <c r="X16" s="45" t="s">
        <v>128</v>
      </c>
      <c r="Y16" s="45" t="s">
        <v>128</v>
      </c>
      <c r="Z16" s="45" t="s">
        <v>128</v>
      </c>
      <c r="AA16" s="45" t="s">
        <v>128</v>
      </c>
      <c r="AB16" s="45" t="s">
        <v>128</v>
      </c>
      <c r="AC16" s="107" t="s">
        <v>128</v>
      </c>
      <c r="AD16" s="107" t="s">
        <v>128</v>
      </c>
      <c r="AE16" s="107" t="s">
        <v>128</v>
      </c>
      <c r="AF16" s="107" t="s">
        <v>128</v>
      </c>
      <c r="AG16" s="107" t="s">
        <v>128</v>
      </c>
      <c r="AH16" s="107" t="s">
        <v>128</v>
      </c>
      <c r="AI16" s="228"/>
      <c r="AJ16" s="228"/>
      <c r="AK16" s="228"/>
      <c r="AL16" s="228"/>
      <c r="AM16" s="228"/>
      <c r="AN16" s="228"/>
      <c r="AO16" s="140"/>
      <c r="AP16" s="140"/>
    </row>
    <row r="17" spans="1:42" s="48" customFormat="1" x14ac:dyDescent="0.2">
      <c r="A17" s="22"/>
      <c r="B17" s="22"/>
      <c r="C17" s="22"/>
      <c r="D17" s="22"/>
      <c r="E17" s="22"/>
      <c r="F17" s="22"/>
      <c r="G17" s="22"/>
      <c r="H17" s="22"/>
      <c r="I17" s="22"/>
      <c r="J17" s="36"/>
      <c r="K17" s="19">
        <v>0</v>
      </c>
      <c r="L17" s="198" t="s">
        <v>128</v>
      </c>
      <c r="M17" s="198" t="s">
        <v>128</v>
      </c>
      <c r="N17" s="197" t="s">
        <v>128</v>
      </c>
      <c r="O17" s="195">
        <v>1</v>
      </c>
      <c r="P17" s="45" t="s">
        <v>128</v>
      </c>
      <c r="Q17" s="45" t="s">
        <v>128</v>
      </c>
      <c r="R17" s="45" t="s">
        <v>128</v>
      </c>
      <c r="S17" s="45" t="s">
        <v>128</v>
      </c>
      <c r="T17" s="45" t="s">
        <v>128</v>
      </c>
      <c r="U17" s="45" t="s">
        <v>128</v>
      </c>
      <c r="V17" s="45" t="s">
        <v>128</v>
      </c>
      <c r="W17" s="45" t="s">
        <v>128</v>
      </c>
      <c r="X17" s="45" t="s">
        <v>128</v>
      </c>
      <c r="Y17" s="45" t="s">
        <v>128</v>
      </c>
      <c r="Z17" s="45" t="s">
        <v>128</v>
      </c>
      <c r="AA17" s="45" t="s">
        <v>128</v>
      </c>
      <c r="AB17" s="45" t="s">
        <v>128</v>
      </c>
      <c r="AC17" s="107" t="s">
        <v>128</v>
      </c>
      <c r="AD17" s="107" t="s">
        <v>128</v>
      </c>
      <c r="AE17" s="107" t="s">
        <v>128</v>
      </c>
      <c r="AF17" s="107" t="s">
        <v>128</v>
      </c>
      <c r="AG17" s="107" t="s">
        <v>128</v>
      </c>
      <c r="AH17" s="107" t="s">
        <v>128</v>
      </c>
      <c r="AI17" s="228"/>
      <c r="AJ17" s="228"/>
      <c r="AK17" s="228"/>
      <c r="AL17" s="228"/>
      <c r="AM17" s="228"/>
      <c r="AN17" s="228"/>
      <c r="AO17" s="140"/>
      <c r="AP17" s="140"/>
    </row>
    <row r="18" spans="1:42" s="48" customFormat="1" x14ac:dyDescent="0.2">
      <c r="A18" s="209"/>
      <c r="B18" s="8"/>
      <c r="C18" s="8"/>
      <c r="D18" s="8"/>
      <c r="E18" s="8"/>
      <c r="F18" s="8"/>
      <c r="G18" s="8"/>
      <c r="H18" s="8"/>
      <c r="I18" s="8"/>
      <c r="J18" s="37"/>
      <c r="K18" s="19">
        <v>0</v>
      </c>
      <c r="L18" s="198" t="s">
        <v>128</v>
      </c>
      <c r="M18" s="198" t="s">
        <v>128</v>
      </c>
      <c r="N18" s="197" t="s">
        <v>128</v>
      </c>
      <c r="O18" s="195">
        <v>1</v>
      </c>
      <c r="P18" s="45" t="s">
        <v>128</v>
      </c>
      <c r="Q18" s="45" t="s">
        <v>128</v>
      </c>
      <c r="R18" s="45" t="s">
        <v>128</v>
      </c>
      <c r="S18" s="45" t="s">
        <v>128</v>
      </c>
      <c r="T18" s="45" t="s">
        <v>128</v>
      </c>
      <c r="U18" s="45" t="s">
        <v>128</v>
      </c>
      <c r="V18" s="45" t="s">
        <v>128</v>
      </c>
      <c r="W18" s="45" t="s">
        <v>128</v>
      </c>
      <c r="X18" s="45" t="s">
        <v>128</v>
      </c>
      <c r="Y18" s="45" t="s">
        <v>128</v>
      </c>
      <c r="Z18" s="45" t="s">
        <v>128</v>
      </c>
      <c r="AA18" s="45" t="s">
        <v>128</v>
      </c>
      <c r="AB18" s="45" t="s">
        <v>128</v>
      </c>
      <c r="AC18" s="107" t="s">
        <v>128</v>
      </c>
      <c r="AD18" s="107" t="s">
        <v>128</v>
      </c>
      <c r="AE18" s="107" t="s">
        <v>128</v>
      </c>
      <c r="AF18" s="107" t="s">
        <v>128</v>
      </c>
      <c r="AG18" s="107" t="s">
        <v>128</v>
      </c>
      <c r="AH18" s="107" t="s">
        <v>128</v>
      </c>
      <c r="AI18" s="228"/>
      <c r="AJ18" s="228"/>
      <c r="AK18" s="228"/>
      <c r="AL18" s="228"/>
      <c r="AM18" s="228"/>
      <c r="AN18" s="228"/>
      <c r="AO18" s="279"/>
      <c r="AP18" s="140"/>
    </row>
    <row r="19" spans="1:42" s="48" customFormat="1" x14ac:dyDescent="0.2">
      <c r="A19" s="22"/>
      <c r="B19" s="22"/>
      <c r="C19" s="22"/>
      <c r="D19" s="22"/>
      <c r="E19" s="22"/>
      <c r="F19" s="22"/>
      <c r="G19" s="22"/>
      <c r="H19" s="22"/>
      <c r="I19" s="22"/>
      <c r="J19" s="36"/>
      <c r="K19" s="19">
        <v>0</v>
      </c>
      <c r="L19" s="198" t="s">
        <v>128</v>
      </c>
      <c r="M19" s="198" t="s">
        <v>128</v>
      </c>
      <c r="N19" s="197" t="s">
        <v>128</v>
      </c>
      <c r="O19" s="195">
        <v>1</v>
      </c>
      <c r="P19" s="45" t="s">
        <v>128</v>
      </c>
      <c r="Q19" s="45" t="s">
        <v>128</v>
      </c>
      <c r="R19" s="45" t="s">
        <v>128</v>
      </c>
      <c r="S19" s="45" t="s">
        <v>128</v>
      </c>
      <c r="T19" s="45" t="s">
        <v>128</v>
      </c>
      <c r="U19" s="45" t="s">
        <v>128</v>
      </c>
      <c r="V19" s="45" t="s">
        <v>128</v>
      </c>
      <c r="W19" s="45" t="s">
        <v>128</v>
      </c>
      <c r="X19" s="45" t="s">
        <v>128</v>
      </c>
      <c r="Y19" s="45" t="s">
        <v>128</v>
      </c>
      <c r="Z19" s="45" t="s">
        <v>128</v>
      </c>
      <c r="AA19" s="45" t="s">
        <v>128</v>
      </c>
      <c r="AB19" s="45" t="s">
        <v>128</v>
      </c>
      <c r="AC19" s="107" t="s">
        <v>128</v>
      </c>
      <c r="AD19" s="107" t="s">
        <v>128</v>
      </c>
      <c r="AE19" s="107" t="s">
        <v>128</v>
      </c>
      <c r="AF19" s="107" t="s">
        <v>128</v>
      </c>
      <c r="AG19" s="107" t="s">
        <v>128</v>
      </c>
      <c r="AH19" s="107" t="s">
        <v>128</v>
      </c>
      <c r="AI19" s="228"/>
      <c r="AJ19" s="228"/>
      <c r="AK19" s="228"/>
      <c r="AL19" s="228"/>
      <c r="AM19" s="228"/>
      <c r="AN19" s="228"/>
      <c r="AO19" s="279"/>
      <c r="AP19" s="140"/>
    </row>
    <row r="20" spans="1:42" s="48" customFormat="1" x14ac:dyDescent="0.2">
      <c r="A20" s="209"/>
      <c r="B20" s="8"/>
      <c r="C20" s="8"/>
      <c r="D20" s="8"/>
      <c r="E20" s="8"/>
      <c r="F20" s="8"/>
      <c r="G20" s="8"/>
      <c r="H20" s="8"/>
      <c r="I20" s="8"/>
      <c r="J20" s="37"/>
      <c r="K20" s="19">
        <v>0</v>
      </c>
      <c r="L20" s="198" t="s">
        <v>128</v>
      </c>
      <c r="M20" s="198" t="s">
        <v>128</v>
      </c>
      <c r="N20" s="197" t="s">
        <v>128</v>
      </c>
      <c r="O20" s="195">
        <v>1</v>
      </c>
      <c r="P20" s="45" t="s">
        <v>128</v>
      </c>
      <c r="Q20" s="45" t="s">
        <v>128</v>
      </c>
      <c r="R20" s="45" t="s">
        <v>128</v>
      </c>
      <c r="S20" s="45" t="s">
        <v>128</v>
      </c>
      <c r="T20" s="45" t="s">
        <v>128</v>
      </c>
      <c r="U20" s="45" t="s">
        <v>128</v>
      </c>
      <c r="V20" s="45" t="s">
        <v>128</v>
      </c>
      <c r="W20" s="45" t="s">
        <v>128</v>
      </c>
      <c r="X20" s="45" t="s">
        <v>128</v>
      </c>
      <c r="Y20" s="45" t="s">
        <v>128</v>
      </c>
      <c r="Z20" s="45" t="s">
        <v>128</v>
      </c>
      <c r="AA20" s="45" t="s">
        <v>128</v>
      </c>
      <c r="AB20" s="45" t="s">
        <v>128</v>
      </c>
      <c r="AC20" s="107" t="s">
        <v>128</v>
      </c>
      <c r="AD20" s="107" t="s">
        <v>128</v>
      </c>
      <c r="AE20" s="107" t="s">
        <v>128</v>
      </c>
      <c r="AF20" s="107" t="s">
        <v>128</v>
      </c>
      <c r="AG20" s="107" t="s">
        <v>128</v>
      </c>
      <c r="AH20" s="107" t="s">
        <v>128</v>
      </c>
      <c r="AI20" s="228"/>
      <c r="AJ20" s="228"/>
      <c r="AK20" s="228"/>
      <c r="AL20" s="228"/>
      <c r="AM20" s="228"/>
      <c r="AN20" s="228"/>
      <c r="AO20" s="279"/>
      <c r="AP20" s="140"/>
    </row>
    <row r="21" spans="1:42" s="48" customFormat="1" x14ac:dyDescent="0.2">
      <c r="A21" s="22"/>
      <c r="B21" s="22"/>
      <c r="C21" s="22"/>
      <c r="D21" s="22"/>
      <c r="E21" s="22"/>
      <c r="F21" s="22"/>
      <c r="G21" s="22"/>
      <c r="H21" s="22"/>
      <c r="I21" s="22"/>
      <c r="J21" s="36"/>
      <c r="K21" s="19">
        <v>0</v>
      </c>
      <c r="L21" s="198" t="s">
        <v>128</v>
      </c>
      <c r="M21" s="198" t="s">
        <v>128</v>
      </c>
      <c r="N21" s="197" t="s">
        <v>128</v>
      </c>
      <c r="O21" s="195">
        <v>1</v>
      </c>
      <c r="P21" s="45" t="s">
        <v>128</v>
      </c>
      <c r="Q21" s="45" t="s">
        <v>128</v>
      </c>
      <c r="R21" s="45" t="s">
        <v>128</v>
      </c>
      <c r="S21" s="45" t="s">
        <v>128</v>
      </c>
      <c r="T21" s="45" t="s">
        <v>128</v>
      </c>
      <c r="U21" s="45" t="s">
        <v>128</v>
      </c>
      <c r="V21" s="45" t="s">
        <v>128</v>
      </c>
      <c r="W21" s="45" t="s">
        <v>128</v>
      </c>
      <c r="X21" s="45" t="s">
        <v>128</v>
      </c>
      <c r="Y21" s="45" t="s">
        <v>128</v>
      </c>
      <c r="Z21" s="45" t="s">
        <v>128</v>
      </c>
      <c r="AA21" s="45" t="s">
        <v>128</v>
      </c>
      <c r="AB21" s="45" t="s">
        <v>128</v>
      </c>
      <c r="AC21" s="107" t="s">
        <v>128</v>
      </c>
      <c r="AD21" s="107" t="s">
        <v>128</v>
      </c>
      <c r="AE21" s="107" t="s">
        <v>128</v>
      </c>
      <c r="AF21" s="107" t="s">
        <v>128</v>
      </c>
      <c r="AG21" s="107" t="s">
        <v>128</v>
      </c>
      <c r="AH21" s="107" t="s">
        <v>128</v>
      </c>
      <c r="AI21" s="228"/>
      <c r="AJ21" s="228"/>
      <c r="AK21" s="228"/>
      <c r="AL21" s="228"/>
      <c r="AM21" s="228"/>
      <c r="AN21" s="228"/>
      <c r="AO21" s="140"/>
      <c r="AP21" s="140"/>
    </row>
    <row r="22" spans="1:42" s="48" customFormat="1" x14ac:dyDescent="0.2">
      <c r="A22" s="209"/>
      <c r="B22" s="8"/>
      <c r="C22" s="8"/>
      <c r="D22" s="8"/>
      <c r="E22" s="8"/>
      <c r="F22" s="8"/>
      <c r="G22" s="8"/>
      <c r="H22" s="8"/>
      <c r="I22" s="8"/>
      <c r="J22" s="37"/>
      <c r="K22" s="19">
        <v>0</v>
      </c>
      <c r="L22" s="198" t="s">
        <v>128</v>
      </c>
      <c r="M22" s="198" t="s">
        <v>128</v>
      </c>
      <c r="N22" s="197" t="s">
        <v>128</v>
      </c>
      <c r="O22" s="195">
        <v>1</v>
      </c>
      <c r="P22" s="45" t="s">
        <v>128</v>
      </c>
      <c r="Q22" s="45" t="s">
        <v>128</v>
      </c>
      <c r="R22" s="45" t="s">
        <v>128</v>
      </c>
      <c r="S22" s="45" t="s">
        <v>128</v>
      </c>
      <c r="T22" s="45" t="s">
        <v>128</v>
      </c>
      <c r="U22" s="45" t="s">
        <v>128</v>
      </c>
      <c r="V22" s="45" t="s">
        <v>128</v>
      </c>
      <c r="W22" s="45" t="s">
        <v>128</v>
      </c>
      <c r="X22" s="45" t="s">
        <v>128</v>
      </c>
      <c r="Y22" s="45" t="s">
        <v>128</v>
      </c>
      <c r="Z22" s="45" t="s">
        <v>128</v>
      </c>
      <c r="AA22" s="45" t="s">
        <v>128</v>
      </c>
      <c r="AB22" s="45" t="s">
        <v>128</v>
      </c>
      <c r="AC22" s="107" t="s">
        <v>128</v>
      </c>
      <c r="AD22" s="107" t="s">
        <v>128</v>
      </c>
      <c r="AE22" s="107" t="s">
        <v>128</v>
      </c>
      <c r="AF22" s="107" t="s">
        <v>128</v>
      </c>
      <c r="AG22" s="107" t="s">
        <v>128</v>
      </c>
      <c r="AH22" s="107" t="s">
        <v>128</v>
      </c>
      <c r="AI22" s="228"/>
      <c r="AJ22" s="228"/>
      <c r="AK22" s="228"/>
      <c r="AL22" s="228"/>
      <c r="AM22" s="228"/>
      <c r="AN22" s="228"/>
      <c r="AO22" s="140"/>
      <c r="AP22" s="140"/>
    </row>
    <row r="23" spans="1:42" s="48" customFormat="1" x14ac:dyDescent="0.2">
      <c r="A23" s="22"/>
      <c r="B23" s="22"/>
      <c r="C23" s="22"/>
      <c r="D23" s="22"/>
      <c r="E23" s="22"/>
      <c r="F23" s="22"/>
      <c r="G23" s="22"/>
      <c r="H23" s="22"/>
      <c r="I23" s="22"/>
      <c r="J23" s="36"/>
      <c r="K23" s="19">
        <v>0</v>
      </c>
      <c r="L23" s="198" t="s">
        <v>128</v>
      </c>
      <c r="M23" s="198" t="s">
        <v>128</v>
      </c>
      <c r="N23" s="197" t="s">
        <v>128</v>
      </c>
      <c r="O23" s="195">
        <v>1</v>
      </c>
      <c r="P23" s="45" t="s">
        <v>128</v>
      </c>
      <c r="Q23" s="45" t="s">
        <v>128</v>
      </c>
      <c r="R23" s="45" t="s">
        <v>128</v>
      </c>
      <c r="S23" s="45" t="s">
        <v>128</v>
      </c>
      <c r="T23" s="45" t="s">
        <v>128</v>
      </c>
      <c r="U23" s="45" t="s">
        <v>128</v>
      </c>
      <c r="V23" s="45" t="s">
        <v>128</v>
      </c>
      <c r="W23" s="45" t="s">
        <v>128</v>
      </c>
      <c r="X23" s="45" t="s">
        <v>128</v>
      </c>
      <c r="Y23" s="45" t="s">
        <v>128</v>
      </c>
      <c r="Z23" s="45" t="s">
        <v>128</v>
      </c>
      <c r="AA23" s="45" t="s">
        <v>128</v>
      </c>
      <c r="AB23" s="45" t="s">
        <v>128</v>
      </c>
      <c r="AC23" s="107" t="s">
        <v>128</v>
      </c>
      <c r="AD23" s="107" t="s">
        <v>128</v>
      </c>
      <c r="AE23" s="107" t="s">
        <v>128</v>
      </c>
      <c r="AF23" s="107" t="s">
        <v>128</v>
      </c>
      <c r="AG23" s="107" t="s">
        <v>128</v>
      </c>
      <c r="AH23" s="107" t="s">
        <v>128</v>
      </c>
      <c r="AI23" s="228"/>
      <c r="AJ23" s="228"/>
      <c r="AK23" s="228"/>
      <c r="AL23" s="228"/>
      <c r="AM23" s="228"/>
      <c r="AN23" s="228"/>
      <c r="AO23" s="140"/>
      <c r="AP23" s="140"/>
    </row>
    <row r="24" spans="1:42" s="48" customFormat="1" x14ac:dyDescent="0.2">
      <c r="A24" s="209"/>
      <c r="B24" s="8"/>
      <c r="C24" s="8"/>
      <c r="D24" s="8"/>
      <c r="E24" s="8"/>
      <c r="F24" s="8"/>
      <c r="G24" s="8"/>
      <c r="H24" s="8"/>
      <c r="I24" s="8"/>
      <c r="J24" s="37"/>
      <c r="K24" s="19">
        <v>0</v>
      </c>
      <c r="L24" s="198" t="s">
        <v>128</v>
      </c>
      <c r="M24" s="198" t="s">
        <v>128</v>
      </c>
      <c r="N24" s="197" t="s">
        <v>128</v>
      </c>
      <c r="O24" s="195">
        <v>1</v>
      </c>
      <c r="P24" s="45" t="s">
        <v>128</v>
      </c>
      <c r="Q24" s="45" t="s">
        <v>128</v>
      </c>
      <c r="R24" s="45" t="s">
        <v>128</v>
      </c>
      <c r="S24" s="45" t="s">
        <v>128</v>
      </c>
      <c r="T24" s="45" t="s">
        <v>128</v>
      </c>
      <c r="U24" s="45" t="s">
        <v>128</v>
      </c>
      <c r="V24" s="45" t="s">
        <v>128</v>
      </c>
      <c r="W24" s="45" t="s">
        <v>128</v>
      </c>
      <c r="X24" s="45" t="s">
        <v>128</v>
      </c>
      <c r="Y24" s="45" t="s">
        <v>128</v>
      </c>
      <c r="Z24" s="45" t="s">
        <v>128</v>
      </c>
      <c r="AA24" s="45" t="s">
        <v>128</v>
      </c>
      <c r="AB24" s="45" t="s">
        <v>128</v>
      </c>
      <c r="AC24" s="107" t="s">
        <v>128</v>
      </c>
      <c r="AD24" s="107" t="s">
        <v>128</v>
      </c>
      <c r="AE24" s="107" t="s">
        <v>128</v>
      </c>
      <c r="AF24" s="107" t="s">
        <v>128</v>
      </c>
      <c r="AG24" s="107" t="s">
        <v>128</v>
      </c>
      <c r="AH24" s="107" t="s">
        <v>128</v>
      </c>
      <c r="AI24" s="228"/>
      <c r="AJ24" s="228"/>
      <c r="AK24" s="228"/>
      <c r="AL24" s="228"/>
      <c r="AM24" s="228"/>
      <c r="AN24" s="228"/>
      <c r="AO24" s="140"/>
      <c r="AP24" s="140"/>
    </row>
    <row r="25" spans="1:42" s="48" customFormat="1" x14ac:dyDescent="0.2">
      <c r="A25" s="22"/>
      <c r="B25" s="22"/>
      <c r="C25" s="22"/>
      <c r="D25" s="22"/>
      <c r="E25" s="22"/>
      <c r="F25" s="22"/>
      <c r="G25" s="22"/>
      <c r="H25" s="22"/>
      <c r="I25" s="22"/>
      <c r="J25" s="36"/>
      <c r="K25" s="19">
        <v>0</v>
      </c>
      <c r="L25" s="198" t="s">
        <v>128</v>
      </c>
      <c r="M25" s="198" t="s">
        <v>128</v>
      </c>
      <c r="N25" s="197" t="s">
        <v>128</v>
      </c>
      <c r="O25" s="195">
        <v>1</v>
      </c>
      <c r="P25" s="45" t="s">
        <v>128</v>
      </c>
      <c r="Q25" s="45" t="s">
        <v>128</v>
      </c>
      <c r="R25" s="45" t="s">
        <v>128</v>
      </c>
      <c r="S25" s="45" t="s">
        <v>128</v>
      </c>
      <c r="T25" s="45" t="s">
        <v>128</v>
      </c>
      <c r="U25" s="45" t="s">
        <v>128</v>
      </c>
      <c r="V25" s="45" t="s">
        <v>128</v>
      </c>
      <c r="W25" s="45" t="s">
        <v>128</v>
      </c>
      <c r="X25" s="45" t="s">
        <v>128</v>
      </c>
      <c r="Y25" s="45" t="s">
        <v>128</v>
      </c>
      <c r="Z25" s="45" t="s">
        <v>128</v>
      </c>
      <c r="AA25" s="45" t="s">
        <v>128</v>
      </c>
      <c r="AB25" s="45" t="s">
        <v>128</v>
      </c>
      <c r="AC25" s="107" t="s">
        <v>128</v>
      </c>
      <c r="AD25" s="107" t="s">
        <v>128</v>
      </c>
      <c r="AE25" s="107" t="s">
        <v>128</v>
      </c>
      <c r="AF25" s="107" t="s">
        <v>128</v>
      </c>
      <c r="AG25" s="107" t="s">
        <v>128</v>
      </c>
      <c r="AH25" s="107" t="s">
        <v>128</v>
      </c>
      <c r="AI25" s="228"/>
      <c r="AJ25" s="228"/>
      <c r="AK25" s="228"/>
      <c r="AL25" s="228"/>
      <c r="AM25" s="228"/>
      <c r="AN25" s="228"/>
      <c r="AO25" s="140"/>
      <c r="AP25" s="140"/>
    </row>
    <row r="26" spans="1:42" s="48" customFormat="1" x14ac:dyDescent="0.2">
      <c r="A26" s="209"/>
      <c r="B26" s="8"/>
      <c r="C26" s="8"/>
      <c r="D26" s="8"/>
      <c r="E26" s="8"/>
      <c r="F26" s="8"/>
      <c r="G26" s="8"/>
      <c r="H26" s="8"/>
      <c r="I26" s="8"/>
      <c r="J26" s="37"/>
      <c r="K26" s="19">
        <v>0</v>
      </c>
      <c r="L26" s="198" t="s">
        <v>128</v>
      </c>
      <c r="M26" s="198" t="s">
        <v>128</v>
      </c>
      <c r="N26" s="197" t="s">
        <v>128</v>
      </c>
      <c r="O26" s="195">
        <v>1</v>
      </c>
      <c r="P26" s="45" t="s">
        <v>128</v>
      </c>
      <c r="Q26" s="45" t="s">
        <v>128</v>
      </c>
      <c r="R26" s="45" t="s">
        <v>128</v>
      </c>
      <c r="S26" s="45" t="s">
        <v>128</v>
      </c>
      <c r="T26" s="45" t="s">
        <v>128</v>
      </c>
      <c r="U26" s="45" t="s">
        <v>128</v>
      </c>
      <c r="V26" s="45" t="s">
        <v>128</v>
      </c>
      <c r="W26" s="45" t="s">
        <v>128</v>
      </c>
      <c r="X26" s="45" t="s">
        <v>128</v>
      </c>
      <c r="Y26" s="45" t="s">
        <v>128</v>
      </c>
      <c r="Z26" s="45" t="s">
        <v>128</v>
      </c>
      <c r="AA26" s="45" t="s">
        <v>128</v>
      </c>
      <c r="AB26" s="45" t="s">
        <v>128</v>
      </c>
      <c r="AC26" s="107" t="s">
        <v>128</v>
      </c>
      <c r="AD26" s="107" t="s">
        <v>128</v>
      </c>
      <c r="AE26" s="107" t="s">
        <v>128</v>
      </c>
      <c r="AF26" s="107" t="s">
        <v>128</v>
      </c>
      <c r="AG26" s="107" t="s">
        <v>128</v>
      </c>
      <c r="AH26" s="107" t="s">
        <v>128</v>
      </c>
      <c r="AI26" s="228"/>
      <c r="AJ26" s="228"/>
      <c r="AK26" s="228"/>
      <c r="AL26" s="228"/>
      <c r="AM26" s="228"/>
      <c r="AN26" s="228"/>
      <c r="AO26" s="140"/>
      <c r="AP26" s="140"/>
    </row>
    <row r="27" spans="1:42" s="48" customFormat="1" x14ac:dyDescent="0.2">
      <c r="A27" s="22"/>
      <c r="B27" s="22"/>
      <c r="C27" s="22"/>
      <c r="D27" s="22"/>
      <c r="E27" s="22"/>
      <c r="F27" s="22"/>
      <c r="G27" s="22"/>
      <c r="H27" s="22"/>
      <c r="I27" s="22"/>
      <c r="J27" s="36"/>
      <c r="K27" s="19">
        <v>0</v>
      </c>
      <c r="L27" s="198" t="s">
        <v>128</v>
      </c>
      <c r="M27" s="198" t="s">
        <v>128</v>
      </c>
      <c r="N27" s="197" t="s">
        <v>128</v>
      </c>
      <c r="O27" s="195">
        <v>1</v>
      </c>
      <c r="P27" s="45" t="s">
        <v>128</v>
      </c>
      <c r="Q27" s="45" t="s">
        <v>128</v>
      </c>
      <c r="R27" s="45" t="s">
        <v>128</v>
      </c>
      <c r="S27" s="45" t="s">
        <v>128</v>
      </c>
      <c r="T27" s="45" t="s">
        <v>128</v>
      </c>
      <c r="U27" s="45" t="s">
        <v>128</v>
      </c>
      <c r="V27" s="45" t="s">
        <v>128</v>
      </c>
      <c r="W27" s="45" t="s">
        <v>128</v>
      </c>
      <c r="X27" s="45" t="s">
        <v>128</v>
      </c>
      <c r="Y27" s="45" t="s">
        <v>128</v>
      </c>
      <c r="Z27" s="45" t="s">
        <v>128</v>
      </c>
      <c r="AA27" s="45" t="s">
        <v>128</v>
      </c>
      <c r="AB27" s="45" t="s">
        <v>128</v>
      </c>
      <c r="AC27" s="107" t="s">
        <v>128</v>
      </c>
      <c r="AD27" s="107" t="s">
        <v>128</v>
      </c>
      <c r="AE27" s="107" t="s">
        <v>128</v>
      </c>
      <c r="AF27" s="107" t="s">
        <v>128</v>
      </c>
      <c r="AG27" s="107" t="s">
        <v>128</v>
      </c>
      <c r="AH27" s="107" t="s">
        <v>128</v>
      </c>
      <c r="AI27" s="228"/>
      <c r="AJ27" s="228"/>
      <c r="AK27" s="228"/>
      <c r="AL27" s="228"/>
      <c r="AM27" s="228"/>
      <c r="AN27" s="228"/>
      <c r="AO27" s="140"/>
      <c r="AP27" s="140"/>
    </row>
    <row r="28" spans="1:42" s="48" customFormat="1" x14ac:dyDescent="0.2">
      <c r="A28" s="209"/>
      <c r="B28" s="8"/>
      <c r="C28" s="8"/>
      <c r="D28" s="8"/>
      <c r="E28" s="8"/>
      <c r="F28" s="8"/>
      <c r="G28" s="8"/>
      <c r="H28" s="8"/>
      <c r="I28" s="8"/>
      <c r="J28" s="37"/>
      <c r="K28" s="19">
        <v>0</v>
      </c>
      <c r="L28" s="198" t="s">
        <v>128</v>
      </c>
      <c r="M28" s="198" t="s">
        <v>128</v>
      </c>
      <c r="N28" s="197" t="s">
        <v>128</v>
      </c>
      <c r="O28" s="195">
        <v>1</v>
      </c>
      <c r="P28" s="45" t="s">
        <v>128</v>
      </c>
      <c r="Q28" s="45" t="s">
        <v>128</v>
      </c>
      <c r="R28" s="45" t="s">
        <v>128</v>
      </c>
      <c r="S28" s="45" t="s">
        <v>128</v>
      </c>
      <c r="T28" s="45" t="s">
        <v>128</v>
      </c>
      <c r="U28" s="45" t="s">
        <v>128</v>
      </c>
      <c r="V28" s="45" t="s">
        <v>128</v>
      </c>
      <c r="W28" s="45" t="s">
        <v>128</v>
      </c>
      <c r="X28" s="45" t="s">
        <v>128</v>
      </c>
      <c r="Y28" s="45" t="s">
        <v>128</v>
      </c>
      <c r="Z28" s="45" t="s">
        <v>128</v>
      </c>
      <c r="AA28" s="45" t="s">
        <v>128</v>
      </c>
      <c r="AB28" s="45" t="s">
        <v>128</v>
      </c>
      <c r="AC28" s="107" t="s">
        <v>128</v>
      </c>
      <c r="AD28" s="107" t="s">
        <v>128</v>
      </c>
      <c r="AE28" s="107" t="s">
        <v>128</v>
      </c>
      <c r="AF28" s="107" t="s">
        <v>128</v>
      </c>
      <c r="AG28" s="107" t="s">
        <v>128</v>
      </c>
      <c r="AH28" s="107" t="s">
        <v>128</v>
      </c>
      <c r="AI28" s="228"/>
      <c r="AJ28" s="228"/>
      <c r="AK28" s="228"/>
      <c r="AL28" s="228"/>
      <c r="AM28" s="228"/>
      <c r="AN28" s="228"/>
      <c r="AO28" s="140"/>
      <c r="AP28" s="140"/>
    </row>
    <row r="29" spans="1:42" s="48" customFormat="1" x14ac:dyDescent="0.2">
      <c r="A29" s="22"/>
      <c r="B29" s="22"/>
      <c r="C29" s="22"/>
      <c r="D29" s="22"/>
      <c r="E29" s="22"/>
      <c r="F29" s="22"/>
      <c r="G29" s="22"/>
      <c r="H29" s="22"/>
      <c r="I29" s="22"/>
      <c r="J29" s="36"/>
      <c r="K29" s="19">
        <v>0</v>
      </c>
      <c r="L29" s="198" t="s">
        <v>128</v>
      </c>
      <c r="M29" s="198" t="s">
        <v>128</v>
      </c>
      <c r="N29" s="197" t="s">
        <v>128</v>
      </c>
      <c r="O29" s="195">
        <v>1</v>
      </c>
      <c r="P29" s="45" t="s">
        <v>128</v>
      </c>
      <c r="Q29" s="45" t="s">
        <v>128</v>
      </c>
      <c r="R29" s="45" t="s">
        <v>128</v>
      </c>
      <c r="S29" s="45" t="s">
        <v>128</v>
      </c>
      <c r="T29" s="45" t="s">
        <v>128</v>
      </c>
      <c r="U29" s="45" t="s">
        <v>128</v>
      </c>
      <c r="V29" s="45" t="s">
        <v>128</v>
      </c>
      <c r="W29" s="45" t="s">
        <v>128</v>
      </c>
      <c r="X29" s="45" t="s">
        <v>128</v>
      </c>
      <c r="Y29" s="45" t="s">
        <v>128</v>
      </c>
      <c r="Z29" s="45" t="s">
        <v>128</v>
      </c>
      <c r="AA29" s="45" t="s">
        <v>128</v>
      </c>
      <c r="AB29" s="45" t="s">
        <v>128</v>
      </c>
      <c r="AC29" s="107" t="s">
        <v>128</v>
      </c>
      <c r="AD29" s="107" t="s">
        <v>128</v>
      </c>
      <c r="AE29" s="107" t="s">
        <v>128</v>
      </c>
      <c r="AF29" s="107" t="s">
        <v>128</v>
      </c>
      <c r="AG29" s="107" t="s">
        <v>128</v>
      </c>
      <c r="AH29" s="107" t="s">
        <v>128</v>
      </c>
      <c r="AI29" s="228"/>
      <c r="AJ29" s="228"/>
      <c r="AK29" s="228"/>
      <c r="AL29" s="228"/>
      <c r="AM29" s="228"/>
      <c r="AN29" s="228"/>
      <c r="AO29" s="140"/>
      <c r="AP29" s="140"/>
    </row>
    <row r="30" spans="1:42" s="48" customFormat="1" x14ac:dyDescent="0.2">
      <c r="A30" s="209"/>
      <c r="B30" s="8"/>
      <c r="C30" s="8"/>
      <c r="D30" s="8"/>
      <c r="E30" s="8"/>
      <c r="F30" s="8"/>
      <c r="G30" s="8"/>
      <c r="H30" s="8"/>
      <c r="I30" s="8"/>
      <c r="J30" s="37"/>
      <c r="K30" s="19">
        <v>0</v>
      </c>
      <c r="L30" s="198" t="s">
        <v>128</v>
      </c>
      <c r="M30" s="198" t="s">
        <v>128</v>
      </c>
      <c r="N30" s="197" t="s">
        <v>128</v>
      </c>
      <c r="O30" s="195">
        <v>1</v>
      </c>
      <c r="P30" s="45" t="s">
        <v>128</v>
      </c>
      <c r="Q30" s="45" t="s">
        <v>128</v>
      </c>
      <c r="R30" s="45" t="s">
        <v>128</v>
      </c>
      <c r="S30" s="45" t="s">
        <v>128</v>
      </c>
      <c r="T30" s="45" t="s">
        <v>128</v>
      </c>
      <c r="U30" s="45" t="s">
        <v>128</v>
      </c>
      <c r="V30" s="45" t="s">
        <v>128</v>
      </c>
      <c r="W30" s="45" t="s">
        <v>128</v>
      </c>
      <c r="X30" s="45" t="s">
        <v>128</v>
      </c>
      <c r="Y30" s="45" t="s">
        <v>128</v>
      </c>
      <c r="Z30" s="45" t="s">
        <v>128</v>
      </c>
      <c r="AA30" s="45" t="s">
        <v>128</v>
      </c>
      <c r="AB30" s="45" t="s">
        <v>128</v>
      </c>
      <c r="AC30" s="107" t="s">
        <v>128</v>
      </c>
      <c r="AD30" s="107" t="s">
        <v>128</v>
      </c>
      <c r="AE30" s="107" t="s">
        <v>128</v>
      </c>
      <c r="AF30" s="107" t="s">
        <v>128</v>
      </c>
      <c r="AG30" s="107" t="s">
        <v>128</v>
      </c>
      <c r="AH30" s="107" t="s">
        <v>128</v>
      </c>
      <c r="AI30" s="228"/>
      <c r="AJ30" s="228"/>
      <c r="AK30" s="228"/>
      <c r="AL30" s="228"/>
      <c r="AM30" s="228"/>
      <c r="AN30" s="228"/>
      <c r="AO30" s="140"/>
      <c r="AP30" s="140"/>
    </row>
    <row r="31" spans="1:42" s="48" customFormat="1" x14ac:dyDescent="0.2">
      <c r="A31" s="22"/>
      <c r="B31" s="22"/>
      <c r="C31" s="22"/>
      <c r="D31" s="22"/>
      <c r="E31" s="22"/>
      <c r="F31" s="22"/>
      <c r="G31" s="22"/>
      <c r="H31" s="22"/>
      <c r="I31" s="22"/>
      <c r="J31" s="36"/>
      <c r="K31" s="19">
        <v>0</v>
      </c>
      <c r="L31" s="198" t="s">
        <v>128</v>
      </c>
      <c r="M31" s="198" t="s">
        <v>128</v>
      </c>
      <c r="N31" s="197" t="s">
        <v>128</v>
      </c>
      <c r="O31" s="195">
        <v>1</v>
      </c>
      <c r="P31" s="45" t="s">
        <v>128</v>
      </c>
      <c r="Q31" s="45" t="s">
        <v>128</v>
      </c>
      <c r="R31" s="45" t="s">
        <v>128</v>
      </c>
      <c r="S31" s="45" t="s">
        <v>128</v>
      </c>
      <c r="T31" s="45" t="s">
        <v>128</v>
      </c>
      <c r="U31" s="45" t="s">
        <v>128</v>
      </c>
      <c r="V31" s="45" t="s">
        <v>128</v>
      </c>
      <c r="W31" s="45" t="s">
        <v>128</v>
      </c>
      <c r="X31" s="45" t="s">
        <v>128</v>
      </c>
      <c r="Y31" s="45" t="s">
        <v>128</v>
      </c>
      <c r="Z31" s="45" t="s">
        <v>128</v>
      </c>
      <c r="AA31" s="45" t="s">
        <v>128</v>
      </c>
      <c r="AB31" s="45" t="s">
        <v>128</v>
      </c>
      <c r="AC31" s="107" t="s">
        <v>128</v>
      </c>
      <c r="AD31" s="107" t="s">
        <v>128</v>
      </c>
      <c r="AE31" s="107" t="s">
        <v>128</v>
      </c>
      <c r="AF31" s="107" t="s">
        <v>128</v>
      </c>
      <c r="AG31" s="107" t="s">
        <v>128</v>
      </c>
      <c r="AH31" s="107" t="s">
        <v>128</v>
      </c>
      <c r="AI31" s="228"/>
      <c r="AJ31" s="228"/>
      <c r="AK31" s="228"/>
      <c r="AL31" s="228"/>
      <c r="AM31" s="228"/>
      <c r="AN31" s="228"/>
      <c r="AO31" s="140"/>
      <c r="AP31" s="140"/>
    </row>
    <row r="32" spans="1:42" s="48" customFormat="1" x14ac:dyDescent="0.2">
      <c r="A32" s="209"/>
      <c r="B32" s="8"/>
      <c r="C32" s="8"/>
      <c r="D32" s="8"/>
      <c r="E32" s="8"/>
      <c r="F32" s="8"/>
      <c r="G32" s="8"/>
      <c r="H32" s="8"/>
      <c r="I32" s="8"/>
      <c r="J32" s="37"/>
      <c r="K32" s="19">
        <v>0</v>
      </c>
      <c r="L32" s="198" t="s">
        <v>128</v>
      </c>
      <c r="M32" s="198" t="s">
        <v>128</v>
      </c>
      <c r="N32" s="197" t="s">
        <v>128</v>
      </c>
      <c r="O32" s="195">
        <v>1</v>
      </c>
      <c r="P32" s="45" t="s">
        <v>128</v>
      </c>
      <c r="Q32" s="45" t="s">
        <v>128</v>
      </c>
      <c r="R32" s="45" t="s">
        <v>128</v>
      </c>
      <c r="S32" s="45" t="s">
        <v>128</v>
      </c>
      <c r="T32" s="45" t="s">
        <v>128</v>
      </c>
      <c r="U32" s="45" t="s">
        <v>128</v>
      </c>
      <c r="V32" s="45" t="s">
        <v>128</v>
      </c>
      <c r="W32" s="45" t="s">
        <v>128</v>
      </c>
      <c r="X32" s="45" t="s">
        <v>128</v>
      </c>
      <c r="Y32" s="45" t="s">
        <v>128</v>
      </c>
      <c r="Z32" s="45" t="s">
        <v>128</v>
      </c>
      <c r="AA32" s="45" t="s">
        <v>128</v>
      </c>
      <c r="AB32" s="45" t="s">
        <v>128</v>
      </c>
      <c r="AC32" s="107" t="s">
        <v>128</v>
      </c>
      <c r="AD32" s="107" t="s">
        <v>128</v>
      </c>
      <c r="AE32" s="107" t="s">
        <v>128</v>
      </c>
      <c r="AF32" s="107" t="s">
        <v>128</v>
      </c>
      <c r="AG32" s="107" t="s">
        <v>128</v>
      </c>
      <c r="AH32" s="107" t="s">
        <v>128</v>
      </c>
      <c r="AI32" s="228"/>
      <c r="AJ32" s="228"/>
      <c r="AK32" s="228"/>
      <c r="AL32" s="228"/>
      <c r="AM32" s="228"/>
      <c r="AN32" s="228"/>
      <c r="AO32" s="140"/>
      <c r="AP32" s="140"/>
    </row>
    <row r="33" spans="1:42" s="48" customFormat="1" x14ac:dyDescent="0.2">
      <c r="A33" s="22"/>
      <c r="B33" s="22"/>
      <c r="C33" s="22"/>
      <c r="D33" s="22"/>
      <c r="E33" s="22"/>
      <c r="F33" s="22"/>
      <c r="G33" s="22"/>
      <c r="H33" s="22"/>
      <c r="I33" s="22"/>
      <c r="J33" s="36"/>
      <c r="K33" s="19">
        <v>0</v>
      </c>
      <c r="L33" s="198" t="s">
        <v>128</v>
      </c>
      <c r="M33" s="198" t="s">
        <v>128</v>
      </c>
      <c r="N33" s="197" t="s">
        <v>128</v>
      </c>
      <c r="O33" s="195">
        <v>1</v>
      </c>
      <c r="P33" s="45" t="s">
        <v>128</v>
      </c>
      <c r="Q33" s="45" t="s">
        <v>128</v>
      </c>
      <c r="R33" s="45" t="s">
        <v>128</v>
      </c>
      <c r="S33" s="45" t="s">
        <v>128</v>
      </c>
      <c r="T33" s="45" t="s">
        <v>128</v>
      </c>
      <c r="U33" s="45" t="s">
        <v>128</v>
      </c>
      <c r="V33" s="45" t="s">
        <v>128</v>
      </c>
      <c r="W33" s="45" t="s">
        <v>128</v>
      </c>
      <c r="X33" s="45" t="s">
        <v>128</v>
      </c>
      <c r="Y33" s="45" t="s">
        <v>128</v>
      </c>
      <c r="Z33" s="45" t="s">
        <v>128</v>
      </c>
      <c r="AA33" s="45" t="s">
        <v>128</v>
      </c>
      <c r="AB33" s="45" t="s">
        <v>128</v>
      </c>
      <c r="AC33" s="107" t="s">
        <v>128</v>
      </c>
      <c r="AD33" s="107" t="s">
        <v>128</v>
      </c>
      <c r="AE33" s="107" t="s">
        <v>128</v>
      </c>
      <c r="AF33" s="107" t="s">
        <v>128</v>
      </c>
      <c r="AG33" s="107" t="s">
        <v>128</v>
      </c>
      <c r="AH33" s="107" t="s">
        <v>128</v>
      </c>
      <c r="AI33" s="228"/>
      <c r="AJ33" s="228"/>
      <c r="AK33" s="228"/>
      <c r="AL33" s="228"/>
      <c r="AM33" s="228"/>
      <c r="AN33" s="228"/>
      <c r="AO33" s="140"/>
      <c r="AP33" s="140"/>
    </row>
    <row r="34" spans="1:42" s="48" customFormat="1" x14ac:dyDescent="0.2">
      <c r="A34" s="209"/>
      <c r="B34" s="8"/>
      <c r="C34" s="8"/>
      <c r="D34" s="8"/>
      <c r="E34" s="8"/>
      <c r="F34" s="8"/>
      <c r="G34" s="8"/>
      <c r="H34" s="8"/>
      <c r="I34" s="8"/>
      <c r="J34" s="37"/>
      <c r="K34" s="19">
        <v>0</v>
      </c>
      <c r="L34" s="198" t="s">
        <v>128</v>
      </c>
      <c r="M34" s="198" t="s">
        <v>128</v>
      </c>
      <c r="N34" s="197" t="s">
        <v>128</v>
      </c>
      <c r="O34" s="195">
        <v>1</v>
      </c>
      <c r="P34" s="45" t="s">
        <v>128</v>
      </c>
      <c r="Q34" s="45" t="s">
        <v>128</v>
      </c>
      <c r="R34" s="45" t="s">
        <v>128</v>
      </c>
      <c r="S34" s="45" t="s">
        <v>128</v>
      </c>
      <c r="T34" s="45" t="s">
        <v>128</v>
      </c>
      <c r="U34" s="45" t="s">
        <v>128</v>
      </c>
      <c r="V34" s="45" t="s">
        <v>128</v>
      </c>
      <c r="W34" s="45" t="s">
        <v>128</v>
      </c>
      <c r="X34" s="45" t="s">
        <v>128</v>
      </c>
      <c r="Y34" s="45" t="s">
        <v>128</v>
      </c>
      <c r="Z34" s="45" t="s">
        <v>128</v>
      </c>
      <c r="AA34" s="45" t="s">
        <v>128</v>
      </c>
      <c r="AB34" s="45" t="s">
        <v>128</v>
      </c>
      <c r="AC34" s="107" t="s">
        <v>128</v>
      </c>
      <c r="AD34" s="107" t="s">
        <v>128</v>
      </c>
      <c r="AE34" s="107" t="s">
        <v>128</v>
      </c>
      <c r="AF34" s="107" t="s">
        <v>128</v>
      </c>
      <c r="AG34" s="107" t="s">
        <v>128</v>
      </c>
      <c r="AH34" s="107" t="s">
        <v>128</v>
      </c>
      <c r="AI34" s="228"/>
      <c r="AJ34" s="228"/>
      <c r="AK34" s="228"/>
      <c r="AL34" s="228"/>
      <c r="AM34" s="228"/>
      <c r="AN34" s="228"/>
      <c r="AO34" s="228"/>
      <c r="AP34" s="228"/>
    </row>
    <row r="35" spans="1:42" s="48" customFormat="1" x14ac:dyDescent="0.2">
      <c r="A35" s="22"/>
      <c r="B35" s="22"/>
      <c r="C35" s="22"/>
      <c r="D35" s="22"/>
      <c r="E35" s="22"/>
      <c r="F35" s="22"/>
      <c r="G35" s="22"/>
      <c r="H35" s="22"/>
      <c r="I35" s="22"/>
      <c r="J35" s="36"/>
      <c r="K35" s="19">
        <v>0</v>
      </c>
      <c r="L35" s="198" t="s">
        <v>128</v>
      </c>
      <c r="M35" s="198" t="s">
        <v>128</v>
      </c>
      <c r="N35" s="197" t="s">
        <v>128</v>
      </c>
      <c r="O35" s="195">
        <v>1</v>
      </c>
      <c r="P35" s="45" t="s">
        <v>128</v>
      </c>
      <c r="Q35" s="45" t="s">
        <v>128</v>
      </c>
      <c r="R35" s="45" t="s">
        <v>128</v>
      </c>
      <c r="S35" s="45" t="s">
        <v>128</v>
      </c>
      <c r="T35" s="45" t="s">
        <v>128</v>
      </c>
      <c r="U35" s="45" t="s">
        <v>128</v>
      </c>
      <c r="V35" s="45" t="s">
        <v>128</v>
      </c>
      <c r="W35" s="45" t="s">
        <v>128</v>
      </c>
      <c r="X35" s="45" t="s">
        <v>128</v>
      </c>
      <c r="Y35" s="45" t="s">
        <v>128</v>
      </c>
      <c r="Z35" s="45" t="s">
        <v>128</v>
      </c>
      <c r="AA35" s="45" t="s">
        <v>128</v>
      </c>
      <c r="AB35" s="45" t="s">
        <v>128</v>
      </c>
      <c r="AC35" s="107" t="s">
        <v>128</v>
      </c>
      <c r="AD35" s="107" t="s">
        <v>128</v>
      </c>
      <c r="AE35" s="107" t="s">
        <v>128</v>
      </c>
      <c r="AF35" s="107" t="s">
        <v>128</v>
      </c>
      <c r="AG35" s="107" t="s">
        <v>128</v>
      </c>
      <c r="AH35" s="107" t="s">
        <v>128</v>
      </c>
      <c r="AI35" s="228"/>
      <c r="AJ35" s="228"/>
      <c r="AK35" s="228"/>
      <c r="AL35" s="228"/>
      <c r="AM35" s="228"/>
      <c r="AN35" s="228"/>
      <c r="AO35" s="228"/>
      <c r="AP35" s="228"/>
    </row>
    <row r="36" spans="1:42" s="48" customFormat="1" x14ac:dyDescent="0.2">
      <c r="A36" s="209"/>
      <c r="B36" s="8"/>
      <c r="C36" s="8"/>
      <c r="D36" s="8"/>
      <c r="E36" s="8"/>
      <c r="F36" s="8"/>
      <c r="G36" s="8"/>
      <c r="H36" s="8"/>
      <c r="I36" s="8"/>
      <c r="J36" s="37"/>
      <c r="K36" s="19">
        <v>0</v>
      </c>
      <c r="L36" s="198" t="s">
        <v>128</v>
      </c>
      <c r="M36" s="198" t="s">
        <v>128</v>
      </c>
      <c r="N36" s="197" t="s">
        <v>128</v>
      </c>
      <c r="O36" s="195">
        <v>1</v>
      </c>
      <c r="P36" s="45" t="s">
        <v>128</v>
      </c>
      <c r="Q36" s="45" t="s">
        <v>128</v>
      </c>
      <c r="R36" s="45" t="s">
        <v>128</v>
      </c>
      <c r="S36" s="45" t="s">
        <v>128</v>
      </c>
      <c r="T36" s="45" t="s">
        <v>128</v>
      </c>
      <c r="U36" s="45" t="s">
        <v>128</v>
      </c>
      <c r="V36" s="45" t="s">
        <v>128</v>
      </c>
      <c r="W36" s="45" t="s">
        <v>128</v>
      </c>
      <c r="X36" s="45" t="s">
        <v>128</v>
      </c>
      <c r="Y36" s="45" t="s">
        <v>128</v>
      </c>
      <c r="Z36" s="45" t="s">
        <v>128</v>
      </c>
      <c r="AA36" s="45" t="s">
        <v>128</v>
      </c>
      <c r="AB36" s="45" t="s">
        <v>128</v>
      </c>
      <c r="AC36" s="107" t="s">
        <v>128</v>
      </c>
      <c r="AD36" s="107" t="s">
        <v>128</v>
      </c>
      <c r="AE36" s="107" t="s">
        <v>128</v>
      </c>
      <c r="AF36" s="107" t="s">
        <v>128</v>
      </c>
      <c r="AG36" s="107" t="s">
        <v>128</v>
      </c>
      <c r="AH36" s="107" t="s">
        <v>128</v>
      </c>
      <c r="AI36" s="228"/>
      <c r="AJ36" s="228"/>
      <c r="AK36" s="228"/>
      <c r="AL36" s="228"/>
      <c r="AM36" s="228"/>
      <c r="AN36" s="228"/>
      <c r="AO36" s="228"/>
      <c r="AP36" s="228"/>
    </row>
    <row r="37" spans="1:42" s="48" customFormat="1" x14ac:dyDescent="0.2">
      <c r="A37" s="22"/>
      <c r="B37" s="22"/>
      <c r="C37" s="22"/>
      <c r="D37" s="22"/>
      <c r="E37" s="22"/>
      <c r="F37" s="22"/>
      <c r="G37" s="22"/>
      <c r="H37" s="22"/>
      <c r="I37" s="22"/>
      <c r="J37" s="36"/>
      <c r="K37" s="19">
        <v>0</v>
      </c>
      <c r="L37" s="198" t="s">
        <v>128</v>
      </c>
      <c r="M37" s="198" t="s">
        <v>128</v>
      </c>
      <c r="N37" s="197" t="s">
        <v>128</v>
      </c>
      <c r="O37" s="195">
        <v>1</v>
      </c>
      <c r="P37" s="45" t="s">
        <v>128</v>
      </c>
      <c r="Q37" s="45" t="s">
        <v>128</v>
      </c>
      <c r="R37" s="45" t="s">
        <v>128</v>
      </c>
      <c r="S37" s="45" t="s">
        <v>128</v>
      </c>
      <c r="T37" s="45" t="s">
        <v>128</v>
      </c>
      <c r="U37" s="45" t="s">
        <v>128</v>
      </c>
      <c r="V37" s="45" t="s">
        <v>128</v>
      </c>
      <c r="W37" s="45" t="s">
        <v>128</v>
      </c>
      <c r="X37" s="45" t="s">
        <v>128</v>
      </c>
      <c r="Y37" s="45" t="s">
        <v>128</v>
      </c>
      <c r="Z37" s="45" t="s">
        <v>128</v>
      </c>
      <c r="AA37" s="45" t="s">
        <v>128</v>
      </c>
      <c r="AB37" s="45" t="s">
        <v>128</v>
      </c>
      <c r="AC37" s="107" t="s">
        <v>128</v>
      </c>
      <c r="AD37" s="107" t="s">
        <v>128</v>
      </c>
      <c r="AE37" s="107" t="s">
        <v>128</v>
      </c>
      <c r="AF37" s="107" t="s">
        <v>128</v>
      </c>
      <c r="AG37" s="107" t="s">
        <v>128</v>
      </c>
      <c r="AH37" s="107" t="s">
        <v>128</v>
      </c>
      <c r="AI37" s="228"/>
      <c r="AJ37" s="228"/>
      <c r="AK37" s="228"/>
      <c r="AL37" s="228"/>
      <c r="AM37" s="228"/>
      <c r="AN37" s="228"/>
      <c r="AO37" s="228"/>
      <c r="AP37" s="228"/>
    </row>
    <row r="38" spans="1:42" s="48" customFormat="1" x14ac:dyDescent="0.15">
      <c r="A38" s="209"/>
      <c r="B38" s="8"/>
      <c r="C38" s="8"/>
      <c r="D38" s="8"/>
      <c r="E38" s="8"/>
      <c r="F38" s="8"/>
      <c r="G38" s="8"/>
      <c r="H38" s="8"/>
      <c r="I38" s="8"/>
      <c r="J38" s="37"/>
      <c r="K38" s="19">
        <v>0</v>
      </c>
      <c r="L38" s="198" t="s">
        <v>128</v>
      </c>
      <c r="M38" s="198" t="s">
        <v>128</v>
      </c>
      <c r="N38" s="197" t="s">
        <v>128</v>
      </c>
      <c r="O38" s="195">
        <v>1</v>
      </c>
      <c r="P38" s="45" t="s">
        <v>128</v>
      </c>
      <c r="Q38" s="45" t="s">
        <v>128</v>
      </c>
      <c r="R38" s="45" t="s">
        <v>128</v>
      </c>
      <c r="S38" s="45" t="s">
        <v>128</v>
      </c>
      <c r="T38" s="45" t="s">
        <v>128</v>
      </c>
      <c r="U38" s="45" t="s">
        <v>128</v>
      </c>
      <c r="V38" s="45" t="s">
        <v>128</v>
      </c>
      <c r="W38" s="45" t="s">
        <v>128</v>
      </c>
      <c r="X38" s="45" t="s">
        <v>128</v>
      </c>
      <c r="Y38" s="45" t="s">
        <v>128</v>
      </c>
      <c r="Z38" s="45" t="s">
        <v>128</v>
      </c>
      <c r="AA38" s="45" t="s">
        <v>128</v>
      </c>
      <c r="AB38" s="45" t="s">
        <v>128</v>
      </c>
      <c r="AC38" s="107" t="s">
        <v>128</v>
      </c>
      <c r="AD38" s="107" t="s">
        <v>128</v>
      </c>
      <c r="AE38" s="107" t="s">
        <v>128</v>
      </c>
      <c r="AF38" s="107" t="s">
        <v>128</v>
      </c>
      <c r="AG38" s="107" t="s">
        <v>128</v>
      </c>
      <c r="AH38" s="107" t="s">
        <v>128</v>
      </c>
      <c r="AI38" s="205"/>
      <c r="AJ38" s="140"/>
      <c r="AK38" s="305"/>
      <c r="AL38" s="306"/>
      <c r="AM38" s="228"/>
      <c r="AN38" s="140"/>
      <c r="AO38" s="140"/>
      <c r="AP38" s="140"/>
    </row>
    <row r="39" spans="1:42" s="48" customFormat="1" x14ac:dyDescent="0.2">
      <c r="A39" s="22"/>
      <c r="B39" s="22"/>
      <c r="C39" s="22"/>
      <c r="D39" s="22"/>
      <c r="E39" s="22"/>
      <c r="F39" s="22"/>
      <c r="G39" s="22"/>
      <c r="H39" s="22"/>
      <c r="I39" s="22"/>
      <c r="J39" s="36"/>
      <c r="K39" s="19">
        <v>0</v>
      </c>
      <c r="L39" s="198" t="s">
        <v>128</v>
      </c>
      <c r="M39" s="198" t="s">
        <v>128</v>
      </c>
      <c r="N39" s="197" t="s">
        <v>128</v>
      </c>
      <c r="O39" s="195">
        <v>1</v>
      </c>
      <c r="P39" s="45" t="s">
        <v>128</v>
      </c>
      <c r="Q39" s="45" t="s">
        <v>128</v>
      </c>
      <c r="R39" s="45" t="s">
        <v>128</v>
      </c>
      <c r="S39" s="45" t="s">
        <v>128</v>
      </c>
      <c r="T39" s="45" t="s">
        <v>128</v>
      </c>
      <c r="U39" s="45" t="s">
        <v>128</v>
      </c>
      <c r="V39" s="45" t="s">
        <v>128</v>
      </c>
      <c r="W39" s="45" t="s">
        <v>128</v>
      </c>
      <c r="X39" s="45" t="s">
        <v>128</v>
      </c>
      <c r="Y39" s="45" t="s">
        <v>128</v>
      </c>
      <c r="Z39" s="45" t="s">
        <v>128</v>
      </c>
      <c r="AA39" s="45" t="s">
        <v>128</v>
      </c>
      <c r="AB39" s="45" t="s">
        <v>128</v>
      </c>
      <c r="AC39" s="107" t="s">
        <v>128</v>
      </c>
      <c r="AD39" s="107" t="s">
        <v>128</v>
      </c>
      <c r="AE39" s="107" t="s">
        <v>128</v>
      </c>
      <c r="AF39" s="107" t="s">
        <v>128</v>
      </c>
      <c r="AG39" s="107" t="s">
        <v>128</v>
      </c>
      <c r="AH39" s="107" t="s">
        <v>128</v>
      </c>
      <c r="AI39" s="228"/>
      <c r="AJ39" s="228"/>
      <c r="AK39" s="228"/>
      <c r="AL39" s="228"/>
      <c r="AM39" s="228"/>
      <c r="AN39" s="140"/>
      <c r="AO39" s="228"/>
      <c r="AP39" s="228"/>
    </row>
    <row r="40" spans="1:42" s="48" customFormat="1" x14ac:dyDescent="0.2">
      <c r="A40" s="209"/>
      <c r="B40" s="8"/>
      <c r="C40" s="8"/>
      <c r="D40" s="8"/>
      <c r="E40" s="8"/>
      <c r="F40" s="8"/>
      <c r="G40" s="8"/>
      <c r="H40" s="8"/>
      <c r="I40" s="8"/>
      <c r="J40" s="37"/>
      <c r="K40" s="19">
        <v>0</v>
      </c>
      <c r="L40" s="198" t="s">
        <v>128</v>
      </c>
      <c r="M40" s="198" t="s">
        <v>128</v>
      </c>
      <c r="N40" s="197" t="s">
        <v>128</v>
      </c>
      <c r="O40" s="195">
        <v>1</v>
      </c>
      <c r="P40" s="45" t="s">
        <v>128</v>
      </c>
      <c r="Q40" s="45" t="s">
        <v>128</v>
      </c>
      <c r="R40" s="45" t="s">
        <v>128</v>
      </c>
      <c r="S40" s="45" t="s">
        <v>128</v>
      </c>
      <c r="T40" s="45" t="s">
        <v>128</v>
      </c>
      <c r="U40" s="45" t="s">
        <v>128</v>
      </c>
      <c r="V40" s="45" t="s">
        <v>128</v>
      </c>
      <c r="W40" s="45" t="s">
        <v>128</v>
      </c>
      <c r="X40" s="45" t="s">
        <v>128</v>
      </c>
      <c r="Y40" s="45" t="s">
        <v>128</v>
      </c>
      <c r="Z40" s="45" t="s">
        <v>128</v>
      </c>
      <c r="AA40" s="45" t="s">
        <v>128</v>
      </c>
      <c r="AB40" s="45" t="s">
        <v>128</v>
      </c>
      <c r="AC40" s="107" t="s">
        <v>128</v>
      </c>
      <c r="AD40" s="107" t="s">
        <v>128</v>
      </c>
      <c r="AE40" s="107" t="s">
        <v>128</v>
      </c>
      <c r="AF40" s="107" t="s">
        <v>128</v>
      </c>
      <c r="AG40" s="107" t="s">
        <v>128</v>
      </c>
      <c r="AH40" s="107" t="s">
        <v>128</v>
      </c>
      <c r="AI40" s="228"/>
      <c r="AJ40" s="228"/>
      <c r="AK40" s="228"/>
      <c r="AL40" s="228"/>
      <c r="AM40" s="228"/>
      <c r="AN40" s="140"/>
      <c r="AO40" s="228"/>
      <c r="AP40" s="228"/>
    </row>
    <row r="41" spans="1:42" s="48" customFormat="1" x14ac:dyDescent="0.15">
      <c r="A41" s="22"/>
      <c r="B41" s="22"/>
      <c r="C41" s="22"/>
      <c r="D41" s="22"/>
      <c r="E41" s="22"/>
      <c r="F41" s="22"/>
      <c r="G41" s="22"/>
      <c r="H41" s="22"/>
      <c r="I41" s="22"/>
      <c r="J41" s="36"/>
      <c r="K41" s="19">
        <v>0</v>
      </c>
      <c r="L41" s="198" t="s">
        <v>128</v>
      </c>
      <c r="M41" s="198" t="s">
        <v>128</v>
      </c>
      <c r="N41" s="197" t="s">
        <v>128</v>
      </c>
      <c r="O41" s="195">
        <v>1</v>
      </c>
      <c r="P41" s="45" t="s">
        <v>128</v>
      </c>
      <c r="Q41" s="45" t="s">
        <v>128</v>
      </c>
      <c r="R41" s="45" t="s">
        <v>128</v>
      </c>
      <c r="S41" s="45" t="s">
        <v>128</v>
      </c>
      <c r="T41" s="45" t="s">
        <v>128</v>
      </c>
      <c r="U41" s="45" t="s">
        <v>128</v>
      </c>
      <c r="V41" s="45" t="s">
        <v>128</v>
      </c>
      <c r="W41" s="45" t="s">
        <v>128</v>
      </c>
      <c r="X41" s="45" t="s">
        <v>128</v>
      </c>
      <c r="Y41" s="45" t="s">
        <v>128</v>
      </c>
      <c r="Z41" s="45" t="s">
        <v>128</v>
      </c>
      <c r="AA41" s="45" t="s">
        <v>128</v>
      </c>
      <c r="AB41" s="45" t="s">
        <v>128</v>
      </c>
      <c r="AC41" s="107" t="s">
        <v>128</v>
      </c>
      <c r="AD41" s="107" t="s">
        <v>128</v>
      </c>
      <c r="AE41" s="107" t="s">
        <v>128</v>
      </c>
      <c r="AF41" s="107" t="s">
        <v>128</v>
      </c>
      <c r="AG41" s="107" t="s">
        <v>128</v>
      </c>
      <c r="AH41" s="107" t="s">
        <v>128</v>
      </c>
      <c r="AI41" s="205"/>
      <c r="AJ41" s="140"/>
      <c r="AK41" s="305"/>
      <c r="AL41" s="306"/>
      <c r="AM41" s="228"/>
      <c r="AN41" s="140"/>
      <c r="AO41" s="140"/>
      <c r="AP41" s="140"/>
    </row>
    <row r="42" spans="1:42" s="48" customFormat="1" x14ac:dyDescent="0.2">
      <c r="A42" s="209"/>
      <c r="B42" s="8"/>
      <c r="C42" s="8"/>
      <c r="D42" s="8"/>
      <c r="E42" s="8"/>
      <c r="F42" s="8"/>
      <c r="G42" s="8"/>
      <c r="H42" s="8"/>
      <c r="I42" s="8"/>
      <c r="J42" s="37"/>
      <c r="K42" s="19">
        <v>0</v>
      </c>
      <c r="L42" s="198" t="s">
        <v>128</v>
      </c>
      <c r="M42" s="198" t="s">
        <v>128</v>
      </c>
      <c r="N42" s="197" t="s">
        <v>128</v>
      </c>
      <c r="O42" s="195">
        <v>1</v>
      </c>
      <c r="P42" s="45" t="s">
        <v>128</v>
      </c>
      <c r="Q42" s="45" t="s">
        <v>128</v>
      </c>
      <c r="R42" s="45" t="s">
        <v>128</v>
      </c>
      <c r="S42" s="45" t="s">
        <v>128</v>
      </c>
      <c r="T42" s="45" t="s">
        <v>128</v>
      </c>
      <c r="U42" s="45" t="s">
        <v>128</v>
      </c>
      <c r="V42" s="45" t="s">
        <v>128</v>
      </c>
      <c r="W42" s="45" t="s">
        <v>128</v>
      </c>
      <c r="X42" s="45" t="s">
        <v>128</v>
      </c>
      <c r="Y42" s="45" t="s">
        <v>128</v>
      </c>
      <c r="Z42" s="45" t="s">
        <v>128</v>
      </c>
      <c r="AA42" s="45" t="s">
        <v>128</v>
      </c>
      <c r="AB42" s="45" t="s">
        <v>128</v>
      </c>
      <c r="AC42" s="107" t="s">
        <v>128</v>
      </c>
      <c r="AD42" s="107" t="s">
        <v>128</v>
      </c>
      <c r="AE42" s="107" t="s">
        <v>128</v>
      </c>
      <c r="AF42" s="107" t="s">
        <v>128</v>
      </c>
      <c r="AG42" s="107" t="s">
        <v>128</v>
      </c>
      <c r="AH42" s="107" t="s">
        <v>128</v>
      </c>
      <c r="AI42" s="228"/>
      <c r="AJ42" s="140"/>
      <c r="AK42" s="228"/>
      <c r="AL42" s="228"/>
      <c r="AM42" s="228"/>
      <c r="AN42" s="140"/>
      <c r="AO42" s="228"/>
      <c r="AP42" s="228"/>
    </row>
    <row r="43" spans="1:42" s="48" customFormat="1" x14ac:dyDescent="0.15">
      <c r="A43" s="22"/>
      <c r="B43" s="22"/>
      <c r="C43" s="22"/>
      <c r="D43" s="22"/>
      <c r="E43" s="22"/>
      <c r="F43" s="22"/>
      <c r="G43" s="22"/>
      <c r="H43" s="22"/>
      <c r="I43" s="22"/>
      <c r="J43" s="36"/>
      <c r="K43" s="19">
        <v>0</v>
      </c>
      <c r="L43" s="198" t="s">
        <v>128</v>
      </c>
      <c r="M43" s="198" t="s">
        <v>128</v>
      </c>
      <c r="N43" s="197" t="s">
        <v>128</v>
      </c>
      <c r="O43" s="195">
        <v>1</v>
      </c>
      <c r="P43" s="45" t="s">
        <v>128</v>
      </c>
      <c r="Q43" s="45" t="s">
        <v>128</v>
      </c>
      <c r="R43" s="45" t="s">
        <v>128</v>
      </c>
      <c r="S43" s="45" t="s">
        <v>128</v>
      </c>
      <c r="T43" s="45" t="s">
        <v>128</v>
      </c>
      <c r="U43" s="45" t="s">
        <v>128</v>
      </c>
      <c r="V43" s="45" t="s">
        <v>128</v>
      </c>
      <c r="W43" s="45" t="s">
        <v>128</v>
      </c>
      <c r="X43" s="45" t="s">
        <v>128</v>
      </c>
      <c r="Y43" s="45" t="s">
        <v>128</v>
      </c>
      <c r="Z43" s="45" t="s">
        <v>128</v>
      </c>
      <c r="AA43" s="45" t="s">
        <v>128</v>
      </c>
      <c r="AB43" s="45" t="s">
        <v>128</v>
      </c>
      <c r="AC43" s="107" t="s">
        <v>128</v>
      </c>
      <c r="AD43" s="107" t="s">
        <v>128</v>
      </c>
      <c r="AE43" s="107" t="s">
        <v>128</v>
      </c>
      <c r="AF43" s="107" t="s">
        <v>128</v>
      </c>
      <c r="AG43" s="107" t="s">
        <v>128</v>
      </c>
      <c r="AH43" s="107" t="s">
        <v>128</v>
      </c>
      <c r="AI43" s="280"/>
      <c r="AJ43" s="274"/>
      <c r="AK43" s="307"/>
      <c r="AL43" s="308"/>
      <c r="AM43" s="273"/>
      <c r="AN43" s="274"/>
      <c r="AO43" s="274"/>
      <c r="AP43" s="274"/>
    </row>
    <row r="44" spans="1:42" s="48" customFormat="1" x14ac:dyDescent="0.2">
      <c r="A44" s="209"/>
      <c r="B44" s="8"/>
      <c r="C44" s="8"/>
      <c r="D44" s="8"/>
      <c r="E44" s="8"/>
      <c r="F44" s="8"/>
      <c r="G44" s="8"/>
      <c r="H44" s="8"/>
      <c r="I44" s="8"/>
      <c r="J44" s="37"/>
      <c r="K44" s="19">
        <v>0</v>
      </c>
      <c r="L44" s="198" t="s">
        <v>128</v>
      </c>
      <c r="M44" s="198" t="s">
        <v>128</v>
      </c>
      <c r="N44" s="197" t="s">
        <v>128</v>
      </c>
      <c r="O44" s="195">
        <v>1</v>
      </c>
      <c r="P44" s="45" t="s">
        <v>128</v>
      </c>
      <c r="Q44" s="45" t="s">
        <v>128</v>
      </c>
      <c r="R44" s="45" t="s">
        <v>128</v>
      </c>
      <c r="S44" s="45" t="s">
        <v>128</v>
      </c>
      <c r="T44" s="45" t="s">
        <v>128</v>
      </c>
      <c r="U44" s="45" t="s">
        <v>128</v>
      </c>
      <c r="V44" s="45" t="s">
        <v>128</v>
      </c>
      <c r="W44" s="45" t="s">
        <v>128</v>
      </c>
      <c r="X44" s="45" t="s">
        <v>128</v>
      </c>
      <c r="Y44" s="45" t="s">
        <v>128</v>
      </c>
      <c r="Z44" s="45" t="s">
        <v>128</v>
      </c>
      <c r="AA44" s="45" t="s">
        <v>128</v>
      </c>
      <c r="AB44" s="45" t="s">
        <v>128</v>
      </c>
      <c r="AC44" s="107" t="s">
        <v>128</v>
      </c>
      <c r="AD44" s="107" t="s">
        <v>128</v>
      </c>
      <c r="AE44" s="107" t="s">
        <v>128</v>
      </c>
      <c r="AF44" s="107" t="s">
        <v>128</v>
      </c>
      <c r="AG44" s="107" t="s">
        <v>128</v>
      </c>
      <c r="AH44" s="107" t="s">
        <v>128</v>
      </c>
      <c r="AI44" s="228"/>
      <c r="AJ44" s="228"/>
      <c r="AK44" s="228"/>
      <c r="AL44" s="228"/>
      <c r="AM44" s="228"/>
      <c r="AN44" s="228"/>
      <c r="AO44" s="228"/>
      <c r="AP44" s="228"/>
    </row>
    <row r="45" spans="1:42" s="48" customFormat="1" x14ac:dyDescent="0.2">
      <c r="A45" s="22"/>
      <c r="B45" s="22"/>
      <c r="C45" s="22"/>
      <c r="D45" s="22"/>
      <c r="E45" s="22"/>
      <c r="F45" s="22"/>
      <c r="G45" s="22"/>
      <c r="H45" s="22"/>
      <c r="I45" s="22"/>
      <c r="J45" s="36"/>
      <c r="K45" s="19">
        <v>0</v>
      </c>
      <c r="L45" s="198" t="s">
        <v>128</v>
      </c>
      <c r="M45" s="198" t="s">
        <v>128</v>
      </c>
      <c r="N45" s="197" t="s">
        <v>128</v>
      </c>
      <c r="O45" s="195">
        <v>1</v>
      </c>
      <c r="P45" s="45" t="s">
        <v>128</v>
      </c>
      <c r="Q45" s="45" t="s">
        <v>128</v>
      </c>
      <c r="R45" s="45" t="s">
        <v>128</v>
      </c>
      <c r="S45" s="45" t="s">
        <v>128</v>
      </c>
      <c r="T45" s="45" t="s">
        <v>128</v>
      </c>
      <c r="U45" s="45" t="s">
        <v>128</v>
      </c>
      <c r="V45" s="45" t="s">
        <v>128</v>
      </c>
      <c r="W45" s="45" t="s">
        <v>128</v>
      </c>
      <c r="X45" s="45" t="s">
        <v>128</v>
      </c>
      <c r="Y45" s="45" t="s">
        <v>128</v>
      </c>
      <c r="Z45" s="45" t="s">
        <v>128</v>
      </c>
      <c r="AA45" s="45" t="s">
        <v>128</v>
      </c>
      <c r="AB45" s="45" t="s">
        <v>128</v>
      </c>
      <c r="AC45" s="107" t="s">
        <v>128</v>
      </c>
      <c r="AD45" s="107" t="s">
        <v>128</v>
      </c>
      <c r="AE45" s="107" t="s">
        <v>128</v>
      </c>
      <c r="AF45" s="107" t="s">
        <v>128</v>
      </c>
      <c r="AG45" s="107" t="s">
        <v>128</v>
      </c>
      <c r="AH45" s="107" t="s">
        <v>128</v>
      </c>
      <c r="AI45" s="228"/>
      <c r="AJ45" s="228"/>
      <c r="AK45" s="228"/>
      <c r="AL45" s="228"/>
      <c r="AM45" s="228"/>
      <c r="AN45" s="228"/>
      <c r="AO45" s="228"/>
      <c r="AP45" s="228"/>
    </row>
    <row r="46" spans="1:42" s="48" customFormat="1" x14ac:dyDescent="0.2">
      <c r="A46" s="209"/>
      <c r="B46" s="8"/>
      <c r="C46" s="8"/>
      <c r="D46" s="8"/>
      <c r="E46" s="8"/>
      <c r="F46" s="8"/>
      <c r="G46" s="8"/>
      <c r="H46" s="8"/>
      <c r="I46" s="8"/>
      <c r="J46" s="37"/>
      <c r="K46" s="19">
        <v>0</v>
      </c>
      <c r="L46" s="198" t="s">
        <v>128</v>
      </c>
      <c r="M46" s="198" t="s">
        <v>128</v>
      </c>
      <c r="N46" s="197" t="s">
        <v>128</v>
      </c>
      <c r="O46" s="195">
        <v>1</v>
      </c>
      <c r="P46" s="45" t="s">
        <v>128</v>
      </c>
      <c r="Q46" s="45" t="s">
        <v>128</v>
      </c>
      <c r="R46" s="45" t="s">
        <v>128</v>
      </c>
      <c r="S46" s="45" t="s">
        <v>128</v>
      </c>
      <c r="T46" s="45" t="s">
        <v>128</v>
      </c>
      <c r="U46" s="45" t="s">
        <v>128</v>
      </c>
      <c r="V46" s="45" t="s">
        <v>128</v>
      </c>
      <c r="W46" s="45" t="s">
        <v>128</v>
      </c>
      <c r="X46" s="45" t="s">
        <v>128</v>
      </c>
      <c r="Y46" s="45" t="s">
        <v>128</v>
      </c>
      <c r="Z46" s="45" t="s">
        <v>128</v>
      </c>
      <c r="AA46" s="45" t="s">
        <v>128</v>
      </c>
      <c r="AB46" s="45" t="s">
        <v>128</v>
      </c>
      <c r="AC46" s="107" t="s">
        <v>128</v>
      </c>
      <c r="AD46" s="107" t="s">
        <v>128</v>
      </c>
      <c r="AE46" s="107" t="s">
        <v>128</v>
      </c>
      <c r="AF46" s="107" t="s">
        <v>128</v>
      </c>
      <c r="AG46" s="107" t="s">
        <v>128</v>
      </c>
      <c r="AH46" s="107" t="s">
        <v>128</v>
      </c>
      <c r="AI46" s="228"/>
      <c r="AJ46" s="228"/>
      <c r="AK46" s="228"/>
      <c r="AL46" s="228"/>
      <c r="AM46" s="228"/>
      <c r="AN46" s="228"/>
      <c r="AO46" s="228"/>
      <c r="AP46" s="228"/>
    </row>
    <row r="47" spans="1:42" s="48" customFormat="1" x14ac:dyDescent="0.2">
      <c r="A47" s="22"/>
      <c r="B47" s="22"/>
      <c r="C47" s="22"/>
      <c r="D47" s="22"/>
      <c r="E47" s="22"/>
      <c r="F47" s="22"/>
      <c r="G47" s="22"/>
      <c r="H47" s="22"/>
      <c r="I47" s="22"/>
      <c r="J47" s="36"/>
      <c r="K47" s="19">
        <v>0</v>
      </c>
      <c r="L47" s="198" t="s">
        <v>128</v>
      </c>
      <c r="M47" s="198" t="s">
        <v>128</v>
      </c>
      <c r="N47" s="197" t="s">
        <v>128</v>
      </c>
      <c r="O47" s="195">
        <v>1</v>
      </c>
      <c r="P47" s="45" t="s">
        <v>128</v>
      </c>
      <c r="Q47" s="45" t="s">
        <v>128</v>
      </c>
      <c r="R47" s="45" t="s">
        <v>128</v>
      </c>
      <c r="S47" s="45" t="s">
        <v>128</v>
      </c>
      <c r="T47" s="45" t="s">
        <v>128</v>
      </c>
      <c r="U47" s="45" t="s">
        <v>128</v>
      </c>
      <c r="V47" s="45" t="s">
        <v>128</v>
      </c>
      <c r="W47" s="45" t="s">
        <v>128</v>
      </c>
      <c r="X47" s="45" t="s">
        <v>128</v>
      </c>
      <c r="Y47" s="45" t="s">
        <v>128</v>
      </c>
      <c r="Z47" s="45" t="s">
        <v>128</v>
      </c>
      <c r="AA47" s="45" t="s">
        <v>128</v>
      </c>
      <c r="AB47" s="45" t="s">
        <v>128</v>
      </c>
      <c r="AC47" s="107" t="s">
        <v>128</v>
      </c>
      <c r="AD47" s="107" t="s">
        <v>128</v>
      </c>
      <c r="AE47" s="107" t="s">
        <v>128</v>
      </c>
      <c r="AF47" s="107" t="s">
        <v>128</v>
      </c>
      <c r="AG47" s="107" t="s">
        <v>128</v>
      </c>
      <c r="AH47" s="107" t="s">
        <v>128</v>
      </c>
      <c r="AI47" s="228"/>
      <c r="AJ47" s="228"/>
      <c r="AK47" s="228"/>
      <c r="AL47" s="228"/>
      <c r="AM47" s="228"/>
      <c r="AN47" s="228"/>
      <c r="AO47" s="228"/>
      <c r="AP47" s="228"/>
    </row>
    <row r="48" spans="1:42" s="48" customFormat="1" x14ac:dyDescent="0.2">
      <c r="A48" s="209"/>
      <c r="B48" s="8"/>
      <c r="C48" s="8"/>
      <c r="D48" s="8"/>
      <c r="E48" s="8"/>
      <c r="F48" s="8"/>
      <c r="G48" s="8"/>
      <c r="H48" s="8"/>
      <c r="I48" s="8"/>
      <c r="J48" s="37"/>
      <c r="K48" s="19">
        <v>0</v>
      </c>
      <c r="L48" s="198" t="s">
        <v>128</v>
      </c>
      <c r="M48" s="198" t="s">
        <v>128</v>
      </c>
      <c r="N48" s="197" t="s">
        <v>128</v>
      </c>
      <c r="O48" s="195">
        <v>1</v>
      </c>
      <c r="P48" s="45" t="s">
        <v>128</v>
      </c>
      <c r="Q48" s="45" t="s">
        <v>128</v>
      </c>
      <c r="R48" s="45" t="s">
        <v>128</v>
      </c>
      <c r="S48" s="45" t="s">
        <v>128</v>
      </c>
      <c r="T48" s="45" t="s">
        <v>128</v>
      </c>
      <c r="U48" s="45" t="s">
        <v>128</v>
      </c>
      <c r="V48" s="45" t="s">
        <v>128</v>
      </c>
      <c r="W48" s="45" t="s">
        <v>128</v>
      </c>
      <c r="X48" s="45" t="s">
        <v>128</v>
      </c>
      <c r="Y48" s="45" t="s">
        <v>128</v>
      </c>
      <c r="Z48" s="45" t="s">
        <v>128</v>
      </c>
      <c r="AA48" s="45" t="s">
        <v>128</v>
      </c>
      <c r="AB48" s="45" t="s">
        <v>128</v>
      </c>
      <c r="AC48" s="107" t="s">
        <v>128</v>
      </c>
      <c r="AD48" s="107" t="s">
        <v>128</v>
      </c>
      <c r="AE48" s="107" t="s">
        <v>128</v>
      </c>
      <c r="AF48" s="107" t="s">
        <v>128</v>
      </c>
      <c r="AG48" s="107" t="s">
        <v>128</v>
      </c>
      <c r="AH48" s="107" t="s">
        <v>128</v>
      </c>
      <c r="AI48" s="228"/>
      <c r="AJ48" s="228"/>
      <c r="AK48" s="228"/>
      <c r="AL48" s="228"/>
      <c r="AM48" s="228"/>
      <c r="AN48" s="228"/>
      <c r="AO48" s="228"/>
      <c r="AP48" s="228"/>
    </row>
    <row r="49" spans="1:42" s="48" customFormat="1" x14ac:dyDescent="0.2">
      <c r="A49" s="22"/>
      <c r="B49" s="22"/>
      <c r="C49" s="22"/>
      <c r="D49" s="22"/>
      <c r="E49" s="22"/>
      <c r="F49" s="22"/>
      <c r="G49" s="22"/>
      <c r="H49" s="22"/>
      <c r="I49" s="22"/>
      <c r="J49" s="36"/>
      <c r="K49" s="19">
        <v>0</v>
      </c>
      <c r="L49" s="198" t="s">
        <v>128</v>
      </c>
      <c r="M49" s="198" t="s">
        <v>128</v>
      </c>
      <c r="N49" s="197" t="s">
        <v>128</v>
      </c>
      <c r="O49" s="195">
        <v>1</v>
      </c>
      <c r="P49" s="45" t="s">
        <v>128</v>
      </c>
      <c r="Q49" s="45" t="s">
        <v>128</v>
      </c>
      <c r="R49" s="45" t="s">
        <v>128</v>
      </c>
      <c r="S49" s="45" t="s">
        <v>128</v>
      </c>
      <c r="T49" s="45" t="s">
        <v>128</v>
      </c>
      <c r="U49" s="45" t="s">
        <v>128</v>
      </c>
      <c r="V49" s="45" t="s">
        <v>128</v>
      </c>
      <c r="W49" s="45" t="s">
        <v>128</v>
      </c>
      <c r="X49" s="45" t="s">
        <v>128</v>
      </c>
      <c r="Y49" s="45" t="s">
        <v>128</v>
      </c>
      <c r="Z49" s="45" t="s">
        <v>128</v>
      </c>
      <c r="AA49" s="45" t="s">
        <v>128</v>
      </c>
      <c r="AB49" s="45" t="s">
        <v>128</v>
      </c>
      <c r="AC49" s="107" t="s">
        <v>128</v>
      </c>
      <c r="AD49" s="107" t="s">
        <v>128</v>
      </c>
      <c r="AE49" s="107" t="s">
        <v>128</v>
      </c>
      <c r="AF49" s="107" t="s">
        <v>128</v>
      </c>
      <c r="AG49" s="107" t="s">
        <v>128</v>
      </c>
      <c r="AH49" s="107" t="s">
        <v>128</v>
      </c>
      <c r="AI49" s="228"/>
      <c r="AJ49" s="228"/>
      <c r="AK49" s="228"/>
      <c r="AL49" s="228"/>
      <c r="AM49" s="228"/>
      <c r="AN49" s="228"/>
      <c r="AO49" s="228"/>
      <c r="AP49" s="228"/>
    </row>
    <row r="50" spans="1:42" s="48" customFormat="1" x14ac:dyDescent="0.2">
      <c r="A50" s="209"/>
      <c r="B50" s="8"/>
      <c r="C50" s="8"/>
      <c r="D50" s="8"/>
      <c r="E50" s="8"/>
      <c r="F50" s="8"/>
      <c r="G50" s="8"/>
      <c r="H50" s="8"/>
      <c r="I50" s="8"/>
      <c r="J50" s="37"/>
      <c r="K50" s="19">
        <v>0</v>
      </c>
      <c r="L50" s="198" t="s">
        <v>128</v>
      </c>
      <c r="M50" s="198" t="s">
        <v>128</v>
      </c>
      <c r="N50" s="197" t="s">
        <v>128</v>
      </c>
      <c r="O50" s="195">
        <v>1</v>
      </c>
      <c r="P50" s="45" t="s">
        <v>128</v>
      </c>
      <c r="Q50" s="45" t="s">
        <v>128</v>
      </c>
      <c r="R50" s="45" t="s">
        <v>128</v>
      </c>
      <c r="S50" s="45" t="s">
        <v>128</v>
      </c>
      <c r="T50" s="45" t="s">
        <v>128</v>
      </c>
      <c r="U50" s="45" t="s">
        <v>128</v>
      </c>
      <c r="V50" s="45" t="s">
        <v>128</v>
      </c>
      <c r="W50" s="45" t="s">
        <v>128</v>
      </c>
      <c r="X50" s="45" t="s">
        <v>128</v>
      </c>
      <c r="Y50" s="45" t="s">
        <v>128</v>
      </c>
      <c r="Z50" s="45" t="s">
        <v>128</v>
      </c>
      <c r="AA50" s="45" t="s">
        <v>128</v>
      </c>
      <c r="AB50" s="45" t="s">
        <v>128</v>
      </c>
      <c r="AC50" s="107" t="s">
        <v>128</v>
      </c>
      <c r="AD50" s="107" t="s">
        <v>128</v>
      </c>
      <c r="AE50" s="107" t="s">
        <v>128</v>
      </c>
      <c r="AF50" s="107" t="s">
        <v>128</v>
      </c>
      <c r="AG50" s="107" t="s">
        <v>128</v>
      </c>
      <c r="AH50" s="107" t="s">
        <v>128</v>
      </c>
      <c r="AI50" s="228"/>
      <c r="AJ50" s="228"/>
      <c r="AK50" s="228"/>
      <c r="AL50" s="228"/>
      <c r="AM50" s="228"/>
      <c r="AN50" s="228"/>
      <c r="AO50" s="228"/>
      <c r="AP50" s="228"/>
    </row>
    <row r="51" spans="1:42" s="48" customFormat="1" x14ac:dyDescent="0.2">
      <c r="A51" s="22"/>
      <c r="B51" s="22"/>
      <c r="C51" s="22"/>
      <c r="D51" s="22"/>
      <c r="E51" s="22"/>
      <c r="F51" s="22"/>
      <c r="G51" s="22"/>
      <c r="H51" s="22"/>
      <c r="I51" s="22"/>
      <c r="J51" s="36"/>
      <c r="K51" s="19">
        <v>0</v>
      </c>
      <c r="L51" s="198" t="s">
        <v>128</v>
      </c>
      <c r="M51" s="198" t="s">
        <v>128</v>
      </c>
      <c r="N51" s="197" t="s">
        <v>128</v>
      </c>
      <c r="O51" s="195">
        <v>1</v>
      </c>
      <c r="P51" s="45" t="s">
        <v>128</v>
      </c>
      <c r="Q51" s="45" t="s">
        <v>128</v>
      </c>
      <c r="R51" s="45" t="s">
        <v>128</v>
      </c>
      <c r="S51" s="45" t="s">
        <v>128</v>
      </c>
      <c r="T51" s="45" t="s">
        <v>128</v>
      </c>
      <c r="U51" s="45" t="s">
        <v>128</v>
      </c>
      <c r="V51" s="45" t="s">
        <v>128</v>
      </c>
      <c r="W51" s="45" t="s">
        <v>128</v>
      </c>
      <c r="X51" s="45" t="s">
        <v>128</v>
      </c>
      <c r="Y51" s="45" t="s">
        <v>128</v>
      </c>
      <c r="Z51" s="45" t="s">
        <v>128</v>
      </c>
      <c r="AA51" s="45" t="s">
        <v>128</v>
      </c>
      <c r="AB51" s="45" t="s">
        <v>128</v>
      </c>
      <c r="AC51" s="107" t="s">
        <v>128</v>
      </c>
      <c r="AD51" s="107" t="s">
        <v>128</v>
      </c>
      <c r="AE51" s="107" t="s">
        <v>128</v>
      </c>
      <c r="AF51" s="107" t="s">
        <v>128</v>
      </c>
      <c r="AG51" s="107" t="s">
        <v>128</v>
      </c>
      <c r="AH51" s="107" t="s">
        <v>128</v>
      </c>
      <c r="AI51" s="228"/>
      <c r="AJ51" s="228"/>
      <c r="AK51" s="228"/>
      <c r="AL51" s="228"/>
      <c r="AM51" s="228"/>
      <c r="AN51" s="228"/>
      <c r="AO51" s="228"/>
      <c r="AP51" s="228"/>
    </row>
    <row r="52" spans="1:42" s="48" customFormat="1" x14ac:dyDescent="0.2">
      <c r="A52" s="209"/>
      <c r="B52" s="8"/>
      <c r="C52" s="8"/>
      <c r="D52" s="8"/>
      <c r="E52" s="8"/>
      <c r="F52" s="8"/>
      <c r="G52" s="8"/>
      <c r="H52" s="8"/>
      <c r="I52" s="8"/>
      <c r="J52" s="37"/>
      <c r="K52" s="19">
        <v>0</v>
      </c>
      <c r="L52" s="198" t="s">
        <v>128</v>
      </c>
      <c r="M52" s="198" t="s">
        <v>128</v>
      </c>
      <c r="N52" s="197" t="s">
        <v>128</v>
      </c>
      <c r="O52" s="195">
        <v>1</v>
      </c>
      <c r="P52" s="45" t="s">
        <v>128</v>
      </c>
      <c r="Q52" s="45" t="s">
        <v>128</v>
      </c>
      <c r="R52" s="45" t="s">
        <v>128</v>
      </c>
      <c r="S52" s="45" t="s">
        <v>128</v>
      </c>
      <c r="T52" s="45" t="s">
        <v>128</v>
      </c>
      <c r="U52" s="45" t="s">
        <v>128</v>
      </c>
      <c r="V52" s="45" t="s">
        <v>128</v>
      </c>
      <c r="W52" s="45" t="s">
        <v>128</v>
      </c>
      <c r="X52" s="45" t="s">
        <v>128</v>
      </c>
      <c r="Y52" s="45" t="s">
        <v>128</v>
      </c>
      <c r="Z52" s="45" t="s">
        <v>128</v>
      </c>
      <c r="AA52" s="45" t="s">
        <v>128</v>
      </c>
      <c r="AB52" s="45" t="s">
        <v>128</v>
      </c>
      <c r="AC52" s="107" t="s">
        <v>128</v>
      </c>
      <c r="AD52" s="107" t="s">
        <v>128</v>
      </c>
      <c r="AE52" s="107" t="s">
        <v>128</v>
      </c>
      <c r="AF52" s="107" t="s">
        <v>128</v>
      </c>
      <c r="AG52" s="107" t="s">
        <v>128</v>
      </c>
      <c r="AH52" s="107" t="s">
        <v>128</v>
      </c>
      <c r="AI52" s="228"/>
      <c r="AJ52" s="228"/>
      <c r="AK52" s="228"/>
      <c r="AL52" s="228"/>
      <c r="AM52" s="228"/>
      <c r="AN52" s="228"/>
      <c r="AO52" s="228"/>
      <c r="AP52" s="228"/>
    </row>
    <row r="53" spans="1:42" s="48" customFormat="1" x14ac:dyDescent="0.2">
      <c r="A53" s="22"/>
      <c r="B53" s="22"/>
      <c r="C53" s="22"/>
      <c r="D53" s="22"/>
      <c r="E53" s="22"/>
      <c r="F53" s="22"/>
      <c r="G53" s="22"/>
      <c r="H53" s="22"/>
      <c r="I53" s="22"/>
      <c r="J53" s="36"/>
      <c r="K53" s="19">
        <v>0</v>
      </c>
      <c r="L53" s="198" t="s">
        <v>128</v>
      </c>
      <c r="M53" s="198" t="s">
        <v>128</v>
      </c>
      <c r="N53" s="197" t="s">
        <v>128</v>
      </c>
      <c r="O53" s="195">
        <v>1</v>
      </c>
      <c r="P53" s="45" t="s">
        <v>128</v>
      </c>
      <c r="Q53" s="45" t="s">
        <v>128</v>
      </c>
      <c r="R53" s="45" t="s">
        <v>128</v>
      </c>
      <c r="S53" s="45" t="s">
        <v>128</v>
      </c>
      <c r="T53" s="45" t="s">
        <v>128</v>
      </c>
      <c r="U53" s="45" t="s">
        <v>128</v>
      </c>
      <c r="V53" s="45" t="s">
        <v>128</v>
      </c>
      <c r="W53" s="45" t="s">
        <v>128</v>
      </c>
      <c r="X53" s="45" t="s">
        <v>128</v>
      </c>
      <c r="Y53" s="45" t="s">
        <v>128</v>
      </c>
      <c r="Z53" s="45" t="s">
        <v>128</v>
      </c>
      <c r="AA53" s="45" t="s">
        <v>128</v>
      </c>
      <c r="AB53" s="45" t="s">
        <v>128</v>
      </c>
      <c r="AC53" s="107" t="s">
        <v>128</v>
      </c>
      <c r="AD53" s="107" t="s">
        <v>128</v>
      </c>
      <c r="AE53" s="107" t="s">
        <v>128</v>
      </c>
      <c r="AF53" s="107" t="s">
        <v>128</v>
      </c>
      <c r="AG53" s="107" t="s">
        <v>128</v>
      </c>
      <c r="AH53" s="107" t="s">
        <v>128</v>
      </c>
      <c r="AI53" s="228"/>
      <c r="AJ53" s="228"/>
      <c r="AK53" s="228"/>
      <c r="AL53" s="228"/>
      <c r="AM53" s="228"/>
      <c r="AN53" s="228"/>
      <c r="AO53" s="228"/>
      <c r="AP53" s="228"/>
    </row>
    <row r="54" spans="1:42" s="48" customFormat="1" x14ac:dyDescent="0.2">
      <c r="A54" s="209"/>
      <c r="B54" s="8"/>
      <c r="C54" s="8"/>
      <c r="D54" s="8"/>
      <c r="E54" s="8"/>
      <c r="F54" s="8"/>
      <c r="G54" s="8"/>
      <c r="H54" s="8"/>
      <c r="I54" s="8"/>
      <c r="J54" s="37"/>
      <c r="K54" s="19">
        <v>0</v>
      </c>
      <c r="L54" s="198" t="s">
        <v>128</v>
      </c>
      <c r="M54" s="198" t="s">
        <v>128</v>
      </c>
      <c r="N54" s="197" t="s">
        <v>128</v>
      </c>
      <c r="O54" s="195">
        <v>1</v>
      </c>
      <c r="P54" s="45" t="s">
        <v>128</v>
      </c>
      <c r="Q54" s="45" t="s">
        <v>128</v>
      </c>
      <c r="R54" s="45" t="s">
        <v>128</v>
      </c>
      <c r="S54" s="45" t="s">
        <v>128</v>
      </c>
      <c r="T54" s="45" t="s">
        <v>128</v>
      </c>
      <c r="U54" s="45" t="s">
        <v>128</v>
      </c>
      <c r="V54" s="45" t="s">
        <v>128</v>
      </c>
      <c r="W54" s="45" t="s">
        <v>128</v>
      </c>
      <c r="X54" s="45" t="s">
        <v>128</v>
      </c>
      <c r="Y54" s="45" t="s">
        <v>128</v>
      </c>
      <c r="Z54" s="45" t="s">
        <v>128</v>
      </c>
      <c r="AA54" s="45" t="s">
        <v>128</v>
      </c>
      <c r="AB54" s="45" t="s">
        <v>128</v>
      </c>
      <c r="AC54" s="107" t="s">
        <v>128</v>
      </c>
      <c r="AD54" s="107" t="s">
        <v>128</v>
      </c>
      <c r="AE54" s="107" t="s">
        <v>128</v>
      </c>
      <c r="AF54" s="107" t="s">
        <v>128</v>
      </c>
      <c r="AG54" s="107" t="s">
        <v>128</v>
      </c>
      <c r="AH54" s="107" t="s">
        <v>128</v>
      </c>
      <c r="AI54" s="228"/>
      <c r="AJ54" s="228"/>
      <c r="AK54" s="228"/>
      <c r="AL54" s="228"/>
      <c r="AM54" s="228"/>
      <c r="AN54" s="228"/>
      <c r="AO54" s="228"/>
      <c r="AP54" s="228"/>
    </row>
    <row r="55" spans="1:42" s="48" customFormat="1" x14ac:dyDescent="0.2">
      <c r="A55" s="22"/>
      <c r="B55" s="22"/>
      <c r="C55" s="22"/>
      <c r="D55" s="22"/>
      <c r="E55" s="22"/>
      <c r="F55" s="22"/>
      <c r="G55" s="22"/>
      <c r="H55" s="22"/>
      <c r="I55" s="22"/>
      <c r="J55" s="36"/>
      <c r="K55" s="19">
        <v>0</v>
      </c>
      <c r="L55" s="198" t="s">
        <v>128</v>
      </c>
      <c r="M55" s="198" t="s">
        <v>128</v>
      </c>
      <c r="N55" s="197" t="s">
        <v>128</v>
      </c>
      <c r="O55" s="195">
        <v>1</v>
      </c>
      <c r="P55" s="45" t="s">
        <v>128</v>
      </c>
      <c r="Q55" s="45" t="s">
        <v>128</v>
      </c>
      <c r="R55" s="45" t="s">
        <v>128</v>
      </c>
      <c r="S55" s="45" t="s">
        <v>128</v>
      </c>
      <c r="T55" s="45" t="s">
        <v>128</v>
      </c>
      <c r="U55" s="45" t="s">
        <v>128</v>
      </c>
      <c r="V55" s="45" t="s">
        <v>128</v>
      </c>
      <c r="W55" s="45" t="s">
        <v>128</v>
      </c>
      <c r="X55" s="45" t="s">
        <v>128</v>
      </c>
      <c r="Y55" s="45" t="s">
        <v>128</v>
      </c>
      <c r="Z55" s="45" t="s">
        <v>128</v>
      </c>
      <c r="AA55" s="45" t="s">
        <v>128</v>
      </c>
      <c r="AB55" s="45" t="s">
        <v>128</v>
      </c>
      <c r="AC55" s="107" t="s">
        <v>128</v>
      </c>
      <c r="AD55" s="107" t="s">
        <v>128</v>
      </c>
      <c r="AE55" s="107" t="s">
        <v>128</v>
      </c>
      <c r="AF55" s="107" t="s">
        <v>128</v>
      </c>
      <c r="AG55" s="107" t="s">
        <v>128</v>
      </c>
      <c r="AH55" s="107" t="s">
        <v>128</v>
      </c>
      <c r="AI55" s="228"/>
      <c r="AJ55" s="228"/>
      <c r="AK55" s="228"/>
      <c r="AL55" s="228"/>
      <c r="AM55" s="228"/>
      <c r="AN55" s="228"/>
      <c r="AO55" s="228"/>
      <c r="AP55" s="228"/>
    </row>
    <row r="56" spans="1:42" s="48" customFormat="1" x14ac:dyDescent="0.2">
      <c r="A56" s="209"/>
      <c r="B56" s="8"/>
      <c r="C56" s="8"/>
      <c r="D56" s="8"/>
      <c r="E56" s="8"/>
      <c r="F56" s="8"/>
      <c r="G56" s="8"/>
      <c r="H56" s="8"/>
      <c r="I56" s="8"/>
      <c r="J56" s="37"/>
      <c r="K56" s="19">
        <v>0</v>
      </c>
      <c r="L56" s="198" t="s">
        <v>128</v>
      </c>
      <c r="M56" s="198" t="s">
        <v>128</v>
      </c>
      <c r="N56" s="197" t="s">
        <v>128</v>
      </c>
      <c r="O56" s="195">
        <v>1</v>
      </c>
      <c r="P56" s="45" t="s">
        <v>128</v>
      </c>
      <c r="Q56" s="45" t="s">
        <v>128</v>
      </c>
      <c r="R56" s="45" t="s">
        <v>128</v>
      </c>
      <c r="S56" s="45" t="s">
        <v>128</v>
      </c>
      <c r="T56" s="45" t="s">
        <v>128</v>
      </c>
      <c r="U56" s="45" t="s">
        <v>128</v>
      </c>
      <c r="V56" s="45" t="s">
        <v>128</v>
      </c>
      <c r="W56" s="45" t="s">
        <v>128</v>
      </c>
      <c r="X56" s="45" t="s">
        <v>128</v>
      </c>
      <c r="Y56" s="45" t="s">
        <v>128</v>
      </c>
      <c r="Z56" s="45" t="s">
        <v>128</v>
      </c>
      <c r="AA56" s="45" t="s">
        <v>128</v>
      </c>
      <c r="AB56" s="45" t="s">
        <v>128</v>
      </c>
      <c r="AC56" s="107" t="s">
        <v>128</v>
      </c>
      <c r="AD56" s="107" t="s">
        <v>128</v>
      </c>
      <c r="AE56" s="107" t="s">
        <v>128</v>
      </c>
      <c r="AF56" s="107" t="s">
        <v>128</v>
      </c>
      <c r="AG56" s="107" t="s">
        <v>128</v>
      </c>
      <c r="AH56" s="107" t="s">
        <v>128</v>
      </c>
      <c r="AI56" s="228"/>
      <c r="AJ56" s="228"/>
      <c r="AK56" s="228"/>
      <c r="AL56" s="228"/>
      <c r="AM56" s="228"/>
      <c r="AN56" s="228"/>
      <c r="AO56" s="228"/>
      <c r="AP56" s="228"/>
    </row>
    <row r="57" spans="1:42" s="48" customFormat="1" x14ac:dyDescent="0.2">
      <c r="A57" s="22"/>
      <c r="B57" s="22"/>
      <c r="C57" s="22"/>
      <c r="D57" s="22"/>
      <c r="E57" s="22"/>
      <c r="F57" s="22"/>
      <c r="G57" s="22"/>
      <c r="H57" s="22"/>
      <c r="I57" s="22"/>
      <c r="J57" s="36"/>
      <c r="K57" s="19">
        <v>0</v>
      </c>
      <c r="L57" s="198" t="s">
        <v>128</v>
      </c>
      <c r="M57" s="198" t="s">
        <v>128</v>
      </c>
      <c r="N57" s="197" t="s">
        <v>128</v>
      </c>
      <c r="O57" s="195">
        <v>1</v>
      </c>
      <c r="P57" s="45" t="s">
        <v>128</v>
      </c>
      <c r="Q57" s="45" t="s">
        <v>128</v>
      </c>
      <c r="R57" s="45" t="s">
        <v>128</v>
      </c>
      <c r="S57" s="45" t="s">
        <v>128</v>
      </c>
      <c r="T57" s="45" t="s">
        <v>128</v>
      </c>
      <c r="U57" s="45" t="s">
        <v>128</v>
      </c>
      <c r="V57" s="45" t="s">
        <v>128</v>
      </c>
      <c r="W57" s="45" t="s">
        <v>128</v>
      </c>
      <c r="X57" s="45" t="s">
        <v>128</v>
      </c>
      <c r="Y57" s="45" t="s">
        <v>128</v>
      </c>
      <c r="Z57" s="45" t="s">
        <v>128</v>
      </c>
      <c r="AA57" s="45" t="s">
        <v>128</v>
      </c>
      <c r="AB57" s="45" t="s">
        <v>128</v>
      </c>
      <c r="AC57" s="107" t="s">
        <v>128</v>
      </c>
      <c r="AD57" s="107" t="s">
        <v>128</v>
      </c>
      <c r="AE57" s="107" t="s">
        <v>128</v>
      </c>
      <c r="AF57" s="107" t="s">
        <v>128</v>
      </c>
      <c r="AG57" s="107" t="s">
        <v>128</v>
      </c>
      <c r="AH57" s="107" t="s">
        <v>128</v>
      </c>
      <c r="AI57" s="228"/>
      <c r="AJ57" s="228"/>
      <c r="AK57" s="228"/>
      <c r="AL57" s="228"/>
      <c r="AM57" s="228"/>
      <c r="AN57" s="228"/>
      <c r="AO57" s="228"/>
      <c r="AP57" s="228"/>
    </row>
    <row r="58" spans="1:42" s="48" customFormat="1" x14ac:dyDescent="0.2">
      <c r="A58" s="209"/>
      <c r="B58" s="8"/>
      <c r="C58" s="8"/>
      <c r="D58" s="8"/>
      <c r="E58" s="8"/>
      <c r="F58" s="8"/>
      <c r="G58" s="8"/>
      <c r="H58" s="8"/>
      <c r="I58" s="8"/>
      <c r="J58" s="37"/>
      <c r="K58" s="19">
        <v>0</v>
      </c>
      <c r="L58" s="198" t="s">
        <v>128</v>
      </c>
      <c r="M58" s="198" t="s">
        <v>128</v>
      </c>
      <c r="N58" s="197" t="s">
        <v>128</v>
      </c>
      <c r="O58" s="195">
        <v>1</v>
      </c>
      <c r="P58" s="45" t="s">
        <v>128</v>
      </c>
      <c r="Q58" s="45" t="s">
        <v>128</v>
      </c>
      <c r="R58" s="45" t="s">
        <v>128</v>
      </c>
      <c r="S58" s="45" t="s">
        <v>128</v>
      </c>
      <c r="T58" s="45" t="s">
        <v>128</v>
      </c>
      <c r="U58" s="45" t="s">
        <v>128</v>
      </c>
      <c r="V58" s="45" t="s">
        <v>128</v>
      </c>
      <c r="W58" s="45" t="s">
        <v>128</v>
      </c>
      <c r="X58" s="45" t="s">
        <v>128</v>
      </c>
      <c r="Y58" s="45" t="s">
        <v>128</v>
      </c>
      <c r="Z58" s="45" t="s">
        <v>128</v>
      </c>
      <c r="AA58" s="45" t="s">
        <v>128</v>
      </c>
      <c r="AB58" s="45" t="s">
        <v>128</v>
      </c>
      <c r="AC58" s="107" t="s">
        <v>128</v>
      </c>
      <c r="AD58" s="107" t="s">
        <v>128</v>
      </c>
      <c r="AE58" s="107" t="s">
        <v>128</v>
      </c>
      <c r="AF58" s="107" t="s">
        <v>128</v>
      </c>
      <c r="AG58" s="107" t="s">
        <v>128</v>
      </c>
      <c r="AH58" s="107" t="s">
        <v>128</v>
      </c>
      <c r="AI58" s="228"/>
      <c r="AJ58" s="228"/>
      <c r="AK58" s="228"/>
      <c r="AL58" s="228"/>
      <c r="AM58" s="228"/>
      <c r="AN58" s="228"/>
      <c r="AO58" s="228"/>
      <c r="AP58" s="228"/>
    </row>
    <row r="59" spans="1:42" s="48" customFormat="1" x14ac:dyDescent="0.2">
      <c r="A59" s="22"/>
      <c r="B59" s="22"/>
      <c r="C59" s="22"/>
      <c r="D59" s="22"/>
      <c r="E59" s="22"/>
      <c r="F59" s="22"/>
      <c r="G59" s="22"/>
      <c r="H59" s="22"/>
      <c r="I59" s="22"/>
      <c r="J59" s="36"/>
      <c r="K59" s="19">
        <v>0</v>
      </c>
      <c r="L59" s="198" t="s">
        <v>128</v>
      </c>
      <c r="M59" s="198" t="s">
        <v>128</v>
      </c>
      <c r="N59" s="197" t="s">
        <v>128</v>
      </c>
      <c r="O59" s="195">
        <v>1</v>
      </c>
      <c r="P59" s="45" t="s">
        <v>128</v>
      </c>
      <c r="Q59" s="45" t="s">
        <v>128</v>
      </c>
      <c r="R59" s="45" t="s">
        <v>128</v>
      </c>
      <c r="S59" s="45" t="s">
        <v>128</v>
      </c>
      <c r="T59" s="45" t="s">
        <v>128</v>
      </c>
      <c r="U59" s="45" t="s">
        <v>128</v>
      </c>
      <c r="V59" s="45" t="s">
        <v>128</v>
      </c>
      <c r="W59" s="45" t="s">
        <v>128</v>
      </c>
      <c r="X59" s="45" t="s">
        <v>128</v>
      </c>
      <c r="Y59" s="45" t="s">
        <v>128</v>
      </c>
      <c r="Z59" s="45" t="s">
        <v>128</v>
      </c>
      <c r="AA59" s="45" t="s">
        <v>128</v>
      </c>
      <c r="AB59" s="45" t="s">
        <v>128</v>
      </c>
      <c r="AC59" s="107" t="s">
        <v>128</v>
      </c>
      <c r="AD59" s="107" t="s">
        <v>128</v>
      </c>
      <c r="AE59" s="107" t="s">
        <v>128</v>
      </c>
      <c r="AF59" s="107" t="s">
        <v>128</v>
      </c>
      <c r="AG59" s="107" t="s">
        <v>128</v>
      </c>
      <c r="AH59" s="107" t="s">
        <v>128</v>
      </c>
      <c r="AI59" s="228"/>
      <c r="AJ59" s="228"/>
      <c r="AK59" s="228"/>
      <c r="AL59" s="228"/>
      <c r="AM59" s="228"/>
      <c r="AN59" s="228"/>
      <c r="AO59" s="228"/>
      <c r="AP59" s="228"/>
    </row>
    <row r="60" spans="1:42" s="48" customFormat="1" x14ac:dyDescent="0.2">
      <c r="A60" s="209"/>
      <c r="B60" s="8"/>
      <c r="C60" s="8"/>
      <c r="D60" s="8"/>
      <c r="E60" s="8"/>
      <c r="F60" s="8"/>
      <c r="G60" s="8"/>
      <c r="H60" s="8"/>
      <c r="I60" s="8"/>
      <c r="J60" s="37"/>
      <c r="K60" s="19">
        <v>0</v>
      </c>
      <c r="L60" s="198" t="s">
        <v>128</v>
      </c>
      <c r="M60" s="198" t="s">
        <v>128</v>
      </c>
      <c r="N60" s="197" t="s">
        <v>128</v>
      </c>
      <c r="O60" s="195">
        <v>1</v>
      </c>
      <c r="P60" s="45" t="s">
        <v>128</v>
      </c>
      <c r="Q60" s="45" t="s">
        <v>128</v>
      </c>
      <c r="R60" s="45" t="s">
        <v>128</v>
      </c>
      <c r="S60" s="45" t="s">
        <v>128</v>
      </c>
      <c r="T60" s="45" t="s">
        <v>128</v>
      </c>
      <c r="U60" s="45" t="s">
        <v>128</v>
      </c>
      <c r="V60" s="45" t="s">
        <v>128</v>
      </c>
      <c r="W60" s="45" t="s">
        <v>128</v>
      </c>
      <c r="X60" s="45" t="s">
        <v>128</v>
      </c>
      <c r="Y60" s="45" t="s">
        <v>128</v>
      </c>
      <c r="Z60" s="45" t="s">
        <v>128</v>
      </c>
      <c r="AA60" s="45" t="s">
        <v>128</v>
      </c>
      <c r="AB60" s="45" t="s">
        <v>128</v>
      </c>
      <c r="AC60" s="107" t="s">
        <v>128</v>
      </c>
      <c r="AD60" s="107" t="s">
        <v>128</v>
      </c>
      <c r="AE60" s="107" t="s">
        <v>128</v>
      </c>
      <c r="AF60" s="107" t="s">
        <v>128</v>
      </c>
      <c r="AG60" s="107" t="s">
        <v>128</v>
      </c>
      <c r="AH60" s="107" t="s">
        <v>128</v>
      </c>
      <c r="AI60" s="228"/>
      <c r="AJ60" s="228"/>
      <c r="AK60" s="228"/>
      <c r="AL60" s="228"/>
      <c r="AM60" s="228"/>
      <c r="AN60" s="228"/>
      <c r="AO60" s="228"/>
      <c r="AP60" s="228"/>
    </row>
    <row r="61" spans="1:42" s="48" customFormat="1" x14ac:dyDescent="0.2">
      <c r="A61" s="22"/>
      <c r="B61" s="22"/>
      <c r="C61" s="22"/>
      <c r="D61" s="22"/>
      <c r="E61" s="22"/>
      <c r="F61" s="22"/>
      <c r="G61" s="22"/>
      <c r="H61" s="22"/>
      <c r="I61" s="22"/>
      <c r="J61" s="36"/>
      <c r="K61" s="19">
        <v>0</v>
      </c>
      <c r="L61" s="198" t="s">
        <v>128</v>
      </c>
      <c r="M61" s="198" t="s">
        <v>128</v>
      </c>
      <c r="N61" s="197" t="s">
        <v>128</v>
      </c>
      <c r="O61" s="195">
        <v>1</v>
      </c>
      <c r="P61" s="45" t="s">
        <v>128</v>
      </c>
      <c r="Q61" s="45" t="s">
        <v>128</v>
      </c>
      <c r="R61" s="45" t="s">
        <v>128</v>
      </c>
      <c r="S61" s="45" t="s">
        <v>128</v>
      </c>
      <c r="T61" s="45" t="s">
        <v>128</v>
      </c>
      <c r="U61" s="45" t="s">
        <v>128</v>
      </c>
      <c r="V61" s="45" t="s">
        <v>128</v>
      </c>
      <c r="W61" s="45" t="s">
        <v>128</v>
      </c>
      <c r="X61" s="45" t="s">
        <v>128</v>
      </c>
      <c r="Y61" s="45" t="s">
        <v>128</v>
      </c>
      <c r="Z61" s="45" t="s">
        <v>128</v>
      </c>
      <c r="AA61" s="45" t="s">
        <v>128</v>
      </c>
      <c r="AB61" s="45" t="s">
        <v>128</v>
      </c>
      <c r="AC61" s="107" t="s">
        <v>128</v>
      </c>
      <c r="AD61" s="107" t="s">
        <v>128</v>
      </c>
      <c r="AE61" s="107" t="s">
        <v>128</v>
      </c>
      <c r="AF61" s="107" t="s">
        <v>128</v>
      </c>
      <c r="AG61" s="107" t="s">
        <v>128</v>
      </c>
      <c r="AH61" s="107" t="s">
        <v>128</v>
      </c>
      <c r="AI61" s="228"/>
      <c r="AJ61" s="228"/>
      <c r="AK61" s="228"/>
      <c r="AL61" s="228"/>
      <c r="AM61" s="228"/>
      <c r="AN61" s="228"/>
      <c r="AO61" s="228"/>
      <c r="AP61" s="228"/>
    </row>
    <row r="62" spans="1:42" x14ac:dyDescent="0.2">
      <c r="A62" s="209"/>
      <c r="C62" s="8"/>
      <c r="D62" s="8"/>
      <c r="E62" s="8"/>
      <c r="F62" s="8"/>
      <c r="G62" s="8"/>
      <c r="H62" s="8"/>
      <c r="I62" s="8"/>
      <c r="J62" s="37"/>
      <c r="K62" s="19"/>
      <c r="L62" s="33"/>
      <c r="M62" s="19"/>
      <c r="N62"/>
      <c r="O62"/>
      <c r="P62"/>
      <c r="Q62"/>
      <c r="R62"/>
      <c r="S62"/>
      <c r="T62"/>
      <c r="U62"/>
      <c r="V62"/>
      <c r="W62"/>
      <c r="X62"/>
      <c r="Y62"/>
      <c r="Z62"/>
      <c r="AA62"/>
      <c r="AB62"/>
      <c r="AC62"/>
    </row>
    <row r="63" spans="1:42" s="8" customFormat="1" x14ac:dyDescent="0.2">
      <c r="C63" s="366" t="s">
        <v>83</v>
      </c>
      <c r="D63" s="366"/>
      <c r="E63" s="43" t="s">
        <v>4</v>
      </c>
      <c r="F63" s="1"/>
      <c r="G63" s="1"/>
      <c r="H63" s="285" t="s">
        <v>741</v>
      </c>
      <c r="I63" s="30">
        <f>SUM(O2:O61)</f>
        <v>60</v>
      </c>
      <c r="J63" s="20">
        <f>SUM(J2:J61)</f>
        <v>0</v>
      </c>
      <c r="K63" s="24">
        <f>SUM(P63:AH63)</f>
        <v>1</v>
      </c>
      <c r="L63" s="1"/>
      <c r="M63" s="1"/>
      <c r="N63" s="21"/>
      <c r="P63" s="271">
        <v>0.03</v>
      </c>
      <c r="Q63" s="209"/>
      <c r="R63" s="271">
        <v>0.1</v>
      </c>
      <c r="S63" s="209"/>
      <c r="T63" s="436">
        <v>0.3</v>
      </c>
      <c r="U63" s="438"/>
      <c r="V63" s="438"/>
      <c r="W63" s="436">
        <v>0.3</v>
      </c>
      <c r="X63" s="438"/>
      <c r="Y63" s="438"/>
      <c r="Z63" s="436">
        <v>0.1</v>
      </c>
      <c r="AA63" s="438"/>
      <c r="AB63" s="438"/>
      <c r="AC63" s="436">
        <v>0.12</v>
      </c>
      <c r="AD63" s="438"/>
      <c r="AE63" s="438"/>
      <c r="AF63" s="436">
        <v>0.05</v>
      </c>
      <c r="AG63" s="438"/>
      <c r="AH63" s="438"/>
    </row>
    <row r="64" spans="1:42" x14ac:dyDescent="0.2">
      <c r="C64" s="23" t="s">
        <v>24</v>
      </c>
      <c r="D64" s="8">
        <f t="shared" ref="D64:D70" si="0">SUMIF($E$2:$E$61,C64,$O$2:$O$61)</f>
        <v>0</v>
      </c>
      <c r="E64" s="23" t="s">
        <v>29</v>
      </c>
      <c r="F64" s="8">
        <f>SUMIF($C$2:$C$61,E64,$O$2:$O$61)</f>
        <v>0</v>
      </c>
      <c r="M64" s="360" t="s">
        <v>406</v>
      </c>
      <c r="N64" s="360"/>
      <c r="O64" s="360"/>
    </row>
    <row r="65" spans="1:32" s="8" customFormat="1" x14ac:dyDescent="0.2">
      <c r="C65" s="23" t="s">
        <v>66</v>
      </c>
      <c r="D65" s="8">
        <f t="shared" si="0"/>
        <v>0</v>
      </c>
      <c r="E65" s="23" t="s">
        <v>22</v>
      </c>
      <c r="F65" s="8">
        <f t="shared" ref="F65:F66" si="1">SUMIF($C$2:$C$61,E65,$O$2:$O$61)</f>
        <v>0</v>
      </c>
      <c r="G65" s="1"/>
      <c r="H65" s="348" t="s">
        <v>75</v>
      </c>
      <c r="I65" s="348"/>
      <c r="J65" s="20">
        <f>SUMIF(K2:K61,K65,J2:J61)</f>
        <v>0</v>
      </c>
      <c r="K65" s="24">
        <v>1</v>
      </c>
      <c r="L65" s="1"/>
      <c r="M65" s="48"/>
      <c r="N65" s="43">
        <f>SUMIF($K$2:$K$61,K65,$O$2:$O$61)</f>
        <v>0</v>
      </c>
      <c r="O65" s="43"/>
      <c r="P65" s="1"/>
      <c r="Q65" s="1"/>
      <c r="R65" s="1"/>
      <c r="S65" s="1"/>
      <c r="T65" s="1"/>
      <c r="U65" s="1"/>
      <c r="V65" s="1"/>
      <c r="W65" s="1"/>
      <c r="X65" s="1"/>
      <c r="Y65" s="1"/>
      <c r="Z65" s="1"/>
      <c r="AA65" s="1"/>
      <c r="AB65" s="1"/>
      <c r="AC65" s="1"/>
      <c r="AD65" s="43"/>
      <c r="AE65" s="43"/>
      <c r="AF65" s="43"/>
    </row>
    <row r="66" spans="1:32" s="8" customFormat="1" x14ac:dyDescent="0.2">
      <c r="C66" s="1" t="s">
        <v>34</v>
      </c>
      <c r="D66" s="8">
        <f t="shared" si="0"/>
        <v>0</v>
      </c>
      <c r="E66" s="1" t="s">
        <v>735</v>
      </c>
      <c r="F66" s="8">
        <f t="shared" si="1"/>
        <v>0</v>
      </c>
      <c r="G66" s="1"/>
      <c r="H66" s="1" t="s">
        <v>76</v>
      </c>
      <c r="I66" s="39" t="s">
        <v>734</v>
      </c>
      <c r="J66" s="20">
        <f>SUMIF($L$2:$L$61,K66,$J$2:$J$61)</f>
        <v>0</v>
      </c>
      <c r="K66" s="25">
        <v>1</v>
      </c>
      <c r="L66" s="1"/>
      <c r="M66" s="1"/>
      <c r="N66" s="21"/>
      <c r="P66" s="1"/>
      <c r="Q66" s="1"/>
      <c r="R66" s="1"/>
      <c r="S66" s="1"/>
      <c r="T66" s="1"/>
      <c r="U66" s="1"/>
      <c r="V66" s="1"/>
      <c r="W66" s="1"/>
      <c r="X66" s="1"/>
      <c r="Y66" s="1"/>
      <c r="Z66" s="1"/>
      <c r="AA66" s="1"/>
      <c r="AB66" s="1"/>
      <c r="AC66" s="1"/>
      <c r="AD66" s="43"/>
      <c r="AE66" s="43"/>
      <c r="AF66" s="43"/>
    </row>
    <row r="67" spans="1:32" s="8" customFormat="1" x14ac:dyDescent="0.2">
      <c r="C67" s="23" t="s">
        <v>31</v>
      </c>
      <c r="D67" s="8">
        <f t="shared" si="0"/>
        <v>0</v>
      </c>
      <c r="E67" s="1"/>
      <c r="F67" s="1"/>
      <c r="G67" s="1"/>
      <c r="H67" s="1" t="s">
        <v>76</v>
      </c>
      <c r="I67" s="39" t="s">
        <v>742</v>
      </c>
      <c r="J67" s="20">
        <f>SUMIF($L$2:$L$61,K67,$J$2:$J$61)</f>
        <v>0</v>
      </c>
      <c r="K67" s="25">
        <v>2</v>
      </c>
      <c r="L67" s="1"/>
      <c r="M67" s="1"/>
      <c r="N67" s="21"/>
      <c r="P67" s="1"/>
      <c r="Q67" s="1"/>
      <c r="R67" s="1"/>
      <c r="S67" s="1"/>
      <c r="T67" s="1"/>
      <c r="U67" s="1"/>
      <c r="V67" s="1"/>
      <c r="W67" s="1"/>
      <c r="X67" s="1"/>
      <c r="Y67" s="1"/>
      <c r="Z67" s="1"/>
      <c r="AA67" s="1"/>
      <c r="AB67" s="1"/>
      <c r="AC67" s="1"/>
      <c r="AD67" s="43"/>
      <c r="AE67" s="43"/>
      <c r="AF67" s="43"/>
    </row>
    <row r="68" spans="1:32" s="8" customFormat="1" x14ac:dyDescent="0.2">
      <c r="C68" s="23" t="s">
        <v>85</v>
      </c>
      <c r="D68" s="8">
        <f t="shared" si="0"/>
        <v>0</v>
      </c>
      <c r="E68" s="1"/>
      <c r="F68" s="1"/>
      <c r="G68" s="1"/>
      <c r="H68" s="1" t="s">
        <v>76</v>
      </c>
      <c r="I68" s="39" t="s">
        <v>743</v>
      </c>
      <c r="J68" s="20">
        <f>SUMIF($L$2:$L$61,K68,$J$2:$J$61)</f>
        <v>0</v>
      </c>
      <c r="K68" s="25">
        <v>3</v>
      </c>
      <c r="L68" s="1"/>
      <c r="M68" s="1"/>
      <c r="N68" s="21"/>
      <c r="P68" s="1"/>
      <c r="Q68" s="1"/>
      <c r="R68" s="1"/>
      <c r="S68" s="1"/>
      <c r="T68" s="1"/>
      <c r="U68" s="1"/>
      <c r="V68" s="1"/>
      <c r="W68" s="1"/>
      <c r="X68" s="1"/>
      <c r="Y68" s="1"/>
      <c r="Z68" s="1"/>
      <c r="AA68" s="1"/>
      <c r="AB68" s="1"/>
      <c r="AC68" s="1"/>
      <c r="AD68" s="43"/>
      <c r="AE68" s="43"/>
      <c r="AF68" s="43"/>
    </row>
    <row r="69" spans="1:32" s="8" customFormat="1" x14ac:dyDescent="0.2">
      <c r="C69" s="23" t="s">
        <v>46</v>
      </c>
      <c r="D69" s="8">
        <f t="shared" si="0"/>
        <v>0</v>
      </c>
      <c r="E69" s="1"/>
      <c r="F69" s="1"/>
      <c r="G69" s="1"/>
      <c r="H69" s="1" t="s">
        <v>76</v>
      </c>
      <c r="I69" s="39" t="s">
        <v>744</v>
      </c>
      <c r="J69" s="20">
        <f>SUMIF($L$2:$L$61,K69,$J$2:$J$61)</f>
        <v>0</v>
      </c>
      <c r="K69" s="25">
        <v>4</v>
      </c>
      <c r="L69" s="1"/>
      <c r="M69" s="1"/>
      <c r="N69" s="21"/>
      <c r="P69" s="1"/>
      <c r="Q69" s="1"/>
      <c r="R69" s="1"/>
      <c r="S69" s="1"/>
      <c r="T69" s="1"/>
      <c r="U69" s="1"/>
      <c r="V69" s="1"/>
      <c r="W69" s="1"/>
      <c r="X69" s="1"/>
      <c r="Y69" s="1"/>
      <c r="Z69" s="1"/>
      <c r="AA69" s="1"/>
      <c r="AB69" s="1"/>
      <c r="AC69" s="1"/>
      <c r="AD69" s="43"/>
      <c r="AE69" s="43"/>
      <c r="AF69" s="43"/>
    </row>
    <row r="70" spans="1:32" x14ac:dyDescent="0.2">
      <c r="C70" s="23" t="s">
        <v>38</v>
      </c>
      <c r="D70" s="8">
        <f t="shared" si="0"/>
        <v>0</v>
      </c>
      <c r="H70" s="1" t="s">
        <v>76</v>
      </c>
      <c r="I70" s="39" t="s">
        <v>745</v>
      </c>
      <c r="J70" s="20">
        <f>SUMIF($L$2:$L$61,K70,$J$2:$J$61)</f>
        <v>0</v>
      </c>
      <c r="K70" s="25">
        <v>5</v>
      </c>
    </row>
    <row r="72" spans="1:32" x14ac:dyDescent="0.2">
      <c r="C72" s="23"/>
      <c r="D72" s="8"/>
    </row>
    <row r="73" spans="1:32" x14ac:dyDescent="0.2">
      <c r="L73" s="33"/>
    </row>
    <row r="74" spans="1:32" x14ac:dyDescent="0.2">
      <c r="C74" s="3" t="s">
        <v>157</v>
      </c>
      <c r="D74" s="8">
        <f>SUM(D64:D73)</f>
        <v>0</v>
      </c>
      <c r="E74" s="3" t="s">
        <v>157</v>
      </c>
      <c r="F74" s="8">
        <f>SUM(F64:F73)</f>
        <v>0</v>
      </c>
    </row>
    <row r="75" spans="1:32" s="57" customFormat="1" ht="29.25" customHeight="1" x14ac:dyDescent="0.2">
      <c r="A75" s="383" t="s">
        <v>158</v>
      </c>
      <c r="B75" s="383"/>
      <c r="C75" s="383"/>
      <c r="I75" s="58" t="s">
        <v>159</v>
      </c>
      <c r="J75" s="58" t="s">
        <v>160</v>
      </c>
      <c r="N75" s="59"/>
      <c r="O75" s="7"/>
      <c r="AD75" s="60"/>
      <c r="AE75" s="60"/>
      <c r="AF75" s="60"/>
    </row>
    <row r="76" spans="1:32" x14ac:dyDescent="0.2">
      <c r="A76" s="286">
        <v>44896</v>
      </c>
      <c r="B76" s="287" t="s">
        <v>163</v>
      </c>
      <c r="C76" s="353"/>
      <c r="D76" s="353"/>
      <c r="E76" s="353"/>
      <c r="F76" s="353"/>
      <c r="G76" s="353"/>
      <c r="H76" s="353"/>
      <c r="I76" s="51"/>
      <c r="J76" s="51"/>
    </row>
    <row r="77" spans="1:32" x14ac:dyDescent="0.2">
      <c r="A77" s="49">
        <f>+A76+1</f>
        <v>44897</v>
      </c>
      <c r="B77" s="50" t="s">
        <v>164</v>
      </c>
      <c r="C77" s="353"/>
      <c r="D77" s="353"/>
      <c r="E77" s="353"/>
      <c r="F77" s="353"/>
      <c r="G77" s="353"/>
      <c r="H77" s="353"/>
      <c r="I77" s="51"/>
      <c r="J77" s="51"/>
    </row>
    <row r="78" spans="1:32" x14ac:dyDescent="0.2">
      <c r="A78" s="49">
        <f t="shared" ref="A78:A106" si="2">+A77+1</f>
        <v>44898</v>
      </c>
      <c r="B78" s="50" t="s">
        <v>165</v>
      </c>
      <c r="C78" s="353"/>
      <c r="D78" s="353"/>
      <c r="E78" s="353"/>
      <c r="F78" s="353"/>
      <c r="G78" s="353"/>
      <c r="H78" s="353"/>
      <c r="I78" s="51"/>
      <c r="J78" s="51"/>
    </row>
    <row r="79" spans="1:32" x14ac:dyDescent="0.2">
      <c r="A79" s="49">
        <f t="shared" si="2"/>
        <v>44899</v>
      </c>
      <c r="B79" s="50" t="s">
        <v>166</v>
      </c>
      <c r="C79" s="353"/>
      <c r="D79" s="353"/>
      <c r="E79" s="353"/>
      <c r="F79" s="353"/>
      <c r="G79" s="353"/>
      <c r="H79" s="353"/>
      <c r="I79" s="51"/>
      <c r="J79" s="51"/>
    </row>
    <row r="80" spans="1:32" x14ac:dyDescent="0.2">
      <c r="A80" s="49">
        <f t="shared" si="2"/>
        <v>44900</v>
      </c>
      <c r="B80" s="50" t="s">
        <v>167</v>
      </c>
      <c r="C80" s="353"/>
      <c r="D80" s="353"/>
      <c r="E80" s="353"/>
      <c r="F80" s="353"/>
      <c r="G80" s="353"/>
      <c r="H80" s="353"/>
      <c r="I80" s="51"/>
      <c r="J80" s="51"/>
    </row>
    <row r="81" spans="1:10" x14ac:dyDescent="0.2">
      <c r="A81" s="49">
        <f t="shared" si="2"/>
        <v>44901</v>
      </c>
      <c r="B81" s="50" t="s">
        <v>161</v>
      </c>
      <c r="C81" s="353"/>
      <c r="D81" s="353"/>
      <c r="E81" s="353"/>
      <c r="F81" s="353"/>
      <c r="G81" s="353"/>
      <c r="H81" s="353"/>
      <c r="I81" s="51"/>
      <c r="J81" s="51"/>
    </row>
    <row r="82" spans="1:10" x14ac:dyDescent="0.2">
      <c r="A82" s="49">
        <f t="shared" si="2"/>
        <v>44902</v>
      </c>
      <c r="B82" s="50" t="s">
        <v>162</v>
      </c>
      <c r="C82" s="353"/>
      <c r="D82" s="353"/>
      <c r="E82" s="353"/>
      <c r="F82" s="353"/>
      <c r="G82" s="353"/>
      <c r="H82" s="353"/>
      <c r="I82" s="51"/>
      <c r="J82" s="51"/>
    </row>
    <row r="83" spans="1:10" x14ac:dyDescent="0.2">
      <c r="A83" s="61">
        <f t="shared" si="2"/>
        <v>44903</v>
      </c>
      <c r="B83" s="62" t="s">
        <v>163</v>
      </c>
      <c r="C83" s="429"/>
      <c r="D83" s="429"/>
      <c r="E83" s="429"/>
      <c r="F83" s="429"/>
      <c r="G83" s="429"/>
      <c r="H83" s="429"/>
      <c r="I83" s="63"/>
      <c r="J83" s="63"/>
    </row>
    <row r="84" spans="1:10" x14ac:dyDescent="0.2">
      <c r="A84" s="49">
        <f t="shared" si="2"/>
        <v>44904</v>
      </c>
      <c r="B84" s="50" t="s">
        <v>164</v>
      </c>
      <c r="C84" s="353"/>
      <c r="D84" s="353"/>
      <c r="E84" s="353"/>
      <c r="F84" s="353"/>
      <c r="G84" s="353"/>
      <c r="H84" s="353"/>
      <c r="I84" s="51"/>
      <c r="J84" s="51"/>
    </row>
    <row r="85" spans="1:10" x14ac:dyDescent="0.2">
      <c r="A85" s="49">
        <f t="shared" si="2"/>
        <v>44905</v>
      </c>
      <c r="B85" s="50" t="s">
        <v>165</v>
      </c>
      <c r="C85" s="353"/>
      <c r="D85" s="353"/>
      <c r="E85" s="353"/>
      <c r="F85" s="353"/>
      <c r="G85" s="353"/>
      <c r="H85" s="353"/>
      <c r="I85" s="51"/>
      <c r="J85" s="51"/>
    </row>
    <row r="86" spans="1:10" x14ac:dyDescent="0.2">
      <c r="A86" s="49">
        <f t="shared" si="2"/>
        <v>44906</v>
      </c>
      <c r="B86" s="50" t="s">
        <v>166</v>
      </c>
      <c r="C86" s="353"/>
      <c r="D86" s="353"/>
      <c r="E86" s="353"/>
      <c r="F86" s="353"/>
      <c r="G86" s="353"/>
      <c r="H86" s="353"/>
      <c r="I86" s="51"/>
      <c r="J86" s="51"/>
    </row>
    <row r="87" spans="1:10" x14ac:dyDescent="0.2">
      <c r="A87" s="49">
        <f t="shared" si="2"/>
        <v>44907</v>
      </c>
      <c r="B87" s="50" t="s">
        <v>167</v>
      </c>
      <c r="C87" s="353"/>
      <c r="D87" s="353"/>
      <c r="E87" s="353"/>
      <c r="F87" s="353"/>
      <c r="G87" s="353"/>
      <c r="H87" s="353"/>
      <c r="I87" s="51"/>
      <c r="J87" s="51"/>
    </row>
    <row r="88" spans="1:10" x14ac:dyDescent="0.2">
      <c r="A88" s="49">
        <f t="shared" si="2"/>
        <v>44908</v>
      </c>
      <c r="B88" s="50" t="s">
        <v>161</v>
      </c>
      <c r="C88" s="353"/>
      <c r="D88" s="353"/>
      <c r="E88" s="353"/>
      <c r="F88" s="353"/>
      <c r="G88" s="353"/>
      <c r="H88" s="353"/>
      <c r="I88" s="51"/>
      <c r="J88" s="51"/>
    </row>
    <row r="89" spans="1:10" x14ac:dyDescent="0.2">
      <c r="A89" s="49">
        <f t="shared" si="2"/>
        <v>44909</v>
      </c>
      <c r="B89" s="50" t="s">
        <v>162</v>
      </c>
      <c r="C89" s="353"/>
      <c r="D89" s="353"/>
      <c r="E89" s="353"/>
      <c r="F89" s="353"/>
      <c r="G89" s="353"/>
      <c r="H89" s="353"/>
      <c r="I89" s="51"/>
      <c r="J89" s="51"/>
    </row>
    <row r="90" spans="1:10" x14ac:dyDescent="0.2">
      <c r="A90" s="49">
        <f t="shared" si="2"/>
        <v>44910</v>
      </c>
      <c r="B90" s="50" t="s">
        <v>163</v>
      </c>
      <c r="C90" s="353"/>
      <c r="D90" s="353"/>
      <c r="E90" s="353"/>
      <c r="F90" s="353"/>
      <c r="G90" s="353"/>
      <c r="H90" s="353"/>
      <c r="I90" s="51"/>
      <c r="J90" s="51"/>
    </row>
    <row r="91" spans="1:10" x14ac:dyDescent="0.2">
      <c r="A91" s="49">
        <f t="shared" si="2"/>
        <v>44911</v>
      </c>
      <c r="B91" s="50" t="s">
        <v>164</v>
      </c>
      <c r="C91" s="353"/>
      <c r="D91" s="353"/>
      <c r="E91" s="353"/>
      <c r="F91" s="353"/>
      <c r="G91" s="353"/>
      <c r="H91" s="353"/>
      <c r="I91" s="51"/>
      <c r="J91" s="51"/>
    </row>
    <row r="92" spans="1:10" x14ac:dyDescent="0.2">
      <c r="A92" s="49">
        <f t="shared" si="2"/>
        <v>44912</v>
      </c>
      <c r="B92" s="50" t="s">
        <v>165</v>
      </c>
      <c r="C92" s="353"/>
      <c r="D92" s="353"/>
      <c r="E92" s="353"/>
      <c r="F92" s="353"/>
      <c r="G92" s="353"/>
      <c r="H92" s="353"/>
      <c r="I92" s="51"/>
      <c r="J92" s="51"/>
    </row>
    <row r="93" spans="1:10" x14ac:dyDescent="0.2">
      <c r="A93" s="49">
        <f t="shared" si="2"/>
        <v>44913</v>
      </c>
      <c r="B93" s="50" t="s">
        <v>166</v>
      </c>
      <c r="C93" s="353"/>
      <c r="D93" s="353"/>
      <c r="E93" s="353"/>
      <c r="F93" s="353"/>
      <c r="G93" s="353"/>
      <c r="H93" s="353"/>
      <c r="I93" s="51"/>
      <c r="J93" s="51"/>
    </row>
    <row r="94" spans="1:10" x14ac:dyDescent="0.2">
      <c r="A94" s="49">
        <f t="shared" si="2"/>
        <v>44914</v>
      </c>
      <c r="B94" s="50" t="s">
        <v>167</v>
      </c>
      <c r="C94" s="353"/>
      <c r="D94" s="353"/>
      <c r="E94" s="353"/>
      <c r="F94" s="353"/>
      <c r="G94" s="353"/>
      <c r="H94" s="353"/>
      <c r="I94" s="51"/>
      <c r="J94" s="51"/>
    </row>
    <row r="95" spans="1:10" x14ac:dyDescent="0.2">
      <c r="A95" s="49">
        <f t="shared" si="2"/>
        <v>44915</v>
      </c>
      <c r="B95" s="50" t="s">
        <v>161</v>
      </c>
      <c r="C95" s="353"/>
      <c r="D95" s="353"/>
      <c r="E95" s="353"/>
      <c r="F95" s="353"/>
      <c r="G95" s="353"/>
      <c r="H95" s="353"/>
      <c r="I95" s="51"/>
      <c r="J95" s="51"/>
    </row>
    <row r="96" spans="1:10" x14ac:dyDescent="0.2">
      <c r="A96" s="49">
        <f t="shared" si="2"/>
        <v>44916</v>
      </c>
      <c r="B96" s="50" t="s">
        <v>162</v>
      </c>
      <c r="C96" s="353"/>
      <c r="D96" s="353"/>
      <c r="E96" s="353"/>
      <c r="F96" s="353"/>
      <c r="G96" s="353"/>
      <c r="H96" s="353"/>
      <c r="I96" s="51"/>
      <c r="J96" s="51"/>
    </row>
    <row r="97" spans="1:21" x14ac:dyDescent="0.2">
      <c r="A97" s="49">
        <f t="shared" si="2"/>
        <v>44917</v>
      </c>
      <c r="B97" s="50" t="s">
        <v>163</v>
      </c>
      <c r="C97" s="353"/>
      <c r="D97" s="353"/>
      <c r="E97" s="353"/>
      <c r="F97" s="353"/>
      <c r="G97" s="353"/>
      <c r="H97" s="353"/>
      <c r="I97" s="51"/>
      <c r="J97" s="51"/>
    </row>
    <row r="98" spans="1:21" x14ac:dyDescent="0.2">
      <c r="A98" s="49">
        <f t="shared" si="2"/>
        <v>44918</v>
      </c>
      <c r="B98" s="50" t="s">
        <v>164</v>
      </c>
      <c r="C98" s="353"/>
      <c r="D98" s="353"/>
      <c r="E98" s="353"/>
      <c r="F98" s="353"/>
      <c r="G98" s="353"/>
      <c r="H98" s="353"/>
      <c r="I98" s="51"/>
      <c r="J98" s="51"/>
    </row>
    <row r="99" spans="1:21" x14ac:dyDescent="0.2">
      <c r="A99" s="49">
        <f t="shared" si="2"/>
        <v>44919</v>
      </c>
      <c r="B99" s="50" t="s">
        <v>165</v>
      </c>
      <c r="C99" s="353"/>
      <c r="D99" s="353"/>
      <c r="E99" s="353"/>
      <c r="F99" s="353"/>
      <c r="G99" s="353"/>
      <c r="H99" s="353"/>
      <c r="I99" s="51"/>
      <c r="J99" s="51"/>
    </row>
    <row r="100" spans="1:21" x14ac:dyDescent="0.2">
      <c r="A100" s="61">
        <f t="shared" si="2"/>
        <v>44920</v>
      </c>
      <c r="B100" s="62" t="s">
        <v>166</v>
      </c>
      <c r="C100" s="429"/>
      <c r="D100" s="429"/>
      <c r="E100" s="429"/>
      <c r="F100" s="429"/>
      <c r="G100" s="429"/>
      <c r="H100" s="429"/>
      <c r="I100" s="63"/>
      <c r="J100" s="63"/>
    </row>
    <row r="101" spans="1:21" x14ac:dyDescent="0.2">
      <c r="A101" s="49">
        <f t="shared" si="2"/>
        <v>44921</v>
      </c>
      <c r="B101" s="50" t="s">
        <v>167</v>
      </c>
      <c r="C101" s="353"/>
      <c r="D101" s="353"/>
      <c r="E101" s="353"/>
      <c r="F101" s="353"/>
      <c r="G101" s="353"/>
      <c r="H101" s="353"/>
      <c r="I101" s="51"/>
      <c r="J101" s="51"/>
    </row>
    <row r="102" spans="1:21" x14ac:dyDescent="0.2">
      <c r="A102" s="49">
        <f t="shared" si="2"/>
        <v>44922</v>
      </c>
      <c r="B102" s="50" t="s">
        <v>161</v>
      </c>
      <c r="C102" s="353"/>
      <c r="D102" s="353"/>
      <c r="E102" s="353"/>
      <c r="F102" s="353"/>
      <c r="G102" s="353"/>
      <c r="H102" s="353"/>
      <c r="I102" s="51"/>
      <c r="J102" s="51"/>
    </row>
    <row r="103" spans="1:21" x14ac:dyDescent="0.2">
      <c r="A103" s="49">
        <f t="shared" si="2"/>
        <v>44923</v>
      </c>
      <c r="B103" s="50" t="s">
        <v>162</v>
      </c>
      <c r="C103" s="353"/>
      <c r="D103" s="353"/>
      <c r="E103" s="353"/>
      <c r="F103" s="353"/>
      <c r="G103" s="353"/>
      <c r="H103" s="353"/>
      <c r="I103" s="51"/>
      <c r="J103" s="51"/>
    </row>
    <row r="104" spans="1:21" x14ac:dyDescent="0.2">
      <c r="A104" s="49">
        <f t="shared" si="2"/>
        <v>44924</v>
      </c>
      <c r="B104" s="50" t="s">
        <v>163</v>
      </c>
      <c r="C104" s="353"/>
      <c r="D104" s="353"/>
      <c r="E104" s="353"/>
      <c r="F104" s="353"/>
      <c r="G104" s="353"/>
      <c r="H104" s="353"/>
      <c r="I104" s="51"/>
      <c r="J104" s="51"/>
    </row>
    <row r="105" spans="1:21" x14ac:dyDescent="0.2">
      <c r="A105" s="49">
        <f t="shared" si="2"/>
        <v>44925</v>
      </c>
      <c r="B105" s="50" t="s">
        <v>164</v>
      </c>
      <c r="C105" s="353"/>
      <c r="D105" s="353"/>
      <c r="E105" s="353"/>
      <c r="F105" s="353"/>
      <c r="G105" s="353"/>
      <c r="H105" s="353"/>
      <c r="I105" s="51"/>
      <c r="J105" s="51"/>
    </row>
    <row r="106" spans="1:21" x14ac:dyDescent="0.2">
      <c r="A106" s="49">
        <f t="shared" si="2"/>
        <v>44926</v>
      </c>
      <c r="B106" s="50" t="s">
        <v>165</v>
      </c>
      <c r="C106" s="353"/>
      <c r="D106" s="353"/>
      <c r="E106" s="353"/>
      <c r="F106" s="353"/>
      <c r="G106" s="353"/>
      <c r="H106" s="353"/>
      <c r="I106" s="51"/>
      <c r="J106" s="51"/>
    </row>
    <row r="107" spans="1:21" x14ac:dyDescent="0.2">
      <c r="A107" s="32"/>
      <c r="I107" s="8"/>
      <c r="J107" s="8"/>
      <c r="R107" s="21"/>
      <c r="S107" s="21"/>
      <c r="T107" s="8"/>
      <c r="U107" s="8"/>
    </row>
    <row r="108" spans="1:21" x14ac:dyDescent="0.2">
      <c r="A108" s="367" t="s">
        <v>207</v>
      </c>
      <c r="B108" s="368"/>
      <c r="C108" s="368"/>
      <c r="D108" s="368"/>
      <c r="I108" s="8"/>
      <c r="J108" s="8"/>
      <c r="R108" s="21"/>
      <c r="S108" s="21"/>
      <c r="T108" s="8"/>
      <c r="U108" s="8"/>
    </row>
    <row r="109" spans="1:21" x14ac:dyDescent="0.2">
      <c r="A109" s="52">
        <f>COUNTIF($I$76:$I$109,B109)</f>
        <v>0</v>
      </c>
      <c r="B109" s="53" t="s">
        <v>208</v>
      </c>
      <c r="C109" s="370" t="s">
        <v>209</v>
      </c>
      <c r="D109" s="370"/>
      <c r="I109" s="8"/>
      <c r="J109" s="8"/>
      <c r="R109" s="21"/>
      <c r="S109" s="21"/>
      <c r="T109" s="8"/>
      <c r="U109" s="8"/>
    </row>
    <row r="110" spans="1:21" x14ac:dyDescent="0.2">
      <c r="A110" s="52">
        <f t="shared" ref="A110:A119" si="3">COUNTIF($I$76:$I$109,B110)</f>
        <v>0</v>
      </c>
      <c r="B110" s="53" t="s">
        <v>172</v>
      </c>
      <c r="C110" s="370" t="s">
        <v>210</v>
      </c>
      <c r="D110" s="370"/>
      <c r="I110" s="8"/>
      <c r="J110" s="8"/>
      <c r="R110" s="21"/>
      <c r="S110" s="21"/>
      <c r="T110" s="8"/>
      <c r="U110" s="8"/>
    </row>
    <row r="111" spans="1:21" x14ac:dyDescent="0.2">
      <c r="A111" s="52">
        <f t="shared" si="3"/>
        <v>0</v>
      </c>
      <c r="B111" s="53" t="s">
        <v>169</v>
      </c>
      <c r="C111" s="370" t="s">
        <v>211</v>
      </c>
      <c r="D111" s="370"/>
      <c r="I111" s="8"/>
      <c r="J111" s="8"/>
      <c r="R111" s="21"/>
      <c r="S111" s="21"/>
      <c r="T111" s="8"/>
      <c r="U111" s="8"/>
    </row>
    <row r="112" spans="1:21" x14ac:dyDescent="0.2">
      <c r="A112" s="52">
        <f t="shared" si="3"/>
        <v>0</v>
      </c>
      <c r="B112" s="53" t="s">
        <v>181</v>
      </c>
      <c r="C112" s="370" t="s">
        <v>212</v>
      </c>
      <c r="D112" s="370"/>
      <c r="I112" s="8"/>
      <c r="J112" s="8"/>
      <c r="R112" s="21"/>
      <c r="S112" s="21"/>
      <c r="T112" s="8"/>
      <c r="U112" s="8"/>
    </row>
    <row r="113" spans="1:21" x14ac:dyDescent="0.2">
      <c r="A113" s="52">
        <f t="shared" si="3"/>
        <v>0</v>
      </c>
      <c r="B113" s="53" t="s">
        <v>183</v>
      </c>
      <c r="C113" s="370" t="s">
        <v>213</v>
      </c>
      <c r="D113" s="370"/>
      <c r="I113" s="8"/>
      <c r="J113" s="8"/>
      <c r="R113" s="21"/>
      <c r="S113" s="21"/>
      <c r="T113" s="8"/>
      <c r="U113" s="8"/>
    </row>
    <row r="114" spans="1:21" x14ac:dyDescent="0.2">
      <c r="A114" s="52">
        <f t="shared" si="3"/>
        <v>0</v>
      </c>
      <c r="B114" s="53" t="s">
        <v>214</v>
      </c>
      <c r="C114" s="370" t="s">
        <v>215</v>
      </c>
      <c r="D114" s="370"/>
      <c r="I114" s="8"/>
      <c r="J114" s="8"/>
      <c r="R114" s="21"/>
      <c r="S114" s="21"/>
      <c r="T114" s="8"/>
      <c r="U114" s="8"/>
    </row>
    <row r="115" spans="1:21" x14ac:dyDescent="0.2">
      <c r="A115" s="52">
        <f t="shared" si="3"/>
        <v>0</v>
      </c>
      <c r="B115" s="53" t="s">
        <v>216</v>
      </c>
      <c r="C115" s="370" t="s">
        <v>217</v>
      </c>
      <c r="D115" s="370"/>
      <c r="I115" s="8"/>
      <c r="J115" s="8"/>
      <c r="R115" s="21"/>
      <c r="S115" s="21"/>
      <c r="T115" s="8"/>
      <c r="U115" s="8"/>
    </row>
    <row r="116" spans="1:21" x14ac:dyDescent="0.2">
      <c r="A116" s="52">
        <f t="shared" si="3"/>
        <v>0</v>
      </c>
      <c r="B116" s="53" t="s">
        <v>218</v>
      </c>
      <c r="C116" s="371" t="s">
        <v>219</v>
      </c>
      <c r="D116" s="372"/>
      <c r="I116" s="8"/>
      <c r="J116" s="8"/>
      <c r="R116" s="21"/>
      <c r="S116" s="21"/>
      <c r="T116" s="8"/>
      <c r="U116" s="8"/>
    </row>
    <row r="117" spans="1:21" x14ac:dyDescent="0.2">
      <c r="A117" s="52">
        <f t="shared" si="3"/>
        <v>0</v>
      </c>
      <c r="B117" s="53" t="s">
        <v>220</v>
      </c>
      <c r="C117" s="370" t="s">
        <v>221</v>
      </c>
      <c r="D117" s="370"/>
      <c r="I117" s="8"/>
      <c r="J117" s="8"/>
    </row>
    <row r="118" spans="1:21" x14ac:dyDescent="0.2">
      <c r="A118" s="52">
        <f>COUNTIF($I$76:$I$109,B118)</f>
        <v>0</v>
      </c>
      <c r="B118" s="53" t="s">
        <v>178</v>
      </c>
      <c r="C118" s="370" t="s">
        <v>222</v>
      </c>
      <c r="D118" s="370"/>
      <c r="I118" s="8"/>
      <c r="J118" s="8"/>
    </row>
    <row r="119" spans="1:21" x14ac:dyDescent="0.2">
      <c r="A119" s="52">
        <f t="shared" si="3"/>
        <v>0</v>
      </c>
      <c r="B119" s="53" t="s">
        <v>223</v>
      </c>
      <c r="C119" s="370" t="s">
        <v>224</v>
      </c>
      <c r="D119" s="370"/>
      <c r="I119" s="8"/>
      <c r="J119" s="8"/>
    </row>
    <row r="120" spans="1:21" x14ac:dyDescent="0.2">
      <c r="A120" s="54"/>
      <c r="B120" s="55"/>
      <c r="C120" s="56"/>
      <c r="D120" s="56"/>
      <c r="I120" s="8"/>
      <c r="J120" s="8"/>
    </row>
    <row r="121" spans="1:21" x14ac:dyDescent="0.2">
      <c r="A121" s="54"/>
      <c r="B121" s="55"/>
      <c r="C121" s="56"/>
      <c r="D121" s="56"/>
      <c r="I121" s="8"/>
      <c r="J121" s="8"/>
    </row>
    <row r="122" spans="1:21" x14ac:dyDescent="0.2">
      <c r="A122" s="54"/>
      <c r="B122" s="55"/>
      <c r="C122" s="56"/>
      <c r="D122" s="56"/>
      <c r="I122" s="8"/>
      <c r="J122" s="8"/>
    </row>
    <row r="123" spans="1:21" x14ac:dyDescent="0.2">
      <c r="A123" s="54"/>
      <c r="B123" s="55"/>
      <c r="C123" s="56"/>
      <c r="D123" s="56"/>
      <c r="I123" s="8"/>
      <c r="J123" s="8"/>
    </row>
    <row r="124" spans="1:21" x14ac:dyDescent="0.2">
      <c r="A124" s="32"/>
      <c r="I124" s="8"/>
      <c r="J124" s="8"/>
    </row>
    <row r="125" spans="1:21" x14ac:dyDescent="0.2">
      <c r="A125" s="367" t="s">
        <v>225</v>
      </c>
      <c r="B125" s="368"/>
      <c r="C125" s="368"/>
      <c r="D125" s="368"/>
      <c r="I125" s="8"/>
      <c r="J125" s="8"/>
    </row>
    <row r="126" spans="1:21" x14ac:dyDescent="0.2">
      <c r="A126" s="52">
        <f>COUNTIF($J$76:$J$109,B126)</f>
        <v>0</v>
      </c>
      <c r="B126" s="52" t="s">
        <v>170</v>
      </c>
      <c r="C126" s="356" t="s">
        <v>226</v>
      </c>
      <c r="D126" s="356"/>
      <c r="I126" s="8"/>
      <c r="J126" s="8"/>
    </row>
    <row r="127" spans="1:21" x14ac:dyDescent="0.2">
      <c r="A127" s="52">
        <f t="shared" ref="A127:A138" si="4">COUNTIF($J$76:$J$109,B127)</f>
        <v>0</v>
      </c>
      <c r="B127" s="52" t="s">
        <v>191</v>
      </c>
      <c r="C127" s="356" t="s">
        <v>227</v>
      </c>
      <c r="D127" s="356"/>
      <c r="I127" s="8"/>
      <c r="J127" s="8"/>
    </row>
    <row r="128" spans="1:21" x14ac:dyDescent="0.2">
      <c r="A128" s="52">
        <f t="shared" si="4"/>
        <v>0</v>
      </c>
      <c r="B128" s="52" t="s">
        <v>179</v>
      </c>
      <c r="C128" s="356" t="s">
        <v>228</v>
      </c>
      <c r="D128" s="356"/>
      <c r="I128" s="8"/>
      <c r="J128" s="8"/>
    </row>
    <row r="129" spans="1:10" x14ac:dyDescent="0.2">
      <c r="A129" s="52">
        <f t="shared" si="4"/>
        <v>0</v>
      </c>
      <c r="B129" s="52" t="s">
        <v>229</v>
      </c>
      <c r="C129" s="356" t="s">
        <v>230</v>
      </c>
      <c r="D129" s="356"/>
      <c r="I129" s="8"/>
      <c r="J129" s="8"/>
    </row>
    <row r="130" spans="1:10" x14ac:dyDescent="0.2">
      <c r="A130" s="52">
        <f t="shared" si="4"/>
        <v>0</v>
      </c>
      <c r="B130" s="52" t="s">
        <v>174</v>
      </c>
      <c r="C130" s="356" t="s">
        <v>231</v>
      </c>
      <c r="D130" s="356"/>
      <c r="I130" s="8"/>
      <c r="J130" s="8"/>
    </row>
    <row r="131" spans="1:10" x14ac:dyDescent="0.2">
      <c r="A131" s="52">
        <f t="shared" si="4"/>
        <v>0</v>
      </c>
      <c r="B131" s="52" t="s">
        <v>232</v>
      </c>
      <c r="C131" s="356" t="s">
        <v>233</v>
      </c>
      <c r="D131" s="356"/>
      <c r="I131" s="8"/>
      <c r="J131" s="8"/>
    </row>
    <row r="132" spans="1:10" x14ac:dyDescent="0.2">
      <c r="A132" s="52">
        <f t="shared" si="4"/>
        <v>0</v>
      </c>
      <c r="B132" s="52" t="s">
        <v>187</v>
      </c>
      <c r="C132" s="356" t="s">
        <v>234</v>
      </c>
      <c r="D132" s="356"/>
      <c r="I132" s="8"/>
      <c r="J132" s="8"/>
    </row>
    <row r="133" spans="1:10" x14ac:dyDescent="0.2">
      <c r="A133" s="52">
        <f t="shared" si="4"/>
        <v>0</v>
      </c>
      <c r="B133" s="52" t="s">
        <v>235</v>
      </c>
      <c r="C133" s="356" t="s">
        <v>236</v>
      </c>
      <c r="D133" s="356"/>
      <c r="I133" s="8"/>
      <c r="J133" s="8"/>
    </row>
    <row r="134" spans="1:10" x14ac:dyDescent="0.2">
      <c r="A134" s="52">
        <f t="shared" si="4"/>
        <v>0</v>
      </c>
      <c r="B134" s="52" t="s">
        <v>185</v>
      </c>
      <c r="C134" s="356" t="s">
        <v>237</v>
      </c>
      <c r="D134" s="356"/>
      <c r="I134" s="8"/>
      <c r="J134" s="8"/>
    </row>
    <row r="135" spans="1:10" x14ac:dyDescent="0.2">
      <c r="A135" s="52">
        <f t="shared" si="4"/>
        <v>0</v>
      </c>
      <c r="B135" s="52" t="s">
        <v>238</v>
      </c>
      <c r="C135" s="356" t="s">
        <v>239</v>
      </c>
      <c r="D135" s="356"/>
      <c r="I135" s="8"/>
      <c r="J135" s="8"/>
    </row>
    <row r="136" spans="1:10" x14ac:dyDescent="0.2">
      <c r="A136" s="52">
        <f>COUNTIF($J$76:$J$109,B136)</f>
        <v>0</v>
      </c>
      <c r="B136" s="52" t="s">
        <v>240</v>
      </c>
      <c r="C136" s="356" t="s">
        <v>241</v>
      </c>
      <c r="D136" s="356"/>
      <c r="I136" s="8"/>
      <c r="J136" s="8"/>
    </row>
    <row r="137" spans="1:10" x14ac:dyDescent="0.2">
      <c r="A137" s="52">
        <f>COUNTIF($J$76:$J$109,B137)</f>
        <v>0</v>
      </c>
      <c r="B137" s="52" t="s">
        <v>242</v>
      </c>
      <c r="C137" s="356" t="s">
        <v>243</v>
      </c>
      <c r="D137" s="356"/>
      <c r="I137" s="8"/>
      <c r="J137" s="8"/>
    </row>
    <row r="138" spans="1:10" x14ac:dyDescent="0.2">
      <c r="A138" s="52">
        <f t="shared" si="4"/>
        <v>0</v>
      </c>
      <c r="B138" s="52" t="s">
        <v>244</v>
      </c>
      <c r="C138" s="356" t="s">
        <v>245</v>
      </c>
      <c r="D138" s="356"/>
      <c r="I138" s="8"/>
      <c r="J138" s="8"/>
    </row>
    <row r="139" spans="1:10" x14ac:dyDescent="0.2">
      <c r="A139" s="32"/>
      <c r="I139" s="8"/>
      <c r="J139" s="8"/>
    </row>
    <row r="140" spans="1:10" x14ac:dyDescent="0.2">
      <c r="A140" s="32"/>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ht="19" x14ac:dyDescent="0.2">
      <c r="A145" s="32"/>
      <c r="C145" s="349" t="s">
        <v>86</v>
      </c>
      <c r="D145" s="350"/>
      <c r="E145" s="350"/>
      <c r="F145" s="350"/>
      <c r="G145" s="351"/>
      <c r="I145" s="8"/>
      <c r="J145" s="8"/>
    </row>
    <row r="146" spans="1:10" ht="32" x14ac:dyDescent="0.2">
      <c r="A146" s="32"/>
      <c r="C146" s="68" t="s">
        <v>87</v>
      </c>
      <c r="D146" s="64" t="s">
        <v>88</v>
      </c>
      <c r="E146" s="64" t="s">
        <v>89</v>
      </c>
      <c r="F146" s="64" t="s">
        <v>90</v>
      </c>
      <c r="G146" s="66" t="s">
        <v>91</v>
      </c>
      <c r="I146" s="8"/>
      <c r="J146" s="8"/>
    </row>
    <row r="147" spans="1:10" x14ac:dyDescent="0.2">
      <c r="A147" s="32"/>
      <c r="C147" s="65"/>
      <c r="D147" s="65"/>
      <c r="E147" s="65"/>
      <c r="F147" s="65"/>
      <c r="G147" s="67">
        <f>SUM(B147:F147)</f>
        <v>0</v>
      </c>
      <c r="I147" s="8"/>
      <c r="J147" s="8"/>
    </row>
    <row r="148" spans="1:10" x14ac:dyDescent="0.2">
      <c r="A148" s="32"/>
      <c r="G148"/>
      <c r="I148" s="8"/>
      <c r="J148" s="8"/>
    </row>
    <row r="149" spans="1:10" x14ac:dyDescent="0.2">
      <c r="A149" s="32"/>
      <c r="I149" s="8"/>
      <c r="J149" s="8"/>
    </row>
    <row r="150" spans="1:10" x14ac:dyDescent="0.2">
      <c r="A150" s="32"/>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row>
    <row r="224" spans="1:10" x14ac:dyDescent="0.2">
      <c r="A224" s="32"/>
    </row>
    <row r="225" spans="1:1" x14ac:dyDescent="0.2">
      <c r="A225" s="32"/>
    </row>
    <row r="226" spans="1:1" x14ac:dyDescent="0.2">
      <c r="A226" s="32"/>
    </row>
    <row r="227" spans="1:1" x14ac:dyDescent="0.2">
      <c r="A227" s="32"/>
    </row>
    <row r="228" spans="1:1" x14ac:dyDescent="0.2">
      <c r="A228" s="32"/>
    </row>
    <row r="229" spans="1:1" x14ac:dyDescent="0.2">
      <c r="A229" s="32"/>
    </row>
    <row r="230" spans="1:1" x14ac:dyDescent="0.2">
      <c r="A230" s="32"/>
    </row>
    <row r="231" spans="1:1" x14ac:dyDescent="0.2">
      <c r="A231" s="32"/>
    </row>
    <row r="232" spans="1:1" x14ac:dyDescent="0.2">
      <c r="A232" s="32"/>
    </row>
    <row r="233" spans="1:1" x14ac:dyDescent="0.2">
      <c r="A233" s="32"/>
    </row>
    <row r="234" spans="1:1" x14ac:dyDescent="0.2">
      <c r="A234" s="32"/>
    </row>
    <row r="235" spans="1:1" x14ac:dyDescent="0.2">
      <c r="A235" s="32"/>
    </row>
    <row r="236" spans="1:1" x14ac:dyDescent="0.2">
      <c r="A236" s="32"/>
    </row>
    <row r="237" spans="1:1" x14ac:dyDescent="0.2">
      <c r="A237" s="32"/>
    </row>
    <row r="238" spans="1:1" x14ac:dyDescent="0.2">
      <c r="A238" s="32"/>
    </row>
    <row r="239" spans="1:1" x14ac:dyDescent="0.2">
      <c r="A239" s="32"/>
    </row>
    <row r="240" spans="1:1" x14ac:dyDescent="0.2">
      <c r="A240" s="32"/>
    </row>
    <row r="241" spans="1:1" x14ac:dyDescent="0.2">
      <c r="A241" s="32"/>
    </row>
    <row r="242" spans="1:1" x14ac:dyDescent="0.2">
      <c r="A242" s="32"/>
    </row>
    <row r="243" spans="1:1" x14ac:dyDescent="0.2">
      <c r="A243" s="32"/>
    </row>
    <row r="244" spans="1:1" x14ac:dyDescent="0.2">
      <c r="A244" s="32"/>
    </row>
    <row r="245" spans="1:1" x14ac:dyDescent="0.2">
      <c r="A245" s="32"/>
    </row>
    <row r="246" spans="1:1" x14ac:dyDescent="0.2">
      <c r="A246" s="32"/>
    </row>
    <row r="247" spans="1:1" x14ac:dyDescent="0.2">
      <c r="A247" s="32"/>
    </row>
    <row r="248" spans="1:1" x14ac:dyDescent="0.2">
      <c r="A248" s="32"/>
    </row>
  </sheetData>
  <autoFilter ref="A1:AH1" xr:uid="{00000000-0001-0000-0800-000000000000}"/>
  <mergeCells count="67">
    <mergeCell ref="AC63:AE63"/>
    <mergeCell ref="AF63:AH63"/>
    <mergeCell ref="C78:H78"/>
    <mergeCell ref="C63:D63"/>
    <mergeCell ref="T63:V63"/>
    <mergeCell ref="W63:Y63"/>
    <mergeCell ref="Z63:AB63"/>
    <mergeCell ref="M64:O64"/>
    <mergeCell ref="H65:I65"/>
    <mergeCell ref="A75:C75"/>
    <mergeCell ref="C76:H76"/>
    <mergeCell ref="C77:H77"/>
    <mergeCell ref="C90:H90"/>
    <mergeCell ref="C79:H79"/>
    <mergeCell ref="C80:H80"/>
    <mergeCell ref="C81:H81"/>
    <mergeCell ref="C82:H82"/>
    <mergeCell ref="C83:H83"/>
    <mergeCell ref="C84:H84"/>
    <mergeCell ref="C85:H85"/>
    <mergeCell ref="C86:H86"/>
    <mergeCell ref="C87:H87"/>
    <mergeCell ref="C88:H88"/>
    <mergeCell ref="C89:H89"/>
    <mergeCell ref="C102:H102"/>
    <mergeCell ref="C91:H91"/>
    <mergeCell ref="C92:H92"/>
    <mergeCell ref="C93:H93"/>
    <mergeCell ref="C94:H94"/>
    <mergeCell ref="C95:H95"/>
    <mergeCell ref="C96:H96"/>
    <mergeCell ref="C97:H97"/>
    <mergeCell ref="C98:H98"/>
    <mergeCell ref="C99:H99"/>
    <mergeCell ref="C100:H100"/>
    <mergeCell ref="C101:H101"/>
    <mergeCell ref="C115:D115"/>
    <mergeCell ref="C103:H103"/>
    <mergeCell ref="C104:H104"/>
    <mergeCell ref="C105:H105"/>
    <mergeCell ref="C106:H106"/>
    <mergeCell ref="A108:D108"/>
    <mergeCell ref="C109:D109"/>
    <mergeCell ref="C110:D110"/>
    <mergeCell ref="C111:D111"/>
    <mergeCell ref="C112:D112"/>
    <mergeCell ref="C113:D113"/>
    <mergeCell ref="C114:D114"/>
    <mergeCell ref="C132:D132"/>
    <mergeCell ref="C116:D116"/>
    <mergeCell ref="C117:D117"/>
    <mergeCell ref="C118:D118"/>
    <mergeCell ref="C119:D119"/>
    <mergeCell ref="A125:D125"/>
    <mergeCell ref="C126:D126"/>
    <mergeCell ref="C127:D127"/>
    <mergeCell ref="C128:D128"/>
    <mergeCell ref="C129:D129"/>
    <mergeCell ref="C130:D130"/>
    <mergeCell ref="C131:D131"/>
    <mergeCell ref="C145:G145"/>
    <mergeCell ref="C133:D133"/>
    <mergeCell ref="C134:D134"/>
    <mergeCell ref="C135:D135"/>
    <mergeCell ref="C136:D136"/>
    <mergeCell ref="C137:D137"/>
    <mergeCell ref="C138:D138"/>
  </mergeCells>
  <dataValidations count="2">
    <dataValidation type="list" allowBlank="1" showInputMessage="1" showErrorMessage="1" sqref="I76:I106" xr:uid="{9C79D0C4-4D14-4B5D-B4E8-35350022396D}">
      <formula1>$B$109:$B$119</formula1>
    </dataValidation>
    <dataValidation type="list" allowBlank="1" showInputMessage="1" showErrorMessage="1" sqref="J76:J106" xr:uid="{4CE41B17-8D57-4E0E-8BF1-6D704CF1D8C0}">
      <formula1>$B$125:$B$138</formula1>
    </dataValidation>
  </dataValidation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BC46A-45D3-4333-AEA4-4B465089462A}">
  <sheetPr codeName="Hoja26"/>
  <dimension ref="A1:AP248"/>
  <sheetViews>
    <sheetView zoomScale="85" zoomScaleNormal="85" workbookViewId="0">
      <pane xSplit="11" ySplit="1" topLeftCell="L2" activePane="bottomRight" state="frozen"/>
      <selection pane="topRight"/>
      <selection pane="bottomLeft"/>
      <selection pane="bottomRight"/>
    </sheetView>
  </sheetViews>
  <sheetFormatPr baseColWidth="10" defaultColWidth="11.5" defaultRowHeight="15" x14ac:dyDescent="0.2"/>
  <cols>
    <col min="1" max="1" width="10.5" style="8" customWidth="1"/>
    <col min="2" max="2" width="7.6640625" style="8" customWidth="1"/>
    <col min="3" max="3" width="19" style="1" customWidth="1"/>
    <col min="4" max="4" width="23.33203125" style="1" customWidth="1"/>
    <col min="5" max="5" width="23" style="1" customWidth="1"/>
    <col min="6" max="6" width="26.83203125" style="1" customWidth="1"/>
    <col min="7" max="7" width="15.5" style="1" customWidth="1"/>
    <col min="8" max="8" width="23" style="1" customWidth="1"/>
    <col min="9" max="9" width="14.5" style="1" customWidth="1"/>
    <col min="10" max="10" width="15.83203125" style="1" customWidth="1"/>
    <col min="11" max="11" width="6" style="1" customWidth="1"/>
    <col min="12" max="12" width="4.6640625" style="1" customWidth="1"/>
    <col min="13" max="13" width="3.5" style="1" customWidth="1"/>
    <col min="14" max="14" width="11.5" style="21" customWidth="1"/>
    <col min="15" max="15" width="2.1640625" style="8" customWidth="1"/>
    <col min="16" max="16" width="13.5" style="1" customWidth="1"/>
    <col min="17" max="17" width="4.6640625" style="1" customWidth="1"/>
    <col min="18" max="18" width="15.33203125" style="1" customWidth="1"/>
    <col min="19" max="19" width="4.6640625" style="1" customWidth="1"/>
    <col min="20" max="20" width="13.5" style="1" customWidth="1"/>
    <col min="21" max="21" width="4.6640625" style="1" customWidth="1"/>
    <col min="22" max="22" width="13.5" style="1" customWidth="1"/>
    <col min="23" max="23" width="4.6640625" style="1" customWidth="1"/>
    <col min="24" max="24" width="13.5" style="1" customWidth="1"/>
    <col min="25" max="25" width="4.6640625" style="1" customWidth="1"/>
    <col min="26" max="26" width="13.5" style="1" customWidth="1"/>
    <col min="27" max="27" width="4.6640625" style="1" customWidth="1"/>
    <col min="28" max="28" width="13.5" style="1" customWidth="1"/>
    <col min="29" max="29" width="13" style="1" bestFit="1" customWidth="1"/>
    <col min="30" max="30" width="4.6640625" style="48" customWidth="1"/>
    <col min="31" max="31" width="11.5" style="48" bestFit="1" customWidth="1"/>
    <col min="32" max="32" width="16.6640625" style="48" bestFit="1" customWidth="1"/>
    <col min="33" max="33" width="4.6640625" style="1" customWidth="1"/>
    <col min="34" max="34" width="11.5" style="1" bestFit="1" customWidth="1"/>
    <col min="35" max="38" width="9.1640625" style="1"/>
    <col min="39" max="39" width="15.5" style="1" bestFit="1" customWidth="1"/>
    <col min="40" max="16384" width="11.5" style="1"/>
  </cols>
  <sheetData>
    <row r="1" spans="1:42" x14ac:dyDescent="0.2">
      <c r="A1" s="16" t="s">
        <v>118</v>
      </c>
      <c r="B1" s="16" t="s">
        <v>92</v>
      </c>
      <c r="C1" s="16" t="s">
        <v>4</v>
      </c>
      <c r="D1" s="16" t="s">
        <v>5</v>
      </c>
      <c r="E1" s="16" t="s">
        <v>6</v>
      </c>
      <c r="F1" s="16" t="s">
        <v>7</v>
      </c>
      <c r="G1" s="16" t="s">
        <v>8</v>
      </c>
      <c r="H1" s="16" t="s">
        <v>9</v>
      </c>
      <c r="I1" s="16" t="s">
        <v>10</v>
      </c>
      <c r="J1" s="17" t="s">
        <v>11</v>
      </c>
      <c r="K1" s="16" t="s">
        <v>12</v>
      </c>
      <c r="L1" s="16" t="s">
        <v>13</v>
      </c>
      <c r="M1" s="16"/>
      <c r="N1" s="16" t="s">
        <v>14</v>
      </c>
      <c r="P1" s="269" t="s">
        <v>15</v>
      </c>
      <c r="Q1" s="270" t="s">
        <v>119</v>
      </c>
      <c r="R1" s="270" t="s">
        <v>16</v>
      </c>
      <c r="S1" s="270" t="s">
        <v>119</v>
      </c>
      <c r="T1" s="270" t="s">
        <v>17</v>
      </c>
      <c r="U1" s="270" t="s">
        <v>119</v>
      </c>
      <c r="V1" s="270" t="s">
        <v>542</v>
      </c>
      <c r="W1" s="270" t="s">
        <v>18</v>
      </c>
      <c r="X1" s="270" t="s">
        <v>119</v>
      </c>
      <c r="Y1" s="270" t="s">
        <v>542</v>
      </c>
      <c r="Z1" s="270" t="s">
        <v>19</v>
      </c>
      <c r="AA1" s="270" t="s">
        <v>119</v>
      </c>
      <c r="AB1" s="270" t="s">
        <v>542</v>
      </c>
      <c r="AC1" s="270" t="s">
        <v>20</v>
      </c>
      <c r="AD1" s="270" t="s">
        <v>119</v>
      </c>
      <c r="AE1" s="270" t="s">
        <v>542</v>
      </c>
      <c r="AF1" s="270" t="s">
        <v>21</v>
      </c>
      <c r="AG1" s="270" t="s">
        <v>119</v>
      </c>
      <c r="AH1" s="270" t="s">
        <v>542</v>
      </c>
      <c r="AI1" s="150" t="s">
        <v>120</v>
      </c>
      <c r="AJ1" s="150" t="s">
        <v>246</v>
      </c>
      <c r="AK1" s="150" t="s">
        <v>121</v>
      </c>
      <c r="AL1" s="150" t="s">
        <v>246</v>
      </c>
      <c r="AM1" s="150" t="s">
        <v>122</v>
      </c>
      <c r="AN1" s="150" t="s">
        <v>125</v>
      </c>
      <c r="AO1" s="304" t="s">
        <v>255</v>
      </c>
      <c r="AP1" s="304" t="s">
        <v>257</v>
      </c>
    </row>
    <row r="2" spans="1:42" s="48" customFormat="1" x14ac:dyDescent="0.2">
      <c r="A2" s="209"/>
      <c r="B2" s="8"/>
      <c r="C2" s="8"/>
      <c r="D2" s="8"/>
      <c r="E2" s="8"/>
      <c r="F2" s="8"/>
      <c r="G2" s="8"/>
      <c r="H2" s="8"/>
      <c r="I2" s="8"/>
      <c r="J2" s="37"/>
      <c r="K2" s="19">
        <v>0</v>
      </c>
      <c r="L2" s="198" t="s">
        <v>128</v>
      </c>
      <c r="M2" s="198" t="s">
        <v>128</v>
      </c>
      <c r="N2" s="197" t="s">
        <v>128</v>
      </c>
      <c r="O2" s="195">
        <v>1</v>
      </c>
      <c r="P2" s="45" t="s">
        <v>128</v>
      </c>
      <c r="Q2" s="45" t="s">
        <v>128</v>
      </c>
      <c r="R2" s="45" t="s">
        <v>128</v>
      </c>
      <c r="S2" s="45" t="s">
        <v>128</v>
      </c>
      <c r="T2" s="45" t="s">
        <v>128</v>
      </c>
      <c r="U2" s="45" t="s">
        <v>128</v>
      </c>
      <c r="V2" s="45" t="s">
        <v>128</v>
      </c>
      <c r="W2" s="45" t="s">
        <v>128</v>
      </c>
      <c r="X2" s="45" t="s">
        <v>128</v>
      </c>
      <c r="Y2" s="45" t="s">
        <v>128</v>
      </c>
      <c r="Z2" s="45" t="s">
        <v>128</v>
      </c>
      <c r="AA2" s="45" t="s">
        <v>128</v>
      </c>
      <c r="AB2" s="45" t="s">
        <v>128</v>
      </c>
      <c r="AC2" s="107" t="s">
        <v>128</v>
      </c>
      <c r="AD2" s="107" t="s">
        <v>128</v>
      </c>
      <c r="AE2" s="107" t="s">
        <v>128</v>
      </c>
      <c r="AF2" s="107" t="s">
        <v>128</v>
      </c>
      <c r="AG2" s="107" t="s">
        <v>128</v>
      </c>
      <c r="AH2" s="107" t="s">
        <v>128</v>
      </c>
      <c r="AI2" s="228"/>
      <c r="AJ2" s="228"/>
      <c r="AK2" s="228"/>
      <c r="AL2" s="228"/>
      <c r="AM2" s="228"/>
      <c r="AN2" s="228"/>
      <c r="AO2" s="140"/>
      <c r="AP2" s="140"/>
    </row>
    <row r="3" spans="1:42" s="48" customFormat="1" x14ac:dyDescent="0.2">
      <c r="A3" s="22"/>
      <c r="B3" s="22"/>
      <c r="C3" s="22"/>
      <c r="D3" s="22"/>
      <c r="E3" s="22"/>
      <c r="F3" s="22"/>
      <c r="G3" s="22"/>
      <c r="H3" s="22"/>
      <c r="I3" s="22"/>
      <c r="J3" s="36"/>
      <c r="K3" s="19">
        <v>0</v>
      </c>
      <c r="L3" s="198" t="s">
        <v>128</v>
      </c>
      <c r="M3" s="198" t="s">
        <v>128</v>
      </c>
      <c r="N3" s="197" t="s">
        <v>128</v>
      </c>
      <c r="O3" s="195">
        <v>1</v>
      </c>
      <c r="P3" s="45" t="s">
        <v>128</v>
      </c>
      <c r="Q3" s="45" t="s">
        <v>128</v>
      </c>
      <c r="R3" s="45" t="s">
        <v>128</v>
      </c>
      <c r="S3" s="45" t="s">
        <v>128</v>
      </c>
      <c r="T3" s="45" t="s">
        <v>128</v>
      </c>
      <c r="U3" s="45" t="s">
        <v>128</v>
      </c>
      <c r="V3" s="45" t="s">
        <v>128</v>
      </c>
      <c r="W3" s="45" t="s">
        <v>128</v>
      </c>
      <c r="X3" s="45" t="s">
        <v>128</v>
      </c>
      <c r="Y3" s="45" t="s">
        <v>128</v>
      </c>
      <c r="Z3" s="45" t="s">
        <v>128</v>
      </c>
      <c r="AA3" s="45" t="s">
        <v>128</v>
      </c>
      <c r="AB3" s="45" t="s">
        <v>128</v>
      </c>
      <c r="AC3" s="107" t="s">
        <v>128</v>
      </c>
      <c r="AD3" s="107" t="s">
        <v>128</v>
      </c>
      <c r="AE3" s="107" t="s">
        <v>128</v>
      </c>
      <c r="AF3" s="107" t="s">
        <v>128</v>
      </c>
      <c r="AG3" s="107" t="s">
        <v>128</v>
      </c>
      <c r="AH3" s="107" t="s">
        <v>128</v>
      </c>
      <c r="AI3" s="228"/>
      <c r="AJ3" s="228"/>
      <c r="AK3" s="228"/>
      <c r="AL3" s="228"/>
      <c r="AM3" s="228"/>
      <c r="AN3" s="228"/>
      <c r="AO3" s="140"/>
      <c r="AP3" s="140"/>
    </row>
    <row r="4" spans="1:42" s="48" customFormat="1" x14ac:dyDescent="0.2">
      <c r="A4" s="209"/>
      <c r="B4" s="8"/>
      <c r="C4" s="8"/>
      <c r="D4" s="8"/>
      <c r="E4" s="8"/>
      <c r="F4" s="8"/>
      <c r="G4" s="8"/>
      <c r="H4" s="8"/>
      <c r="I4" s="8"/>
      <c r="J4" s="37"/>
      <c r="K4" s="19">
        <v>0</v>
      </c>
      <c r="L4" s="198" t="s">
        <v>128</v>
      </c>
      <c r="M4" s="198" t="s">
        <v>128</v>
      </c>
      <c r="N4" s="197" t="s">
        <v>128</v>
      </c>
      <c r="O4" s="195">
        <v>1</v>
      </c>
      <c r="P4" s="45" t="s">
        <v>128</v>
      </c>
      <c r="Q4" s="45" t="s">
        <v>128</v>
      </c>
      <c r="R4" s="45" t="s">
        <v>128</v>
      </c>
      <c r="S4" s="45" t="s">
        <v>128</v>
      </c>
      <c r="T4" s="45" t="s">
        <v>128</v>
      </c>
      <c r="U4" s="45" t="s">
        <v>128</v>
      </c>
      <c r="V4" s="45" t="s">
        <v>128</v>
      </c>
      <c r="W4" s="45" t="s">
        <v>128</v>
      </c>
      <c r="X4" s="45" t="s">
        <v>128</v>
      </c>
      <c r="Y4" s="45" t="s">
        <v>128</v>
      </c>
      <c r="Z4" s="45" t="s">
        <v>128</v>
      </c>
      <c r="AA4" s="45" t="s">
        <v>128</v>
      </c>
      <c r="AB4" s="45" t="s">
        <v>128</v>
      </c>
      <c r="AC4" s="107" t="s">
        <v>128</v>
      </c>
      <c r="AD4" s="107" t="s">
        <v>128</v>
      </c>
      <c r="AE4" s="107" t="s">
        <v>128</v>
      </c>
      <c r="AF4" s="107" t="s">
        <v>128</v>
      </c>
      <c r="AG4" s="107" t="s">
        <v>128</v>
      </c>
      <c r="AH4" s="107" t="s">
        <v>128</v>
      </c>
      <c r="AI4" s="228"/>
      <c r="AJ4" s="228"/>
      <c r="AK4" s="228"/>
      <c r="AL4" s="228"/>
      <c r="AM4" s="228"/>
      <c r="AN4" s="228"/>
      <c r="AO4" s="140"/>
      <c r="AP4" s="140"/>
    </row>
    <row r="5" spans="1:42" s="48" customFormat="1" x14ac:dyDescent="0.2">
      <c r="A5" s="22"/>
      <c r="B5" s="22"/>
      <c r="C5" s="22"/>
      <c r="D5" s="22"/>
      <c r="E5" s="22"/>
      <c r="F5" s="22"/>
      <c r="G5" s="22"/>
      <c r="H5" s="22"/>
      <c r="I5" s="22"/>
      <c r="J5" s="36"/>
      <c r="K5" s="19">
        <v>0</v>
      </c>
      <c r="L5" s="198" t="s">
        <v>128</v>
      </c>
      <c r="M5" s="198" t="s">
        <v>128</v>
      </c>
      <c r="N5" s="197" t="s">
        <v>128</v>
      </c>
      <c r="O5" s="195">
        <v>1</v>
      </c>
      <c r="P5" s="45" t="s">
        <v>128</v>
      </c>
      <c r="Q5" s="45" t="s">
        <v>128</v>
      </c>
      <c r="R5" s="45" t="s">
        <v>128</v>
      </c>
      <c r="S5" s="45" t="s">
        <v>128</v>
      </c>
      <c r="T5" s="45" t="s">
        <v>128</v>
      </c>
      <c r="U5" s="45" t="s">
        <v>128</v>
      </c>
      <c r="V5" s="45" t="s">
        <v>128</v>
      </c>
      <c r="W5" s="45" t="s">
        <v>128</v>
      </c>
      <c r="X5" s="45" t="s">
        <v>128</v>
      </c>
      <c r="Y5" s="45" t="s">
        <v>128</v>
      </c>
      <c r="Z5" s="45" t="s">
        <v>128</v>
      </c>
      <c r="AA5" s="45" t="s">
        <v>128</v>
      </c>
      <c r="AB5" s="45" t="s">
        <v>128</v>
      </c>
      <c r="AC5" s="107" t="s">
        <v>128</v>
      </c>
      <c r="AD5" s="107" t="s">
        <v>128</v>
      </c>
      <c r="AE5" s="107" t="s">
        <v>128</v>
      </c>
      <c r="AF5" s="107" t="s">
        <v>128</v>
      </c>
      <c r="AG5" s="107" t="s">
        <v>128</v>
      </c>
      <c r="AH5" s="107" t="s">
        <v>128</v>
      </c>
      <c r="AI5" s="228"/>
      <c r="AJ5" s="228"/>
      <c r="AK5" s="228"/>
      <c r="AL5" s="228"/>
      <c r="AM5" s="228"/>
      <c r="AN5" s="228"/>
      <c r="AO5" s="140"/>
      <c r="AP5" s="140"/>
    </row>
    <row r="6" spans="1:42" s="48" customFormat="1" x14ac:dyDescent="0.2">
      <c r="A6" s="209"/>
      <c r="B6" s="8"/>
      <c r="C6" s="8"/>
      <c r="D6" s="8"/>
      <c r="E6" s="8"/>
      <c r="F6" s="8"/>
      <c r="G6" s="8"/>
      <c r="H6" s="8"/>
      <c r="I6" s="8"/>
      <c r="J6" s="37"/>
      <c r="K6" s="19">
        <v>0</v>
      </c>
      <c r="L6" s="198" t="s">
        <v>128</v>
      </c>
      <c r="M6" s="198" t="s">
        <v>128</v>
      </c>
      <c r="N6" s="197" t="s">
        <v>128</v>
      </c>
      <c r="O6" s="195">
        <v>1</v>
      </c>
      <c r="P6" s="45" t="s">
        <v>128</v>
      </c>
      <c r="Q6" s="45" t="s">
        <v>128</v>
      </c>
      <c r="R6" s="45" t="s">
        <v>128</v>
      </c>
      <c r="S6" s="45" t="s">
        <v>128</v>
      </c>
      <c r="T6" s="45" t="s">
        <v>128</v>
      </c>
      <c r="U6" s="45" t="s">
        <v>128</v>
      </c>
      <c r="V6" s="45" t="s">
        <v>128</v>
      </c>
      <c r="W6" s="45" t="s">
        <v>128</v>
      </c>
      <c r="X6" s="45" t="s">
        <v>128</v>
      </c>
      <c r="Y6" s="45" t="s">
        <v>128</v>
      </c>
      <c r="Z6" s="45" t="s">
        <v>128</v>
      </c>
      <c r="AA6" s="45" t="s">
        <v>128</v>
      </c>
      <c r="AB6" s="45" t="s">
        <v>128</v>
      </c>
      <c r="AC6" s="107" t="s">
        <v>128</v>
      </c>
      <c r="AD6" s="107" t="s">
        <v>128</v>
      </c>
      <c r="AE6" s="107" t="s">
        <v>128</v>
      </c>
      <c r="AF6" s="107" t="s">
        <v>128</v>
      </c>
      <c r="AG6" s="107" t="s">
        <v>128</v>
      </c>
      <c r="AH6" s="107" t="s">
        <v>128</v>
      </c>
      <c r="AI6" s="228"/>
      <c r="AJ6" s="228"/>
      <c r="AK6" s="228"/>
      <c r="AL6" s="228"/>
      <c r="AM6" s="228"/>
      <c r="AN6" s="228"/>
      <c r="AO6" s="140"/>
      <c r="AP6" s="140"/>
    </row>
    <row r="7" spans="1:42" s="48" customFormat="1" x14ac:dyDescent="0.2">
      <c r="A7" s="22"/>
      <c r="B7" s="22"/>
      <c r="C7" s="22"/>
      <c r="D7" s="22"/>
      <c r="E7" s="22"/>
      <c r="F7" s="22"/>
      <c r="G7" s="22"/>
      <c r="H7" s="22"/>
      <c r="I7" s="22"/>
      <c r="J7" s="36"/>
      <c r="K7" s="19">
        <v>0</v>
      </c>
      <c r="L7" s="198" t="s">
        <v>128</v>
      </c>
      <c r="M7" s="198" t="s">
        <v>128</v>
      </c>
      <c r="N7" s="197" t="s">
        <v>128</v>
      </c>
      <c r="O7" s="195">
        <v>1</v>
      </c>
      <c r="P7" s="45" t="s">
        <v>128</v>
      </c>
      <c r="Q7" s="45" t="s">
        <v>128</v>
      </c>
      <c r="R7" s="45" t="s">
        <v>128</v>
      </c>
      <c r="S7" s="45" t="s">
        <v>128</v>
      </c>
      <c r="T7" s="45" t="s">
        <v>128</v>
      </c>
      <c r="U7" s="45" t="s">
        <v>128</v>
      </c>
      <c r="V7" s="45" t="s">
        <v>128</v>
      </c>
      <c r="W7" s="45" t="s">
        <v>128</v>
      </c>
      <c r="X7" s="45" t="s">
        <v>128</v>
      </c>
      <c r="Y7" s="45" t="s">
        <v>128</v>
      </c>
      <c r="Z7" s="45" t="s">
        <v>128</v>
      </c>
      <c r="AA7" s="45" t="s">
        <v>128</v>
      </c>
      <c r="AB7" s="45" t="s">
        <v>128</v>
      </c>
      <c r="AC7" s="107" t="s">
        <v>128</v>
      </c>
      <c r="AD7" s="107" t="s">
        <v>128</v>
      </c>
      <c r="AE7" s="107" t="s">
        <v>128</v>
      </c>
      <c r="AF7" s="107" t="s">
        <v>128</v>
      </c>
      <c r="AG7" s="107" t="s">
        <v>128</v>
      </c>
      <c r="AH7" s="107" t="s">
        <v>128</v>
      </c>
      <c r="AI7" s="228"/>
      <c r="AJ7" s="228"/>
      <c r="AK7" s="228"/>
      <c r="AL7" s="228"/>
      <c r="AM7" s="228"/>
      <c r="AN7" s="228"/>
      <c r="AO7" s="140"/>
      <c r="AP7" s="140"/>
    </row>
    <row r="8" spans="1:42" s="48" customFormat="1" x14ac:dyDescent="0.2">
      <c r="A8" s="209"/>
      <c r="B8" s="8"/>
      <c r="C8" s="8"/>
      <c r="D8" s="8"/>
      <c r="E8" s="8"/>
      <c r="F8" s="8"/>
      <c r="G8" s="8"/>
      <c r="H8" s="8"/>
      <c r="I8" s="8"/>
      <c r="J8" s="37"/>
      <c r="K8" s="19">
        <v>0</v>
      </c>
      <c r="L8" s="198" t="s">
        <v>128</v>
      </c>
      <c r="M8" s="198" t="s">
        <v>128</v>
      </c>
      <c r="N8" s="197" t="s">
        <v>128</v>
      </c>
      <c r="O8" s="195">
        <v>1</v>
      </c>
      <c r="P8" s="45" t="s">
        <v>128</v>
      </c>
      <c r="Q8" s="45" t="s">
        <v>128</v>
      </c>
      <c r="R8" s="45" t="s">
        <v>128</v>
      </c>
      <c r="S8" s="45" t="s">
        <v>128</v>
      </c>
      <c r="T8" s="45" t="s">
        <v>128</v>
      </c>
      <c r="U8" s="45" t="s">
        <v>128</v>
      </c>
      <c r="V8" s="45" t="s">
        <v>128</v>
      </c>
      <c r="W8" s="45" t="s">
        <v>128</v>
      </c>
      <c r="X8" s="45" t="s">
        <v>128</v>
      </c>
      <c r="Y8" s="45" t="s">
        <v>128</v>
      </c>
      <c r="Z8" s="45" t="s">
        <v>128</v>
      </c>
      <c r="AA8" s="45" t="s">
        <v>128</v>
      </c>
      <c r="AB8" s="45" t="s">
        <v>128</v>
      </c>
      <c r="AC8" s="107" t="s">
        <v>128</v>
      </c>
      <c r="AD8" s="107" t="s">
        <v>128</v>
      </c>
      <c r="AE8" s="107" t="s">
        <v>128</v>
      </c>
      <c r="AF8" s="107" t="s">
        <v>128</v>
      </c>
      <c r="AG8" s="107" t="s">
        <v>128</v>
      </c>
      <c r="AH8" s="107" t="s">
        <v>128</v>
      </c>
      <c r="AI8" s="228"/>
      <c r="AJ8" s="228"/>
      <c r="AK8" s="228"/>
      <c r="AL8" s="228"/>
      <c r="AM8" s="228"/>
      <c r="AN8" s="228"/>
      <c r="AO8" s="140"/>
      <c r="AP8" s="140"/>
    </row>
    <row r="9" spans="1:42" s="48" customFormat="1" x14ac:dyDescent="0.2">
      <c r="A9" s="22"/>
      <c r="B9" s="22"/>
      <c r="C9" s="22"/>
      <c r="D9" s="22"/>
      <c r="E9" s="22"/>
      <c r="F9" s="22"/>
      <c r="G9" s="22"/>
      <c r="H9" s="22"/>
      <c r="I9" s="22"/>
      <c r="J9" s="36"/>
      <c r="K9" s="19">
        <v>0</v>
      </c>
      <c r="L9" s="198" t="s">
        <v>128</v>
      </c>
      <c r="M9" s="198" t="s">
        <v>128</v>
      </c>
      <c r="N9" s="197" t="s">
        <v>128</v>
      </c>
      <c r="O9" s="195">
        <v>1</v>
      </c>
      <c r="P9" s="45" t="s">
        <v>128</v>
      </c>
      <c r="Q9" s="45" t="s">
        <v>128</v>
      </c>
      <c r="R9" s="45" t="s">
        <v>128</v>
      </c>
      <c r="S9" s="45" t="s">
        <v>128</v>
      </c>
      <c r="T9" s="45" t="s">
        <v>128</v>
      </c>
      <c r="U9" s="45" t="s">
        <v>128</v>
      </c>
      <c r="V9" s="45" t="s">
        <v>128</v>
      </c>
      <c r="W9" s="45" t="s">
        <v>128</v>
      </c>
      <c r="X9" s="45" t="s">
        <v>128</v>
      </c>
      <c r="Y9" s="45" t="s">
        <v>128</v>
      </c>
      <c r="Z9" s="45" t="s">
        <v>128</v>
      </c>
      <c r="AA9" s="45" t="s">
        <v>128</v>
      </c>
      <c r="AB9" s="45" t="s">
        <v>128</v>
      </c>
      <c r="AC9" s="107" t="s">
        <v>128</v>
      </c>
      <c r="AD9" s="107" t="s">
        <v>128</v>
      </c>
      <c r="AE9" s="107" t="s">
        <v>128</v>
      </c>
      <c r="AF9" s="107" t="s">
        <v>128</v>
      </c>
      <c r="AG9" s="107" t="s">
        <v>128</v>
      </c>
      <c r="AH9" s="107" t="s">
        <v>128</v>
      </c>
      <c r="AI9" s="228"/>
      <c r="AJ9" s="228"/>
      <c r="AK9" s="228"/>
      <c r="AL9" s="228"/>
      <c r="AM9" s="228"/>
      <c r="AN9" s="228"/>
      <c r="AO9" s="140"/>
      <c r="AP9" s="140"/>
    </row>
    <row r="10" spans="1:42" s="48" customFormat="1" x14ac:dyDescent="0.2">
      <c r="A10" s="209"/>
      <c r="B10" s="8"/>
      <c r="C10" s="8"/>
      <c r="D10" s="8"/>
      <c r="E10" s="8"/>
      <c r="F10" s="8"/>
      <c r="G10" s="8"/>
      <c r="H10" s="8"/>
      <c r="I10" s="8"/>
      <c r="J10" s="37"/>
      <c r="K10" s="19">
        <v>0</v>
      </c>
      <c r="L10" s="198" t="s">
        <v>128</v>
      </c>
      <c r="M10" s="198" t="s">
        <v>128</v>
      </c>
      <c r="N10" s="197" t="s">
        <v>128</v>
      </c>
      <c r="O10" s="195">
        <v>1</v>
      </c>
      <c r="P10" s="45" t="s">
        <v>128</v>
      </c>
      <c r="Q10" s="45" t="s">
        <v>128</v>
      </c>
      <c r="R10" s="45" t="s">
        <v>128</v>
      </c>
      <c r="S10" s="45" t="s">
        <v>128</v>
      </c>
      <c r="T10" s="45" t="s">
        <v>128</v>
      </c>
      <c r="U10" s="45" t="s">
        <v>128</v>
      </c>
      <c r="V10" s="45" t="s">
        <v>128</v>
      </c>
      <c r="W10" s="45" t="s">
        <v>128</v>
      </c>
      <c r="X10" s="45" t="s">
        <v>128</v>
      </c>
      <c r="Y10" s="45" t="s">
        <v>128</v>
      </c>
      <c r="Z10" s="45" t="s">
        <v>128</v>
      </c>
      <c r="AA10" s="45" t="s">
        <v>128</v>
      </c>
      <c r="AB10" s="45" t="s">
        <v>128</v>
      </c>
      <c r="AC10" s="107" t="s">
        <v>128</v>
      </c>
      <c r="AD10" s="107" t="s">
        <v>128</v>
      </c>
      <c r="AE10" s="107" t="s">
        <v>128</v>
      </c>
      <c r="AF10" s="107" t="s">
        <v>128</v>
      </c>
      <c r="AG10" s="107" t="s">
        <v>128</v>
      </c>
      <c r="AH10" s="107" t="s">
        <v>128</v>
      </c>
      <c r="AI10" s="228"/>
      <c r="AJ10" s="228"/>
      <c r="AK10" s="228"/>
      <c r="AL10" s="228"/>
      <c r="AM10" s="228"/>
      <c r="AN10" s="228"/>
      <c r="AO10" s="140"/>
      <c r="AP10" s="140"/>
    </row>
    <row r="11" spans="1:42" s="48" customFormat="1" x14ac:dyDescent="0.2">
      <c r="A11" s="22"/>
      <c r="B11" s="22"/>
      <c r="C11" s="22"/>
      <c r="D11" s="22"/>
      <c r="E11" s="22"/>
      <c r="F11" s="22"/>
      <c r="G11" s="22"/>
      <c r="H11" s="22"/>
      <c r="I11" s="22"/>
      <c r="J11" s="36"/>
      <c r="K11" s="19">
        <v>0</v>
      </c>
      <c r="L11" s="198" t="s">
        <v>128</v>
      </c>
      <c r="M11" s="198" t="s">
        <v>128</v>
      </c>
      <c r="N11" s="197" t="s">
        <v>128</v>
      </c>
      <c r="O11" s="195">
        <v>1</v>
      </c>
      <c r="P11" s="45" t="s">
        <v>128</v>
      </c>
      <c r="Q11" s="45" t="s">
        <v>128</v>
      </c>
      <c r="R11" s="45" t="s">
        <v>128</v>
      </c>
      <c r="S11" s="45" t="s">
        <v>128</v>
      </c>
      <c r="T11" s="45" t="s">
        <v>128</v>
      </c>
      <c r="U11" s="45" t="s">
        <v>128</v>
      </c>
      <c r="V11" s="45" t="s">
        <v>128</v>
      </c>
      <c r="W11" s="45" t="s">
        <v>128</v>
      </c>
      <c r="X11" s="45" t="s">
        <v>128</v>
      </c>
      <c r="Y11" s="45" t="s">
        <v>128</v>
      </c>
      <c r="Z11" s="45" t="s">
        <v>128</v>
      </c>
      <c r="AA11" s="45" t="s">
        <v>128</v>
      </c>
      <c r="AB11" s="45" t="s">
        <v>128</v>
      </c>
      <c r="AC11" s="107" t="s">
        <v>128</v>
      </c>
      <c r="AD11" s="107" t="s">
        <v>128</v>
      </c>
      <c r="AE11" s="107" t="s">
        <v>128</v>
      </c>
      <c r="AF11" s="107" t="s">
        <v>128</v>
      </c>
      <c r="AG11" s="107" t="s">
        <v>128</v>
      </c>
      <c r="AH11" s="107" t="s">
        <v>128</v>
      </c>
      <c r="AI11" s="228"/>
      <c r="AJ11" s="228"/>
      <c r="AK11" s="228"/>
      <c r="AL11" s="228"/>
      <c r="AM11" s="228"/>
      <c r="AN11" s="228"/>
      <c r="AO11" s="140"/>
      <c r="AP11" s="140"/>
    </row>
    <row r="12" spans="1:42" s="48" customFormat="1" x14ac:dyDescent="0.2">
      <c r="A12" s="209"/>
      <c r="B12" s="8"/>
      <c r="C12" s="8"/>
      <c r="D12" s="8"/>
      <c r="E12" s="8"/>
      <c r="F12" s="8"/>
      <c r="G12" s="8"/>
      <c r="H12" s="8"/>
      <c r="I12" s="8"/>
      <c r="J12" s="37"/>
      <c r="K12" s="19">
        <v>0</v>
      </c>
      <c r="L12" s="198" t="s">
        <v>128</v>
      </c>
      <c r="M12" s="198" t="s">
        <v>128</v>
      </c>
      <c r="N12" s="197" t="s">
        <v>128</v>
      </c>
      <c r="O12" s="195">
        <v>1</v>
      </c>
      <c r="P12" s="45" t="s">
        <v>128</v>
      </c>
      <c r="Q12" s="45" t="s">
        <v>128</v>
      </c>
      <c r="R12" s="45" t="s">
        <v>128</v>
      </c>
      <c r="S12" s="45" t="s">
        <v>128</v>
      </c>
      <c r="T12" s="45" t="s">
        <v>128</v>
      </c>
      <c r="U12" s="45" t="s">
        <v>128</v>
      </c>
      <c r="V12" s="45" t="s">
        <v>128</v>
      </c>
      <c r="W12" s="45" t="s">
        <v>128</v>
      </c>
      <c r="X12" s="45" t="s">
        <v>128</v>
      </c>
      <c r="Y12" s="45" t="s">
        <v>128</v>
      </c>
      <c r="Z12" s="45" t="s">
        <v>128</v>
      </c>
      <c r="AA12" s="45" t="s">
        <v>128</v>
      </c>
      <c r="AB12" s="45" t="s">
        <v>128</v>
      </c>
      <c r="AC12" s="107" t="s">
        <v>128</v>
      </c>
      <c r="AD12" s="107" t="s">
        <v>128</v>
      </c>
      <c r="AE12" s="107" t="s">
        <v>128</v>
      </c>
      <c r="AF12" s="107" t="s">
        <v>128</v>
      </c>
      <c r="AG12" s="107" t="s">
        <v>128</v>
      </c>
      <c r="AH12" s="107" t="s">
        <v>128</v>
      </c>
      <c r="AI12" s="228"/>
      <c r="AJ12" s="228"/>
      <c r="AK12" s="228"/>
      <c r="AL12" s="228"/>
      <c r="AM12" s="228"/>
      <c r="AN12" s="228"/>
      <c r="AO12" s="140"/>
      <c r="AP12" s="140"/>
    </row>
    <row r="13" spans="1:42" s="48" customFormat="1" x14ac:dyDescent="0.2">
      <c r="A13" s="22"/>
      <c r="B13" s="22"/>
      <c r="C13" s="22"/>
      <c r="D13" s="22"/>
      <c r="E13" s="22"/>
      <c r="F13" s="22"/>
      <c r="G13" s="22"/>
      <c r="H13" s="22"/>
      <c r="I13" s="22"/>
      <c r="J13" s="36"/>
      <c r="K13" s="19">
        <v>0</v>
      </c>
      <c r="L13" s="198" t="s">
        <v>128</v>
      </c>
      <c r="M13" s="198" t="s">
        <v>128</v>
      </c>
      <c r="N13" s="197" t="s">
        <v>128</v>
      </c>
      <c r="O13" s="195">
        <v>1</v>
      </c>
      <c r="P13" s="45" t="s">
        <v>128</v>
      </c>
      <c r="Q13" s="45" t="s">
        <v>128</v>
      </c>
      <c r="R13" s="45" t="s">
        <v>128</v>
      </c>
      <c r="S13" s="45" t="s">
        <v>128</v>
      </c>
      <c r="T13" s="45" t="s">
        <v>128</v>
      </c>
      <c r="U13" s="45" t="s">
        <v>128</v>
      </c>
      <c r="V13" s="45" t="s">
        <v>128</v>
      </c>
      <c r="W13" s="45" t="s">
        <v>128</v>
      </c>
      <c r="X13" s="45" t="s">
        <v>128</v>
      </c>
      <c r="Y13" s="45" t="s">
        <v>128</v>
      </c>
      <c r="Z13" s="45" t="s">
        <v>128</v>
      </c>
      <c r="AA13" s="45" t="s">
        <v>128</v>
      </c>
      <c r="AB13" s="45" t="s">
        <v>128</v>
      </c>
      <c r="AC13" s="107" t="s">
        <v>128</v>
      </c>
      <c r="AD13" s="107" t="s">
        <v>128</v>
      </c>
      <c r="AE13" s="107" t="s">
        <v>128</v>
      </c>
      <c r="AF13" s="107" t="s">
        <v>128</v>
      </c>
      <c r="AG13" s="107" t="s">
        <v>128</v>
      </c>
      <c r="AH13" s="107" t="s">
        <v>128</v>
      </c>
      <c r="AI13" s="228"/>
      <c r="AJ13" s="228"/>
      <c r="AK13" s="228"/>
      <c r="AL13" s="228"/>
      <c r="AM13" s="228"/>
      <c r="AN13" s="228"/>
      <c r="AO13" s="140"/>
      <c r="AP13" s="140"/>
    </row>
    <row r="14" spans="1:42" s="48" customFormat="1" x14ac:dyDescent="0.2">
      <c r="A14" s="209"/>
      <c r="B14" s="8"/>
      <c r="C14" s="8"/>
      <c r="D14" s="8"/>
      <c r="E14" s="8"/>
      <c r="F14" s="8"/>
      <c r="G14" s="8"/>
      <c r="H14" s="8"/>
      <c r="I14" s="8"/>
      <c r="J14" s="37"/>
      <c r="K14" s="19">
        <v>0</v>
      </c>
      <c r="L14" s="198" t="s">
        <v>128</v>
      </c>
      <c r="M14" s="198" t="s">
        <v>128</v>
      </c>
      <c r="N14" s="197" t="s">
        <v>128</v>
      </c>
      <c r="O14" s="195">
        <v>1</v>
      </c>
      <c r="P14" s="45" t="s">
        <v>128</v>
      </c>
      <c r="Q14" s="45" t="s">
        <v>128</v>
      </c>
      <c r="R14" s="45" t="s">
        <v>128</v>
      </c>
      <c r="S14" s="45" t="s">
        <v>128</v>
      </c>
      <c r="T14" s="45" t="s">
        <v>128</v>
      </c>
      <c r="U14" s="45" t="s">
        <v>128</v>
      </c>
      <c r="V14" s="45" t="s">
        <v>128</v>
      </c>
      <c r="W14" s="45" t="s">
        <v>128</v>
      </c>
      <c r="X14" s="45" t="s">
        <v>128</v>
      </c>
      <c r="Y14" s="45" t="s">
        <v>128</v>
      </c>
      <c r="Z14" s="45" t="s">
        <v>128</v>
      </c>
      <c r="AA14" s="45" t="s">
        <v>128</v>
      </c>
      <c r="AB14" s="45" t="s">
        <v>128</v>
      </c>
      <c r="AC14" s="107" t="s">
        <v>128</v>
      </c>
      <c r="AD14" s="107" t="s">
        <v>128</v>
      </c>
      <c r="AE14" s="107" t="s">
        <v>128</v>
      </c>
      <c r="AF14" s="107" t="s">
        <v>128</v>
      </c>
      <c r="AG14" s="107" t="s">
        <v>128</v>
      </c>
      <c r="AH14" s="107" t="s">
        <v>128</v>
      </c>
      <c r="AI14" s="228"/>
      <c r="AJ14" s="228"/>
      <c r="AK14" s="228"/>
      <c r="AL14" s="228"/>
      <c r="AM14" s="228"/>
      <c r="AN14" s="228"/>
      <c r="AO14" s="140"/>
      <c r="AP14" s="140"/>
    </row>
    <row r="15" spans="1:42" s="48" customFormat="1" x14ac:dyDescent="0.2">
      <c r="A15" s="22"/>
      <c r="B15" s="22"/>
      <c r="C15" s="22"/>
      <c r="D15" s="22"/>
      <c r="E15" s="22"/>
      <c r="F15" s="22"/>
      <c r="G15" s="22"/>
      <c r="H15" s="22"/>
      <c r="I15" s="22"/>
      <c r="J15" s="36"/>
      <c r="K15" s="19">
        <v>0</v>
      </c>
      <c r="L15" s="198" t="s">
        <v>128</v>
      </c>
      <c r="M15" s="198" t="s">
        <v>128</v>
      </c>
      <c r="N15" s="197" t="s">
        <v>128</v>
      </c>
      <c r="O15" s="195">
        <v>1</v>
      </c>
      <c r="P15" s="45" t="s">
        <v>128</v>
      </c>
      <c r="Q15" s="45" t="s">
        <v>128</v>
      </c>
      <c r="R15" s="45" t="s">
        <v>128</v>
      </c>
      <c r="S15" s="45" t="s">
        <v>128</v>
      </c>
      <c r="T15" s="45" t="s">
        <v>128</v>
      </c>
      <c r="U15" s="45" t="s">
        <v>128</v>
      </c>
      <c r="V15" s="45" t="s">
        <v>128</v>
      </c>
      <c r="W15" s="45" t="s">
        <v>128</v>
      </c>
      <c r="X15" s="45" t="s">
        <v>128</v>
      </c>
      <c r="Y15" s="45" t="s">
        <v>128</v>
      </c>
      <c r="Z15" s="45" t="s">
        <v>128</v>
      </c>
      <c r="AA15" s="45" t="s">
        <v>128</v>
      </c>
      <c r="AB15" s="45" t="s">
        <v>128</v>
      </c>
      <c r="AC15" s="107" t="s">
        <v>128</v>
      </c>
      <c r="AD15" s="107" t="s">
        <v>128</v>
      </c>
      <c r="AE15" s="107" t="s">
        <v>128</v>
      </c>
      <c r="AF15" s="107" t="s">
        <v>128</v>
      </c>
      <c r="AG15" s="107" t="s">
        <v>128</v>
      </c>
      <c r="AH15" s="107" t="s">
        <v>128</v>
      </c>
      <c r="AI15" s="228"/>
      <c r="AJ15" s="228"/>
      <c r="AK15" s="228"/>
      <c r="AL15" s="228"/>
      <c r="AM15" s="228"/>
      <c r="AN15" s="228"/>
      <c r="AO15" s="140"/>
      <c r="AP15" s="140"/>
    </row>
    <row r="16" spans="1:42" s="48" customFormat="1" x14ac:dyDescent="0.2">
      <c r="A16" s="209"/>
      <c r="B16" s="8"/>
      <c r="C16" s="8"/>
      <c r="D16" s="8"/>
      <c r="E16" s="8"/>
      <c r="F16" s="8"/>
      <c r="G16" s="8"/>
      <c r="H16" s="8"/>
      <c r="I16" s="8"/>
      <c r="J16" s="37"/>
      <c r="K16" s="19">
        <v>0</v>
      </c>
      <c r="L16" s="198" t="s">
        <v>128</v>
      </c>
      <c r="M16" s="198" t="s">
        <v>128</v>
      </c>
      <c r="N16" s="197" t="s">
        <v>128</v>
      </c>
      <c r="O16" s="195">
        <v>1</v>
      </c>
      <c r="P16" s="45" t="s">
        <v>128</v>
      </c>
      <c r="Q16" s="45" t="s">
        <v>128</v>
      </c>
      <c r="R16" s="45" t="s">
        <v>128</v>
      </c>
      <c r="S16" s="45" t="s">
        <v>128</v>
      </c>
      <c r="T16" s="45" t="s">
        <v>128</v>
      </c>
      <c r="U16" s="45" t="s">
        <v>128</v>
      </c>
      <c r="V16" s="45" t="s">
        <v>128</v>
      </c>
      <c r="W16" s="45" t="s">
        <v>128</v>
      </c>
      <c r="X16" s="45" t="s">
        <v>128</v>
      </c>
      <c r="Y16" s="45" t="s">
        <v>128</v>
      </c>
      <c r="Z16" s="45" t="s">
        <v>128</v>
      </c>
      <c r="AA16" s="45" t="s">
        <v>128</v>
      </c>
      <c r="AB16" s="45" t="s">
        <v>128</v>
      </c>
      <c r="AC16" s="107" t="s">
        <v>128</v>
      </c>
      <c r="AD16" s="107" t="s">
        <v>128</v>
      </c>
      <c r="AE16" s="107" t="s">
        <v>128</v>
      </c>
      <c r="AF16" s="107" t="s">
        <v>128</v>
      </c>
      <c r="AG16" s="107" t="s">
        <v>128</v>
      </c>
      <c r="AH16" s="107" t="s">
        <v>128</v>
      </c>
      <c r="AI16" s="228"/>
      <c r="AJ16" s="228"/>
      <c r="AK16" s="228"/>
      <c r="AL16" s="228"/>
      <c r="AM16" s="228"/>
      <c r="AN16" s="228"/>
      <c r="AO16" s="140"/>
      <c r="AP16" s="140"/>
    </row>
    <row r="17" spans="1:42" s="48" customFormat="1" x14ac:dyDescent="0.2">
      <c r="A17" s="22"/>
      <c r="B17" s="22"/>
      <c r="C17" s="22"/>
      <c r="D17" s="22"/>
      <c r="E17" s="22"/>
      <c r="F17" s="22"/>
      <c r="G17" s="22"/>
      <c r="H17" s="22"/>
      <c r="I17" s="22"/>
      <c r="J17" s="36"/>
      <c r="K17" s="19">
        <v>0</v>
      </c>
      <c r="L17" s="198" t="s">
        <v>128</v>
      </c>
      <c r="M17" s="198" t="s">
        <v>128</v>
      </c>
      <c r="N17" s="197" t="s">
        <v>128</v>
      </c>
      <c r="O17" s="195">
        <v>1</v>
      </c>
      <c r="P17" s="45" t="s">
        <v>128</v>
      </c>
      <c r="Q17" s="45" t="s">
        <v>128</v>
      </c>
      <c r="R17" s="45" t="s">
        <v>128</v>
      </c>
      <c r="S17" s="45" t="s">
        <v>128</v>
      </c>
      <c r="T17" s="45" t="s">
        <v>128</v>
      </c>
      <c r="U17" s="45" t="s">
        <v>128</v>
      </c>
      <c r="V17" s="45" t="s">
        <v>128</v>
      </c>
      <c r="W17" s="45" t="s">
        <v>128</v>
      </c>
      <c r="X17" s="45" t="s">
        <v>128</v>
      </c>
      <c r="Y17" s="45" t="s">
        <v>128</v>
      </c>
      <c r="Z17" s="45" t="s">
        <v>128</v>
      </c>
      <c r="AA17" s="45" t="s">
        <v>128</v>
      </c>
      <c r="AB17" s="45" t="s">
        <v>128</v>
      </c>
      <c r="AC17" s="107" t="s">
        <v>128</v>
      </c>
      <c r="AD17" s="107" t="s">
        <v>128</v>
      </c>
      <c r="AE17" s="107" t="s">
        <v>128</v>
      </c>
      <c r="AF17" s="107" t="s">
        <v>128</v>
      </c>
      <c r="AG17" s="107" t="s">
        <v>128</v>
      </c>
      <c r="AH17" s="107" t="s">
        <v>128</v>
      </c>
      <c r="AI17" s="228"/>
      <c r="AJ17" s="228"/>
      <c r="AK17" s="228"/>
      <c r="AL17" s="228"/>
      <c r="AM17" s="228"/>
      <c r="AN17" s="228"/>
      <c r="AO17" s="140"/>
      <c r="AP17" s="140"/>
    </row>
    <row r="18" spans="1:42" s="48" customFormat="1" x14ac:dyDescent="0.2">
      <c r="A18" s="209"/>
      <c r="B18" s="8"/>
      <c r="C18" s="8"/>
      <c r="D18" s="8"/>
      <c r="E18" s="8"/>
      <c r="F18" s="8"/>
      <c r="G18" s="8"/>
      <c r="H18" s="8"/>
      <c r="I18" s="8"/>
      <c r="J18" s="37"/>
      <c r="K18" s="19">
        <v>0</v>
      </c>
      <c r="L18" s="198" t="s">
        <v>128</v>
      </c>
      <c r="M18" s="198" t="s">
        <v>128</v>
      </c>
      <c r="N18" s="197" t="s">
        <v>128</v>
      </c>
      <c r="O18" s="195">
        <v>1</v>
      </c>
      <c r="P18" s="45" t="s">
        <v>128</v>
      </c>
      <c r="Q18" s="45" t="s">
        <v>128</v>
      </c>
      <c r="R18" s="45" t="s">
        <v>128</v>
      </c>
      <c r="S18" s="45" t="s">
        <v>128</v>
      </c>
      <c r="T18" s="45" t="s">
        <v>128</v>
      </c>
      <c r="U18" s="45" t="s">
        <v>128</v>
      </c>
      <c r="V18" s="45" t="s">
        <v>128</v>
      </c>
      <c r="W18" s="45" t="s">
        <v>128</v>
      </c>
      <c r="X18" s="45" t="s">
        <v>128</v>
      </c>
      <c r="Y18" s="45" t="s">
        <v>128</v>
      </c>
      <c r="Z18" s="45" t="s">
        <v>128</v>
      </c>
      <c r="AA18" s="45" t="s">
        <v>128</v>
      </c>
      <c r="AB18" s="45" t="s">
        <v>128</v>
      </c>
      <c r="AC18" s="107" t="s">
        <v>128</v>
      </c>
      <c r="AD18" s="107" t="s">
        <v>128</v>
      </c>
      <c r="AE18" s="107" t="s">
        <v>128</v>
      </c>
      <c r="AF18" s="107" t="s">
        <v>128</v>
      </c>
      <c r="AG18" s="107" t="s">
        <v>128</v>
      </c>
      <c r="AH18" s="107" t="s">
        <v>128</v>
      </c>
      <c r="AI18" s="228"/>
      <c r="AJ18" s="228"/>
      <c r="AK18" s="228"/>
      <c r="AL18" s="228"/>
      <c r="AM18" s="228"/>
      <c r="AN18" s="228"/>
      <c r="AO18" s="279"/>
      <c r="AP18" s="140"/>
    </row>
    <row r="19" spans="1:42" s="48" customFormat="1" x14ac:dyDescent="0.2">
      <c r="A19" s="22"/>
      <c r="B19" s="22"/>
      <c r="C19" s="22"/>
      <c r="D19" s="22"/>
      <c r="E19" s="22"/>
      <c r="F19" s="22"/>
      <c r="G19" s="22"/>
      <c r="H19" s="22"/>
      <c r="I19" s="22"/>
      <c r="J19" s="36"/>
      <c r="K19" s="19">
        <v>0</v>
      </c>
      <c r="L19" s="198" t="s">
        <v>128</v>
      </c>
      <c r="M19" s="198" t="s">
        <v>128</v>
      </c>
      <c r="N19" s="197" t="s">
        <v>128</v>
      </c>
      <c r="O19" s="195">
        <v>1</v>
      </c>
      <c r="P19" s="45" t="s">
        <v>128</v>
      </c>
      <c r="Q19" s="45" t="s">
        <v>128</v>
      </c>
      <c r="R19" s="45" t="s">
        <v>128</v>
      </c>
      <c r="S19" s="45" t="s">
        <v>128</v>
      </c>
      <c r="T19" s="45" t="s">
        <v>128</v>
      </c>
      <c r="U19" s="45" t="s">
        <v>128</v>
      </c>
      <c r="V19" s="45" t="s">
        <v>128</v>
      </c>
      <c r="W19" s="45" t="s">
        <v>128</v>
      </c>
      <c r="X19" s="45" t="s">
        <v>128</v>
      </c>
      <c r="Y19" s="45" t="s">
        <v>128</v>
      </c>
      <c r="Z19" s="45" t="s">
        <v>128</v>
      </c>
      <c r="AA19" s="45" t="s">
        <v>128</v>
      </c>
      <c r="AB19" s="45" t="s">
        <v>128</v>
      </c>
      <c r="AC19" s="107" t="s">
        <v>128</v>
      </c>
      <c r="AD19" s="107" t="s">
        <v>128</v>
      </c>
      <c r="AE19" s="107" t="s">
        <v>128</v>
      </c>
      <c r="AF19" s="107" t="s">
        <v>128</v>
      </c>
      <c r="AG19" s="107" t="s">
        <v>128</v>
      </c>
      <c r="AH19" s="107" t="s">
        <v>128</v>
      </c>
      <c r="AI19" s="228"/>
      <c r="AJ19" s="228"/>
      <c r="AK19" s="228"/>
      <c r="AL19" s="228"/>
      <c r="AM19" s="228"/>
      <c r="AN19" s="228"/>
      <c r="AO19" s="279"/>
      <c r="AP19" s="140"/>
    </row>
    <row r="20" spans="1:42" s="48" customFormat="1" x14ac:dyDescent="0.2">
      <c r="A20" s="209"/>
      <c r="B20" s="8"/>
      <c r="C20" s="8"/>
      <c r="D20" s="8"/>
      <c r="E20" s="8"/>
      <c r="F20" s="8"/>
      <c r="G20" s="8"/>
      <c r="H20" s="8"/>
      <c r="I20" s="8"/>
      <c r="J20" s="37"/>
      <c r="K20" s="19">
        <v>0</v>
      </c>
      <c r="L20" s="198" t="s">
        <v>128</v>
      </c>
      <c r="M20" s="198" t="s">
        <v>128</v>
      </c>
      <c r="N20" s="197" t="s">
        <v>128</v>
      </c>
      <c r="O20" s="195">
        <v>1</v>
      </c>
      <c r="P20" s="45" t="s">
        <v>128</v>
      </c>
      <c r="Q20" s="45" t="s">
        <v>128</v>
      </c>
      <c r="R20" s="45" t="s">
        <v>128</v>
      </c>
      <c r="S20" s="45" t="s">
        <v>128</v>
      </c>
      <c r="T20" s="45" t="s">
        <v>128</v>
      </c>
      <c r="U20" s="45" t="s">
        <v>128</v>
      </c>
      <c r="V20" s="45" t="s">
        <v>128</v>
      </c>
      <c r="W20" s="45" t="s">
        <v>128</v>
      </c>
      <c r="X20" s="45" t="s">
        <v>128</v>
      </c>
      <c r="Y20" s="45" t="s">
        <v>128</v>
      </c>
      <c r="Z20" s="45" t="s">
        <v>128</v>
      </c>
      <c r="AA20" s="45" t="s">
        <v>128</v>
      </c>
      <c r="AB20" s="45" t="s">
        <v>128</v>
      </c>
      <c r="AC20" s="107" t="s">
        <v>128</v>
      </c>
      <c r="AD20" s="107" t="s">
        <v>128</v>
      </c>
      <c r="AE20" s="107" t="s">
        <v>128</v>
      </c>
      <c r="AF20" s="107" t="s">
        <v>128</v>
      </c>
      <c r="AG20" s="107" t="s">
        <v>128</v>
      </c>
      <c r="AH20" s="107" t="s">
        <v>128</v>
      </c>
      <c r="AI20" s="228"/>
      <c r="AJ20" s="228"/>
      <c r="AK20" s="228"/>
      <c r="AL20" s="228"/>
      <c r="AM20" s="228"/>
      <c r="AN20" s="228"/>
      <c r="AO20" s="279"/>
      <c r="AP20" s="140"/>
    </row>
    <row r="21" spans="1:42" s="48" customFormat="1" x14ac:dyDescent="0.2">
      <c r="A21" s="22"/>
      <c r="B21" s="22"/>
      <c r="C21" s="22"/>
      <c r="D21" s="22"/>
      <c r="E21" s="22"/>
      <c r="F21" s="22"/>
      <c r="G21" s="22"/>
      <c r="H21" s="22"/>
      <c r="I21" s="22"/>
      <c r="J21" s="36"/>
      <c r="K21" s="19">
        <v>0</v>
      </c>
      <c r="L21" s="198" t="s">
        <v>128</v>
      </c>
      <c r="M21" s="198" t="s">
        <v>128</v>
      </c>
      <c r="N21" s="197" t="s">
        <v>128</v>
      </c>
      <c r="O21" s="195">
        <v>1</v>
      </c>
      <c r="P21" s="45" t="s">
        <v>128</v>
      </c>
      <c r="Q21" s="45" t="s">
        <v>128</v>
      </c>
      <c r="R21" s="45" t="s">
        <v>128</v>
      </c>
      <c r="S21" s="45" t="s">
        <v>128</v>
      </c>
      <c r="T21" s="45" t="s">
        <v>128</v>
      </c>
      <c r="U21" s="45" t="s">
        <v>128</v>
      </c>
      <c r="V21" s="45" t="s">
        <v>128</v>
      </c>
      <c r="W21" s="45" t="s">
        <v>128</v>
      </c>
      <c r="X21" s="45" t="s">
        <v>128</v>
      </c>
      <c r="Y21" s="45" t="s">
        <v>128</v>
      </c>
      <c r="Z21" s="45" t="s">
        <v>128</v>
      </c>
      <c r="AA21" s="45" t="s">
        <v>128</v>
      </c>
      <c r="AB21" s="45" t="s">
        <v>128</v>
      </c>
      <c r="AC21" s="107" t="s">
        <v>128</v>
      </c>
      <c r="AD21" s="107" t="s">
        <v>128</v>
      </c>
      <c r="AE21" s="107" t="s">
        <v>128</v>
      </c>
      <c r="AF21" s="107" t="s">
        <v>128</v>
      </c>
      <c r="AG21" s="107" t="s">
        <v>128</v>
      </c>
      <c r="AH21" s="107" t="s">
        <v>128</v>
      </c>
      <c r="AI21" s="228"/>
      <c r="AJ21" s="228"/>
      <c r="AK21" s="228"/>
      <c r="AL21" s="228"/>
      <c r="AM21" s="228"/>
      <c r="AN21" s="228"/>
      <c r="AO21" s="140"/>
      <c r="AP21" s="140"/>
    </row>
    <row r="22" spans="1:42" s="48" customFormat="1" x14ac:dyDescent="0.2">
      <c r="A22" s="209"/>
      <c r="B22" s="8"/>
      <c r="C22" s="8"/>
      <c r="D22" s="8"/>
      <c r="E22" s="8"/>
      <c r="F22" s="8"/>
      <c r="G22" s="8"/>
      <c r="H22" s="8"/>
      <c r="I22" s="8"/>
      <c r="J22" s="37"/>
      <c r="K22" s="19">
        <v>0</v>
      </c>
      <c r="L22" s="198" t="s">
        <v>128</v>
      </c>
      <c r="M22" s="198" t="s">
        <v>128</v>
      </c>
      <c r="N22" s="197" t="s">
        <v>128</v>
      </c>
      <c r="O22" s="195">
        <v>1</v>
      </c>
      <c r="P22" s="45" t="s">
        <v>128</v>
      </c>
      <c r="Q22" s="45" t="s">
        <v>128</v>
      </c>
      <c r="R22" s="45" t="s">
        <v>128</v>
      </c>
      <c r="S22" s="45" t="s">
        <v>128</v>
      </c>
      <c r="T22" s="45" t="s">
        <v>128</v>
      </c>
      <c r="U22" s="45" t="s">
        <v>128</v>
      </c>
      <c r="V22" s="45" t="s">
        <v>128</v>
      </c>
      <c r="W22" s="45" t="s">
        <v>128</v>
      </c>
      <c r="X22" s="45" t="s">
        <v>128</v>
      </c>
      <c r="Y22" s="45" t="s">
        <v>128</v>
      </c>
      <c r="Z22" s="45" t="s">
        <v>128</v>
      </c>
      <c r="AA22" s="45" t="s">
        <v>128</v>
      </c>
      <c r="AB22" s="45" t="s">
        <v>128</v>
      </c>
      <c r="AC22" s="107" t="s">
        <v>128</v>
      </c>
      <c r="AD22" s="107" t="s">
        <v>128</v>
      </c>
      <c r="AE22" s="107" t="s">
        <v>128</v>
      </c>
      <c r="AF22" s="107" t="s">
        <v>128</v>
      </c>
      <c r="AG22" s="107" t="s">
        <v>128</v>
      </c>
      <c r="AH22" s="107" t="s">
        <v>128</v>
      </c>
      <c r="AI22" s="228"/>
      <c r="AJ22" s="228"/>
      <c r="AK22" s="228"/>
      <c r="AL22" s="228"/>
      <c r="AM22" s="228"/>
      <c r="AN22" s="228"/>
      <c r="AO22" s="140"/>
      <c r="AP22" s="140"/>
    </row>
    <row r="23" spans="1:42" s="48" customFormat="1" x14ac:dyDescent="0.2">
      <c r="A23" s="22"/>
      <c r="B23" s="22"/>
      <c r="C23" s="22"/>
      <c r="D23" s="22"/>
      <c r="E23" s="22"/>
      <c r="F23" s="22"/>
      <c r="G23" s="22"/>
      <c r="H23" s="22"/>
      <c r="I23" s="22"/>
      <c r="J23" s="36"/>
      <c r="K23" s="19">
        <v>0</v>
      </c>
      <c r="L23" s="198" t="s">
        <v>128</v>
      </c>
      <c r="M23" s="198" t="s">
        <v>128</v>
      </c>
      <c r="N23" s="197" t="s">
        <v>128</v>
      </c>
      <c r="O23" s="195">
        <v>1</v>
      </c>
      <c r="P23" s="45" t="s">
        <v>128</v>
      </c>
      <c r="Q23" s="45" t="s">
        <v>128</v>
      </c>
      <c r="R23" s="45" t="s">
        <v>128</v>
      </c>
      <c r="S23" s="45" t="s">
        <v>128</v>
      </c>
      <c r="T23" s="45" t="s">
        <v>128</v>
      </c>
      <c r="U23" s="45" t="s">
        <v>128</v>
      </c>
      <c r="V23" s="45" t="s">
        <v>128</v>
      </c>
      <c r="W23" s="45" t="s">
        <v>128</v>
      </c>
      <c r="X23" s="45" t="s">
        <v>128</v>
      </c>
      <c r="Y23" s="45" t="s">
        <v>128</v>
      </c>
      <c r="Z23" s="45" t="s">
        <v>128</v>
      </c>
      <c r="AA23" s="45" t="s">
        <v>128</v>
      </c>
      <c r="AB23" s="45" t="s">
        <v>128</v>
      </c>
      <c r="AC23" s="107" t="s">
        <v>128</v>
      </c>
      <c r="AD23" s="107" t="s">
        <v>128</v>
      </c>
      <c r="AE23" s="107" t="s">
        <v>128</v>
      </c>
      <c r="AF23" s="107" t="s">
        <v>128</v>
      </c>
      <c r="AG23" s="107" t="s">
        <v>128</v>
      </c>
      <c r="AH23" s="107" t="s">
        <v>128</v>
      </c>
      <c r="AI23" s="228"/>
      <c r="AJ23" s="228"/>
      <c r="AK23" s="228"/>
      <c r="AL23" s="228"/>
      <c r="AM23" s="228"/>
      <c r="AN23" s="228"/>
      <c r="AO23" s="140"/>
      <c r="AP23" s="140"/>
    </row>
    <row r="24" spans="1:42" s="48" customFormat="1" x14ac:dyDescent="0.2">
      <c r="A24" s="209"/>
      <c r="B24" s="8"/>
      <c r="C24" s="8"/>
      <c r="D24" s="8"/>
      <c r="E24" s="8"/>
      <c r="F24" s="8"/>
      <c r="G24" s="8"/>
      <c r="H24" s="8"/>
      <c r="I24" s="8"/>
      <c r="J24" s="37"/>
      <c r="K24" s="19">
        <v>0</v>
      </c>
      <c r="L24" s="198" t="s">
        <v>128</v>
      </c>
      <c r="M24" s="198" t="s">
        <v>128</v>
      </c>
      <c r="N24" s="197" t="s">
        <v>128</v>
      </c>
      <c r="O24" s="195">
        <v>1</v>
      </c>
      <c r="P24" s="45" t="s">
        <v>128</v>
      </c>
      <c r="Q24" s="45" t="s">
        <v>128</v>
      </c>
      <c r="R24" s="45" t="s">
        <v>128</v>
      </c>
      <c r="S24" s="45" t="s">
        <v>128</v>
      </c>
      <c r="T24" s="45" t="s">
        <v>128</v>
      </c>
      <c r="U24" s="45" t="s">
        <v>128</v>
      </c>
      <c r="V24" s="45" t="s">
        <v>128</v>
      </c>
      <c r="W24" s="45" t="s">
        <v>128</v>
      </c>
      <c r="X24" s="45" t="s">
        <v>128</v>
      </c>
      <c r="Y24" s="45" t="s">
        <v>128</v>
      </c>
      <c r="Z24" s="45" t="s">
        <v>128</v>
      </c>
      <c r="AA24" s="45" t="s">
        <v>128</v>
      </c>
      <c r="AB24" s="45" t="s">
        <v>128</v>
      </c>
      <c r="AC24" s="107" t="s">
        <v>128</v>
      </c>
      <c r="AD24" s="107" t="s">
        <v>128</v>
      </c>
      <c r="AE24" s="107" t="s">
        <v>128</v>
      </c>
      <c r="AF24" s="107" t="s">
        <v>128</v>
      </c>
      <c r="AG24" s="107" t="s">
        <v>128</v>
      </c>
      <c r="AH24" s="107" t="s">
        <v>128</v>
      </c>
      <c r="AI24" s="228"/>
      <c r="AJ24" s="228"/>
      <c r="AK24" s="228"/>
      <c r="AL24" s="228"/>
      <c r="AM24" s="228"/>
      <c r="AN24" s="228"/>
      <c r="AO24" s="140"/>
      <c r="AP24" s="140"/>
    </row>
    <row r="25" spans="1:42" s="48" customFormat="1" x14ac:dyDescent="0.2">
      <c r="A25" s="22"/>
      <c r="B25" s="22"/>
      <c r="C25" s="22"/>
      <c r="D25" s="22"/>
      <c r="E25" s="22"/>
      <c r="F25" s="22"/>
      <c r="G25" s="22"/>
      <c r="H25" s="22"/>
      <c r="I25" s="22"/>
      <c r="J25" s="36"/>
      <c r="K25" s="19">
        <v>0</v>
      </c>
      <c r="L25" s="198" t="s">
        <v>128</v>
      </c>
      <c r="M25" s="198" t="s">
        <v>128</v>
      </c>
      <c r="N25" s="197" t="s">
        <v>128</v>
      </c>
      <c r="O25" s="195">
        <v>1</v>
      </c>
      <c r="P25" s="45" t="s">
        <v>128</v>
      </c>
      <c r="Q25" s="45" t="s">
        <v>128</v>
      </c>
      <c r="R25" s="45" t="s">
        <v>128</v>
      </c>
      <c r="S25" s="45" t="s">
        <v>128</v>
      </c>
      <c r="T25" s="45" t="s">
        <v>128</v>
      </c>
      <c r="U25" s="45" t="s">
        <v>128</v>
      </c>
      <c r="V25" s="45" t="s">
        <v>128</v>
      </c>
      <c r="W25" s="45" t="s">
        <v>128</v>
      </c>
      <c r="X25" s="45" t="s">
        <v>128</v>
      </c>
      <c r="Y25" s="45" t="s">
        <v>128</v>
      </c>
      <c r="Z25" s="45" t="s">
        <v>128</v>
      </c>
      <c r="AA25" s="45" t="s">
        <v>128</v>
      </c>
      <c r="AB25" s="45" t="s">
        <v>128</v>
      </c>
      <c r="AC25" s="107" t="s">
        <v>128</v>
      </c>
      <c r="AD25" s="107" t="s">
        <v>128</v>
      </c>
      <c r="AE25" s="107" t="s">
        <v>128</v>
      </c>
      <c r="AF25" s="107" t="s">
        <v>128</v>
      </c>
      <c r="AG25" s="107" t="s">
        <v>128</v>
      </c>
      <c r="AH25" s="107" t="s">
        <v>128</v>
      </c>
      <c r="AI25" s="228"/>
      <c r="AJ25" s="228"/>
      <c r="AK25" s="228"/>
      <c r="AL25" s="228"/>
      <c r="AM25" s="228"/>
      <c r="AN25" s="228"/>
      <c r="AO25" s="140"/>
      <c r="AP25" s="140"/>
    </row>
    <row r="26" spans="1:42" s="48" customFormat="1" x14ac:dyDescent="0.2">
      <c r="A26" s="209"/>
      <c r="B26" s="8"/>
      <c r="C26" s="8"/>
      <c r="D26" s="8"/>
      <c r="E26" s="8"/>
      <c r="F26" s="8"/>
      <c r="G26" s="8"/>
      <c r="H26" s="8"/>
      <c r="I26" s="8"/>
      <c r="J26" s="37"/>
      <c r="K26" s="19">
        <v>0</v>
      </c>
      <c r="L26" s="198" t="s">
        <v>128</v>
      </c>
      <c r="M26" s="198" t="s">
        <v>128</v>
      </c>
      <c r="N26" s="197" t="s">
        <v>128</v>
      </c>
      <c r="O26" s="195">
        <v>1</v>
      </c>
      <c r="P26" s="45" t="s">
        <v>128</v>
      </c>
      <c r="Q26" s="45" t="s">
        <v>128</v>
      </c>
      <c r="R26" s="45" t="s">
        <v>128</v>
      </c>
      <c r="S26" s="45" t="s">
        <v>128</v>
      </c>
      <c r="T26" s="45" t="s">
        <v>128</v>
      </c>
      <c r="U26" s="45" t="s">
        <v>128</v>
      </c>
      <c r="V26" s="45" t="s">
        <v>128</v>
      </c>
      <c r="W26" s="45" t="s">
        <v>128</v>
      </c>
      <c r="X26" s="45" t="s">
        <v>128</v>
      </c>
      <c r="Y26" s="45" t="s">
        <v>128</v>
      </c>
      <c r="Z26" s="45" t="s">
        <v>128</v>
      </c>
      <c r="AA26" s="45" t="s">
        <v>128</v>
      </c>
      <c r="AB26" s="45" t="s">
        <v>128</v>
      </c>
      <c r="AC26" s="107" t="s">
        <v>128</v>
      </c>
      <c r="AD26" s="107" t="s">
        <v>128</v>
      </c>
      <c r="AE26" s="107" t="s">
        <v>128</v>
      </c>
      <c r="AF26" s="107" t="s">
        <v>128</v>
      </c>
      <c r="AG26" s="107" t="s">
        <v>128</v>
      </c>
      <c r="AH26" s="107" t="s">
        <v>128</v>
      </c>
      <c r="AI26" s="228"/>
      <c r="AJ26" s="228"/>
      <c r="AK26" s="228"/>
      <c r="AL26" s="228"/>
      <c r="AM26" s="228"/>
      <c r="AN26" s="228"/>
      <c r="AO26" s="140"/>
      <c r="AP26" s="140"/>
    </row>
    <row r="27" spans="1:42" s="48" customFormat="1" x14ac:dyDescent="0.2">
      <c r="A27" s="22"/>
      <c r="B27" s="22"/>
      <c r="C27" s="22"/>
      <c r="D27" s="22"/>
      <c r="E27" s="22"/>
      <c r="F27" s="22"/>
      <c r="G27" s="22"/>
      <c r="H27" s="22"/>
      <c r="I27" s="22"/>
      <c r="J27" s="36"/>
      <c r="K27" s="19">
        <v>0</v>
      </c>
      <c r="L27" s="198" t="s">
        <v>128</v>
      </c>
      <c r="M27" s="198" t="s">
        <v>128</v>
      </c>
      <c r="N27" s="197" t="s">
        <v>128</v>
      </c>
      <c r="O27" s="195">
        <v>1</v>
      </c>
      <c r="P27" s="45" t="s">
        <v>128</v>
      </c>
      <c r="Q27" s="45" t="s">
        <v>128</v>
      </c>
      <c r="R27" s="45" t="s">
        <v>128</v>
      </c>
      <c r="S27" s="45" t="s">
        <v>128</v>
      </c>
      <c r="T27" s="45" t="s">
        <v>128</v>
      </c>
      <c r="U27" s="45" t="s">
        <v>128</v>
      </c>
      <c r="V27" s="45" t="s">
        <v>128</v>
      </c>
      <c r="W27" s="45" t="s">
        <v>128</v>
      </c>
      <c r="X27" s="45" t="s">
        <v>128</v>
      </c>
      <c r="Y27" s="45" t="s">
        <v>128</v>
      </c>
      <c r="Z27" s="45" t="s">
        <v>128</v>
      </c>
      <c r="AA27" s="45" t="s">
        <v>128</v>
      </c>
      <c r="AB27" s="45" t="s">
        <v>128</v>
      </c>
      <c r="AC27" s="107" t="s">
        <v>128</v>
      </c>
      <c r="AD27" s="107" t="s">
        <v>128</v>
      </c>
      <c r="AE27" s="107" t="s">
        <v>128</v>
      </c>
      <c r="AF27" s="107" t="s">
        <v>128</v>
      </c>
      <c r="AG27" s="107" t="s">
        <v>128</v>
      </c>
      <c r="AH27" s="107" t="s">
        <v>128</v>
      </c>
      <c r="AI27" s="228"/>
      <c r="AJ27" s="228"/>
      <c r="AK27" s="228"/>
      <c r="AL27" s="228"/>
      <c r="AM27" s="228"/>
      <c r="AN27" s="228"/>
      <c r="AO27" s="140"/>
      <c r="AP27" s="140"/>
    </row>
    <row r="28" spans="1:42" s="48" customFormat="1" x14ac:dyDescent="0.2">
      <c r="A28" s="209"/>
      <c r="B28" s="8"/>
      <c r="C28" s="8"/>
      <c r="D28" s="8"/>
      <c r="E28" s="8"/>
      <c r="F28" s="8"/>
      <c r="G28" s="8"/>
      <c r="H28" s="8"/>
      <c r="I28" s="8"/>
      <c r="J28" s="37"/>
      <c r="K28" s="19">
        <v>0</v>
      </c>
      <c r="L28" s="198" t="s">
        <v>128</v>
      </c>
      <c r="M28" s="198" t="s">
        <v>128</v>
      </c>
      <c r="N28" s="197" t="s">
        <v>128</v>
      </c>
      <c r="O28" s="195">
        <v>1</v>
      </c>
      <c r="P28" s="45" t="s">
        <v>128</v>
      </c>
      <c r="Q28" s="45" t="s">
        <v>128</v>
      </c>
      <c r="R28" s="45" t="s">
        <v>128</v>
      </c>
      <c r="S28" s="45" t="s">
        <v>128</v>
      </c>
      <c r="T28" s="45" t="s">
        <v>128</v>
      </c>
      <c r="U28" s="45" t="s">
        <v>128</v>
      </c>
      <c r="V28" s="45" t="s">
        <v>128</v>
      </c>
      <c r="W28" s="45" t="s">
        <v>128</v>
      </c>
      <c r="X28" s="45" t="s">
        <v>128</v>
      </c>
      <c r="Y28" s="45" t="s">
        <v>128</v>
      </c>
      <c r="Z28" s="45" t="s">
        <v>128</v>
      </c>
      <c r="AA28" s="45" t="s">
        <v>128</v>
      </c>
      <c r="AB28" s="45" t="s">
        <v>128</v>
      </c>
      <c r="AC28" s="107" t="s">
        <v>128</v>
      </c>
      <c r="AD28" s="107" t="s">
        <v>128</v>
      </c>
      <c r="AE28" s="107" t="s">
        <v>128</v>
      </c>
      <c r="AF28" s="107" t="s">
        <v>128</v>
      </c>
      <c r="AG28" s="107" t="s">
        <v>128</v>
      </c>
      <c r="AH28" s="107" t="s">
        <v>128</v>
      </c>
      <c r="AI28" s="228"/>
      <c r="AJ28" s="228"/>
      <c r="AK28" s="228"/>
      <c r="AL28" s="228"/>
      <c r="AM28" s="228"/>
      <c r="AN28" s="228"/>
      <c r="AO28" s="140"/>
      <c r="AP28" s="140"/>
    </row>
    <row r="29" spans="1:42" s="48" customFormat="1" x14ac:dyDescent="0.2">
      <c r="A29" s="22"/>
      <c r="B29" s="22"/>
      <c r="C29" s="22"/>
      <c r="D29" s="22"/>
      <c r="E29" s="22"/>
      <c r="F29" s="22"/>
      <c r="G29" s="22"/>
      <c r="H29" s="22"/>
      <c r="I29" s="22"/>
      <c r="J29" s="36"/>
      <c r="K29" s="19">
        <v>0</v>
      </c>
      <c r="L29" s="198" t="s">
        <v>128</v>
      </c>
      <c r="M29" s="198" t="s">
        <v>128</v>
      </c>
      <c r="N29" s="197" t="s">
        <v>128</v>
      </c>
      <c r="O29" s="195">
        <v>1</v>
      </c>
      <c r="P29" s="45" t="s">
        <v>128</v>
      </c>
      <c r="Q29" s="45" t="s">
        <v>128</v>
      </c>
      <c r="R29" s="45" t="s">
        <v>128</v>
      </c>
      <c r="S29" s="45" t="s">
        <v>128</v>
      </c>
      <c r="T29" s="45" t="s">
        <v>128</v>
      </c>
      <c r="U29" s="45" t="s">
        <v>128</v>
      </c>
      <c r="V29" s="45" t="s">
        <v>128</v>
      </c>
      <c r="W29" s="45" t="s">
        <v>128</v>
      </c>
      <c r="X29" s="45" t="s">
        <v>128</v>
      </c>
      <c r="Y29" s="45" t="s">
        <v>128</v>
      </c>
      <c r="Z29" s="45" t="s">
        <v>128</v>
      </c>
      <c r="AA29" s="45" t="s">
        <v>128</v>
      </c>
      <c r="AB29" s="45" t="s">
        <v>128</v>
      </c>
      <c r="AC29" s="107" t="s">
        <v>128</v>
      </c>
      <c r="AD29" s="107" t="s">
        <v>128</v>
      </c>
      <c r="AE29" s="107" t="s">
        <v>128</v>
      </c>
      <c r="AF29" s="107" t="s">
        <v>128</v>
      </c>
      <c r="AG29" s="107" t="s">
        <v>128</v>
      </c>
      <c r="AH29" s="107" t="s">
        <v>128</v>
      </c>
      <c r="AI29" s="228"/>
      <c r="AJ29" s="228"/>
      <c r="AK29" s="228"/>
      <c r="AL29" s="228"/>
      <c r="AM29" s="228"/>
      <c r="AN29" s="228"/>
      <c r="AO29" s="140"/>
      <c r="AP29" s="140"/>
    </row>
    <row r="30" spans="1:42" s="48" customFormat="1" x14ac:dyDescent="0.2">
      <c r="A30" s="209"/>
      <c r="B30" s="8"/>
      <c r="C30" s="8"/>
      <c r="D30" s="8"/>
      <c r="E30" s="8"/>
      <c r="F30" s="8"/>
      <c r="G30" s="8"/>
      <c r="H30" s="8"/>
      <c r="I30" s="8"/>
      <c r="J30" s="37"/>
      <c r="K30" s="19">
        <v>0</v>
      </c>
      <c r="L30" s="198" t="s">
        <v>128</v>
      </c>
      <c r="M30" s="198" t="s">
        <v>128</v>
      </c>
      <c r="N30" s="197" t="s">
        <v>128</v>
      </c>
      <c r="O30" s="195">
        <v>1</v>
      </c>
      <c r="P30" s="45" t="s">
        <v>128</v>
      </c>
      <c r="Q30" s="45" t="s">
        <v>128</v>
      </c>
      <c r="R30" s="45" t="s">
        <v>128</v>
      </c>
      <c r="S30" s="45" t="s">
        <v>128</v>
      </c>
      <c r="T30" s="45" t="s">
        <v>128</v>
      </c>
      <c r="U30" s="45" t="s">
        <v>128</v>
      </c>
      <c r="V30" s="45" t="s">
        <v>128</v>
      </c>
      <c r="W30" s="45" t="s">
        <v>128</v>
      </c>
      <c r="X30" s="45" t="s">
        <v>128</v>
      </c>
      <c r="Y30" s="45" t="s">
        <v>128</v>
      </c>
      <c r="Z30" s="45" t="s">
        <v>128</v>
      </c>
      <c r="AA30" s="45" t="s">
        <v>128</v>
      </c>
      <c r="AB30" s="45" t="s">
        <v>128</v>
      </c>
      <c r="AC30" s="107" t="s">
        <v>128</v>
      </c>
      <c r="AD30" s="107" t="s">
        <v>128</v>
      </c>
      <c r="AE30" s="107" t="s">
        <v>128</v>
      </c>
      <c r="AF30" s="107" t="s">
        <v>128</v>
      </c>
      <c r="AG30" s="107" t="s">
        <v>128</v>
      </c>
      <c r="AH30" s="107" t="s">
        <v>128</v>
      </c>
      <c r="AI30" s="228"/>
      <c r="AJ30" s="228"/>
      <c r="AK30" s="228"/>
      <c r="AL30" s="228"/>
      <c r="AM30" s="228"/>
      <c r="AN30" s="228"/>
      <c r="AO30" s="140"/>
      <c r="AP30" s="140"/>
    </row>
    <row r="31" spans="1:42" s="48" customFormat="1" x14ac:dyDescent="0.2">
      <c r="A31" s="22"/>
      <c r="B31" s="22"/>
      <c r="C31" s="22"/>
      <c r="D31" s="22"/>
      <c r="E31" s="22"/>
      <c r="F31" s="22"/>
      <c r="G31" s="22"/>
      <c r="H31" s="22"/>
      <c r="I31" s="22"/>
      <c r="J31" s="36"/>
      <c r="K31" s="19">
        <v>0</v>
      </c>
      <c r="L31" s="198" t="s">
        <v>128</v>
      </c>
      <c r="M31" s="198" t="s">
        <v>128</v>
      </c>
      <c r="N31" s="197" t="s">
        <v>128</v>
      </c>
      <c r="O31" s="195">
        <v>1</v>
      </c>
      <c r="P31" s="45" t="s">
        <v>128</v>
      </c>
      <c r="Q31" s="45" t="s">
        <v>128</v>
      </c>
      <c r="R31" s="45" t="s">
        <v>128</v>
      </c>
      <c r="S31" s="45" t="s">
        <v>128</v>
      </c>
      <c r="T31" s="45" t="s">
        <v>128</v>
      </c>
      <c r="U31" s="45" t="s">
        <v>128</v>
      </c>
      <c r="V31" s="45" t="s">
        <v>128</v>
      </c>
      <c r="W31" s="45" t="s">
        <v>128</v>
      </c>
      <c r="X31" s="45" t="s">
        <v>128</v>
      </c>
      <c r="Y31" s="45" t="s">
        <v>128</v>
      </c>
      <c r="Z31" s="45" t="s">
        <v>128</v>
      </c>
      <c r="AA31" s="45" t="s">
        <v>128</v>
      </c>
      <c r="AB31" s="45" t="s">
        <v>128</v>
      </c>
      <c r="AC31" s="107" t="s">
        <v>128</v>
      </c>
      <c r="AD31" s="107" t="s">
        <v>128</v>
      </c>
      <c r="AE31" s="107" t="s">
        <v>128</v>
      </c>
      <c r="AF31" s="107" t="s">
        <v>128</v>
      </c>
      <c r="AG31" s="107" t="s">
        <v>128</v>
      </c>
      <c r="AH31" s="107" t="s">
        <v>128</v>
      </c>
      <c r="AI31" s="228"/>
      <c r="AJ31" s="228"/>
      <c r="AK31" s="228"/>
      <c r="AL31" s="228"/>
      <c r="AM31" s="228"/>
      <c r="AN31" s="228"/>
      <c r="AO31" s="140"/>
      <c r="AP31" s="140"/>
    </row>
    <row r="32" spans="1:42" s="48" customFormat="1" x14ac:dyDescent="0.2">
      <c r="A32" s="209"/>
      <c r="B32" s="8"/>
      <c r="C32" s="8"/>
      <c r="D32" s="8"/>
      <c r="E32" s="8"/>
      <c r="F32" s="8"/>
      <c r="G32" s="8"/>
      <c r="H32" s="8"/>
      <c r="I32" s="8"/>
      <c r="J32" s="37"/>
      <c r="K32" s="19">
        <v>0</v>
      </c>
      <c r="L32" s="198" t="s">
        <v>128</v>
      </c>
      <c r="M32" s="198" t="s">
        <v>128</v>
      </c>
      <c r="N32" s="197" t="s">
        <v>128</v>
      </c>
      <c r="O32" s="195">
        <v>1</v>
      </c>
      <c r="P32" s="45" t="s">
        <v>128</v>
      </c>
      <c r="Q32" s="45" t="s">
        <v>128</v>
      </c>
      <c r="R32" s="45" t="s">
        <v>128</v>
      </c>
      <c r="S32" s="45" t="s">
        <v>128</v>
      </c>
      <c r="T32" s="45" t="s">
        <v>128</v>
      </c>
      <c r="U32" s="45" t="s">
        <v>128</v>
      </c>
      <c r="V32" s="45" t="s">
        <v>128</v>
      </c>
      <c r="W32" s="45" t="s">
        <v>128</v>
      </c>
      <c r="X32" s="45" t="s">
        <v>128</v>
      </c>
      <c r="Y32" s="45" t="s">
        <v>128</v>
      </c>
      <c r="Z32" s="45" t="s">
        <v>128</v>
      </c>
      <c r="AA32" s="45" t="s">
        <v>128</v>
      </c>
      <c r="AB32" s="45" t="s">
        <v>128</v>
      </c>
      <c r="AC32" s="107" t="s">
        <v>128</v>
      </c>
      <c r="AD32" s="107" t="s">
        <v>128</v>
      </c>
      <c r="AE32" s="107" t="s">
        <v>128</v>
      </c>
      <c r="AF32" s="107" t="s">
        <v>128</v>
      </c>
      <c r="AG32" s="107" t="s">
        <v>128</v>
      </c>
      <c r="AH32" s="107" t="s">
        <v>128</v>
      </c>
      <c r="AI32" s="228"/>
      <c r="AJ32" s="228"/>
      <c r="AK32" s="228"/>
      <c r="AL32" s="228"/>
      <c r="AM32" s="228"/>
      <c r="AN32" s="228"/>
      <c r="AO32" s="140"/>
      <c r="AP32" s="140"/>
    </row>
    <row r="33" spans="1:42" s="48" customFormat="1" x14ac:dyDescent="0.2">
      <c r="A33" s="22"/>
      <c r="B33" s="22"/>
      <c r="C33" s="22"/>
      <c r="D33" s="22"/>
      <c r="E33" s="22"/>
      <c r="F33" s="22"/>
      <c r="G33" s="22"/>
      <c r="H33" s="22"/>
      <c r="I33" s="22"/>
      <c r="J33" s="36"/>
      <c r="K33" s="19">
        <v>0</v>
      </c>
      <c r="L33" s="198" t="s">
        <v>128</v>
      </c>
      <c r="M33" s="198" t="s">
        <v>128</v>
      </c>
      <c r="N33" s="197" t="s">
        <v>128</v>
      </c>
      <c r="O33" s="195">
        <v>1</v>
      </c>
      <c r="P33" s="45" t="s">
        <v>128</v>
      </c>
      <c r="Q33" s="45" t="s">
        <v>128</v>
      </c>
      <c r="R33" s="45" t="s">
        <v>128</v>
      </c>
      <c r="S33" s="45" t="s">
        <v>128</v>
      </c>
      <c r="T33" s="45" t="s">
        <v>128</v>
      </c>
      <c r="U33" s="45" t="s">
        <v>128</v>
      </c>
      <c r="V33" s="45" t="s">
        <v>128</v>
      </c>
      <c r="W33" s="45" t="s">
        <v>128</v>
      </c>
      <c r="X33" s="45" t="s">
        <v>128</v>
      </c>
      <c r="Y33" s="45" t="s">
        <v>128</v>
      </c>
      <c r="Z33" s="45" t="s">
        <v>128</v>
      </c>
      <c r="AA33" s="45" t="s">
        <v>128</v>
      </c>
      <c r="AB33" s="45" t="s">
        <v>128</v>
      </c>
      <c r="AC33" s="107" t="s">
        <v>128</v>
      </c>
      <c r="AD33" s="107" t="s">
        <v>128</v>
      </c>
      <c r="AE33" s="107" t="s">
        <v>128</v>
      </c>
      <c r="AF33" s="107" t="s">
        <v>128</v>
      </c>
      <c r="AG33" s="107" t="s">
        <v>128</v>
      </c>
      <c r="AH33" s="107" t="s">
        <v>128</v>
      </c>
      <c r="AI33" s="228"/>
      <c r="AJ33" s="228"/>
      <c r="AK33" s="228"/>
      <c r="AL33" s="228"/>
      <c r="AM33" s="228"/>
      <c r="AN33" s="228"/>
      <c r="AO33" s="140"/>
      <c r="AP33" s="140"/>
    </row>
    <row r="34" spans="1:42" s="48" customFormat="1" x14ac:dyDescent="0.2">
      <c r="A34" s="209"/>
      <c r="B34" s="8"/>
      <c r="C34" s="8"/>
      <c r="D34" s="8"/>
      <c r="E34" s="8"/>
      <c r="F34" s="8"/>
      <c r="G34" s="8"/>
      <c r="H34" s="8"/>
      <c r="I34" s="8"/>
      <c r="J34" s="37"/>
      <c r="K34" s="19">
        <v>0</v>
      </c>
      <c r="L34" s="198" t="s">
        <v>128</v>
      </c>
      <c r="M34" s="198" t="s">
        <v>128</v>
      </c>
      <c r="N34" s="197" t="s">
        <v>128</v>
      </c>
      <c r="O34" s="195">
        <v>1</v>
      </c>
      <c r="P34" s="45" t="s">
        <v>128</v>
      </c>
      <c r="Q34" s="45" t="s">
        <v>128</v>
      </c>
      <c r="R34" s="45" t="s">
        <v>128</v>
      </c>
      <c r="S34" s="45" t="s">
        <v>128</v>
      </c>
      <c r="T34" s="45" t="s">
        <v>128</v>
      </c>
      <c r="U34" s="45" t="s">
        <v>128</v>
      </c>
      <c r="V34" s="45" t="s">
        <v>128</v>
      </c>
      <c r="W34" s="45" t="s">
        <v>128</v>
      </c>
      <c r="X34" s="45" t="s">
        <v>128</v>
      </c>
      <c r="Y34" s="45" t="s">
        <v>128</v>
      </c>
      <c r="Z34" s="45" t="s">
        <v>128</v>
      </c>
      <c r="AA34" s="45" t="s">
        <v>128</v>
      </c>
      <c r="AB34" s="45" t="s">
        <v>128</v>
      </c>
      <c r="AC34" s="107" t="s">
        <v>128</v>
      </c>
      <c r="AD34" s="107" t="s">
        <v>128</v>
      </c>
      <c r="AE34" s="107" t="s">
        <v>128</v>
      </c>
      <c r="AF34" s="107" t="s">
        <v>128</v>
      </c>
      <c r="AG34" s="107" t="s">
        <v>128</v>
      </c>
      <c r="AH34" s="107" t="s">
        <v>128</v>
      </c>
      <c r="AI34" s="228"/>
      <c r="AJ34" s="228"/>
      <c r="AK34" s="228"/>
      <c r="AL34" s="228"/>
      <c r="AM34" s="228"/>
      <c r="AN34" s="228"/>
      <c r="AO34" s="228"/>
      <c r="AP34" s="228"/>
    </row>
    <row r="35" spans="1:42" s="48" customFormat="1" x14ac:dyDescent="0.2">
      <c r="A35" s="22"/>
      <c r="B35" s="22"/>
      <c r="C35" s="22"/>
      <c r="D35" s="22"/>
      <c r="E35" s="22"/>
      <c r="F35" s="22"/>
      <c r="G35" s="22"/>
      <c r="H35" s="22"/>
      <c r="I35" s="22"/>
      <c r="J35" s="36"/>
      <c r="K35" s="19">
        <v>0</v>
      </c>
      <c r="L35" s="198" t="s">
        <v>128</v>
      </c>
      <c r="M35" s="198" t="s">
        <v>128</v>
      </c>
      <c r="N35" s="197" t="s">
        <v>128</v>
      </c>
      <c r="O35" s="195">
        <v>1</v>
      </c>
      <c r="P35" s="45" t="s">
        <v>128</v>
      </c>
      <c r="Q35" s="45" t="s">
        <v>128</v>
      </c>
      <c r="R35" s="45" t="s">
        <v>128</v>
      </c>
      <c r="S35" s="45" t="s">
        <v>128</v>
      </c>
      <c r="T35" s="45" t="s">
        <v>128</v>
      </c>
      <c r="U35" s="45" t="s">
        <v>128</v>
      </c>
      <c r="V35" s="45" t="s">
        <v>128</v>
      </c>
      <c r="W35" s="45" t="s">
        <v>128</v>
      </c>
      <c r="X35" s="45" t="s">
        <v>128</v>
      </c>
      <c r="Y35" s="45" t="s">
        <v>128</v>
      </c>
      <c r="Z35" s="45" t="s">
        <v>128</v>
      </c>
      <c r="AA35" s="45" t="s">
        <v>128</v>
      </c>
      <c r="AB35" s="45" t="s">
        <v>128</v>
      </c>
      <c r="AC35" s="107" t="s">
        <v>128</v>
      </c>
      <c r="AD35" s="107" t="s">
        <v>128</v>
      </c>
      <c r="AE35" s="107" t="s">
        <v>128</v>
      </c>
      <c r="AF35" s="107" t="s">
        <v>128</v>
      </c>
      <c r="AG35" s="107" t="s">
        <v>128</v>
      </c>
      <c r="AH35" s="107" t="s">
        <v>128</v>
      </c>
      <c r="AI35" s="228"/>
      <c r="AJ35" s="228"/>
      <c r="AK35" s="228"/>
      <c r="AL35" s="228"/>
      <c r="AM35" s="228"/>
      <c r="AN35" s="228"/>
      <c r="AO35" s="228"/>
      <c r="AP35" s="228"/>
    </row>
    <row r="36" spans="1:42" s="48" customFormat="1" x14ac:dyDescent="0.2">
      <c r="A36" s="209"/>
      <c r="B36" s="8"/>
      <c r="C36" s="8"/>
      <c r="D36" s="8"/>
      <c r="E36" s="8"/>
      <c r="F36" s="8"/>
      <c r="G36" s="8"/>
      <c r="H36" s="8"/>
      <c r="I36" s="8"/>
      <c r="J36" s="37"/>
      <c r="K36" s="19">
        <v>0</v>
      </c>
      <c r="L36" s="198" t="s">
        <v>128</v>
      </c>
      <c r="M36" s="198" t="s">
        <v>128</v>
      </c>
      <c r="N36" s="197" t="s">
        <v>128</v>
      </c>
      <c r="O36" s="195">
        <v>1</v>
      </c>
      <c r="P36" s="45" t="s">
        <v>128</v>
      </c>
      <c r="Q36" s="45" t="s">
        <v>128</v>
      </c>
      <c r="R36" s="45" t="s">
        <v>128</v>
      </c>
      <c r="S36" s="45" t="s">
        <v>128</v>
      </c>
      <c r="T36" s="45" t="s">
        <v>128</v>
      </c>
      <c r="U36" s="45" t="s">
        <v>128</v>
      </c>
      <c r="V36" s="45" t="s">
        <v>128</v>
      </c>
      <c r="W36" s="45" t="s">
        <v>128</v>
      </c>
      <c r="X36" s="45" t="s">
        <v>128</v>
      </c>
      <c r="Y36" s="45" t="s">
        <v>128</v>
      </c>
      <c r="Z36" s="45" t="s">
        <v>128</v>
      </c>
      <c r="AA36" s="45" t="s">
        <v>128</v>
      </c>
      <c r="AB36" s="45" t="s">
        <v>128</v>
      </c>
      <c r="AC36" s="107" t="s">
        <v>128</v>
      </c>
      <c r="AD36" s="107" t="s">
        <v>128</v>
      </c>
      <c r="AE36" s="107" t="s">
        <v>128</v>
      </c>
      <c r="AF36" s="107" t="s">
        <v>128</v>
      </c>
      <c r="AG36" s="107" t="s">
        <v>128</v>
      </c>
      <c r="AH36" s="107" t="s">
        <v>128</v>
      </c>
      <c r="AI36" s="228"/>
      <c r="AJ36" s="228"/>
      <c r="AK36" s="228"/>
      <c r="AL36" s="228"/>
      <c r="AM36" s="228"/>
      <c r="AN36" s="228"/>
      <c r="AO36" s="228"/>
      <c r="AP36" s="228"/>
    </row>
    <row r="37" spans="1:42" s="48" customFormat="1" x14ac:dyDescent="0.2">
      <c r="A37" s="22"/>
      <c r="B37" s="22"/>
      <c r="C37" s="22"/>
      <c r="D37" s="22"/>
      <c r="E37" s="22"/>
      <c r="F37" s="22"/>
      <c r="G37" s="22"/>
      <c r="H37" s="22"/>
      <c r="I37" s="22"/>
      <c r="J37" s="36"/>
      <c r="K37" s="19">
        <v>0</v>
      </c>
      <c r="L37" s="198" t="s">
        <v>128</v>
      </c>
      <c r="M37" s="198" t="s">
        <v>128</v>
      </c>
      <c r="N37" s="197" t="s">
        <v>128</v>
      </c>
      <c r="O37" s="195">
        <v>1</v>
      </c>
      <c r="P37" s="45" t="s">
        <v>128</v>
      </c>
      <c r="Q37" s="45" t="s">
        <v>128</v>
      </c>
      <c r="R37" s="45" t="s">
        <v>128</v>
      </c>
      <c r="S37" s="45" t="s">
        <v>128</v>
      </c>
      <c r="T37" s="45" t="s">
        <v>128</v>
      </c>
      <c r="U37" s="45" t="s">
        <v>128</v>
      </c>
      <c r="V37" s="45" t="s">
        <v>128</v>
      </c>
      <c r="W37" s="45" t="s">
        <v>128</v>
      </c>
      <c r="X37" s="45" t="s">
        <v>128</v>
      </c>
      <c r="Y37" s="45" t="s">
        <v>128</v>
      </c>
      <c r="Z37" s="45" t="s">
        <v>128</v>
      </c>
      <c r="AA37" s="45" t="s">
        <v>128</v>
      </c>
      <c r="AB37" s="45" t="s">
        <v>128</v>
      </c>
      <c r="AC37" s="107" t="s">
        <v>128</v>
      </c>
      <c r="AD37" s="107" t="s">
        <v>128</v>
      </c>
      <c r="AE37" s="107" t="s">
        <v>128</v>
      </c>
      <c r="AF37" s="107" t="s">
        <v>128</v>
      </c>
      <c r="AG37" s="107" t="s">
        <v>128</v>
      </c>
      <c r="AH37" s="107" t="s">
        <v>128</v>
      </c>
      <c r="AI37" s="228"/>
      <c r="AJ37" s="228"/>
      <c r="AK37" s="228"/>
      <c r="AL37" s="228"/>
      <c r="AM37" s="228"/>
      <c r="AN37" s="228"/>
      <c r="AO37" s="228"/>
      <c r="AP37" s="228"/>
    </row>
    <row r="38" spans="1:42" s="48" customFormat="1" x14ac:dyDescent="0.15">
      <c r="A38" s="209"/>
      <c r="B38" s="8"/>
      <c r="C38" s="8"/>
      <c r="D38" s="8"/>
      <c r="E38" s="8"/>
      <c r="F38" s="8"/>
      <c r="G38" s="8"/>
      <c r="H38" s="8"/>
      <c r="I38" s="8"/>
      <c r="J38" s="37"/>
      <c r="K38" s="19">
        <v>0</v>
      </c>
      <c r="L38" s="198" t="s">
        <v>128</v>
      </c>
      <c r="M38" s="198" t="s">
        <v>128</v>
      </c>
      <c r="N38" s="197" t="s">
        <v>128</v>
      </c>
      <c r="O38" s="195">
        <v>1</v>
      </c>
      <c r="P38" s="45" t="s">
        <v>128</v>
      </c>
      <c r="Q38" s="45" t="s">
        <v>128</v>
      </c>
      <c r="R38" s="45" t="s">
        <v>128</v>
      </c>
      <c r="S38" s="45" t="s">
        <v>128</v>
      </c>
      <c r="T38" s="45" t="s">
        <v>128</v>
      </c>
      <c r="U38" s="45" t="s">
        <v>128</v>
      </c>
      <c r="V38" s="45" t="s">
        <v>128</v>
      </c>
      <c r="W38" s="45" t="s">
        <v>128</v>
      </c>
      <c r="X38" s="45" t="s">
        <v>128</v>
      </c>
      <c r="Y38" s="45" t="s">
        <v>128</v>
      </c>
      <c r="Z38" s="45" t="s">
        <v>128</v>
      </c>
      <c r="AA38" s="45" t="s">
        <v>128</v>
      </c>
      <c r="AB38" s="45" t="s">
        <v>128</v>
      </c>
      <c r="AC38" s="107" t="s">
        <v>128</v>
      </c>
      <c r="AD38" s="107" t="s">
        <v>128</v>
      </c>
      <c r="AE38" s="107" t="s">
        <v>128</v>
      </c>
      <c r="AF38" s="107" t="s">
        <v>128</v>
      </c>
      <c r="AG38" s="107" t="s">
        <v>128</v>
      </c>
      <c r="AH38" s="107" t="s">
        <v>128</v>
      </c>
      <c r="AI38" s="205"/>
      <c r="AJ38" s="140"/>
      <c r="AK38" s="305"/>
      <c r="AL38" s="306"/>
      <c r="AM38" s="228"/>
      <c r="AN38" s="140"/>
      <c r="AO38" s="140"/>
      <c r="AP38" s="140"/>
    </row>
    <row r="39" spans="1:42" s="48" customFormat="1" x14ac:dyDescent="0.2">
      <c r="A39" s="22"/>
      <c r="B39" s="22"/>
      <c r="C39" s="22"/>
      <c r="D39" s="22"/>
      <c r="E39" s="22"/>
      <c r="F39" s="22"/>
      <c r="G39" s="22"/>
      <c r="H39" s="22"/>
      <c r="I39" s="22"/>
      <c r="J39" s="36"/>
      <c r="K39" s="19">
        <v>0</v>
      </c>
      <c r="L39" s="198" t="s">
        <v>128</v>
      </c>
      <c r="M39" s="198" t="s">
        <v>128</v>
      </c>
      <c r="N39" s="197" t="s">
        <v>128</v>
      </c>
      <c r="O39" s="195">
        <v>1</v>
      </c>
      <c r="P39" s="45" t="s">
        <v>128</v>
      </c>
      <c r="Q39" s="45" t="s">
        <v>128</v>
      </c>
      <c r="R39" s="45" t="s">
        <v>128</v>
      </c>
      <c r="S39" s="45" t="s">
        <v>128</v>
      </c>
      <c r="T39" s="45" t="s">
        <v>128</v>
      </c>
      <c r="U39" s="45" t="s">
        <v>128</v>
      </c>
      <c r="V39" s="45" t="s">
        <v>128</v>
      </c>
      <c r="W39" s="45" t="s">
        <v>128</v>
      </c>
      <c r="X39" s="45" t="s">
        <v>128</v>
      </c>
      <c r="Y39" s="45" t="s">
        <v>128</v>
      </c>
      <c r="Z39" s="45" t="s">
        <v>128</v>
      </c>
      <c r="AA39" s="45" t="s">
        <v>128</v>
      </c>
      <c r="AB39" s="45" t="s">
        <v>128</v>
      </c>
      <c r="AC39" s="107" t="s">
        <v>128</v>
      </c>
      <c r="AD39" s="107" t="s">
        <v>128</v>
      </c>
      <c r="AE39" s="107" t="s">
        <v>128</v>
      </c>
      <c r="AF39" s="107" t="s">
        <v>128</v>
      </c>
      <c r="AG39" s="107" t="s">
        <v>128</v>
      </c>
      <c r="AH39" s="107" t="s">
        <v>128</v>
      </c>
      <c r="AI39" s="228"/>
      <c r="AJ39" s="228"/>
      <c r="AK39" s="228"/>
      <c r="AL39" s="228"/>
      <c r="AM39" s="228"/>
      <c r="AN39" s="140"/>
      <c r="AO39" s="228"/>
      <c r="AP39" s="228"/>
    </row>
    <row r="40" spans="1:42" s="48" customFormat="1" x14ac:dyDescent="0.2">
      <c r="A40" s="209"/>
      <c r="B40" s="8"/>
      <c r="C40" s="8"/>
      <c r="D40" s="8"/>
      <c r="E40" s="8"/>
      <c r="F40" s="8"/>
      <c r="G40" s="8"/>
      <c r="H40" s="8"/>
      <c r="I40" s="8"/>
      <c r="J40" s="37"/>
      <c r="K40" s="19">
        <v>0</v>
      </c>
      <c r="L40" s="198" t="s">
        <v>128</v>
      </c>
      <c r="M40" s="198" t="s">
        <v>128</v>
      </c>
      <c r="N40" s="197" t="s">
        <v>128</v>
      </c>
      <c r="O40" s="195">
        <v>1</v>
      </c>
      <c r="P40" s="45" t="s">
        <v>128</v>
      </c>
      <c r="Q40" s="45" t="s">
        <v>128</v>
      </c>
      <c r="R40" s="45" t="s">
        <v>128</v>
      </c>
      <c r="S40" s="45" t="s">
        <v>128</v>
      </c>
      <c r="T40" s="45" t="s">
        <v>128</v>
      </c>
      <c r="U40" s="45" t="s">
        <v>128</v>
      </c>
      <c r="V40" s="45" t="s">
        <v>128</v>
      </c>
      <c r="W40" s="45" t="s">
        <v>128</v>
      </c>
      <c r="X40" s="45" t="s">
        <v>128</v>
      </c>
      <c r="Y40" s="45" t="s">
        <v>128</v>
      </c>
      <c r="Z40" s="45" t="s">
        <v>128</v>
      </c>
      <c r="AA40" s="45" t="s">
        <v>128</v>
      </c>
      <c r="AB40" s="45" t="s">
        <v>128</v>
      </c>
      <c r="AC40" s="107" t="s">
        <v>128</v>
      </c>
      <c r="AD40" s="107" t="s">
        <v>128</v>
      </c>
      <c r="AE40" s="107" t="s">
        <v>128</v>
      </c>
      <c r="AF40" s="107" t="s">
        <v>128</v>
      </c>
      <c r="AG40" s="107" t="s">
        <v>128</v>
      </c>
      <c r="AH40" s="107" t="s">
        <v>128</v>
      </c>
      <c r="AI40" s="228"/>
      <c r="AJ40" s="228"/>
      <c r="AK40" s="228"/>
      <c r="AL40" s="228"/>
      <c r="AM40" s="228"/>
      <c r="AN40" s="140"/>
      <c r="AO40" s="228"/>
      <c r="AP40" s="228"/>
    </row>
    <row r="41" spans="1:42" s="48" customFormat="1" x14ac:dyDescent="0.15">
      <c r="A41" s="22"/>
      <c r="B41" s="22"/>
      <c r="C41" s="22"/>
      <c r="D41" s="22"/>
      <c r="E41" s="22"/>
      <c r="F41" s="22"/>
      <c r="G41" s="22"/>
      <c r="H41" s="22"/>
      <c r="I41" s="22"/>
      <c r="J41" s="36"/>
      <c r="K41" s="19">
        <v>0</v>
      </c>
      <c r="L41" s="198" t="s">
        <v>128</v>
      </c>
      <c r="M41" s="198" t="s">
        <v>128</v>
      </c>
      <c r="N41" s="197" t="s">
        <v>128</v>
      </c>
      <c r="O41" s="195">
        <v>1</v>
      </c>
      <c r="P41" s="45" t="s">
        <v>128</v>
      </c>
      <c r="Q41" s="45" t="s">
        <v>128</v>
      </c>
      <c r="R41" s="45" t="s">
        <v>128</v>
      </c>
      <c r="S41" s="45" t="s">
        <v>128</v>
      </c>
      <c r="T41" s="45" t="s">
        <v>128</v>
      </c>
      <c r="U41" s="45" t="s">
        <v>128</v>
      </c>
      <c r="V41" s="45" t="s">
        <v>128</v>
      </c>
      <c r="W41" s="45" t="s">
        <v>128</v>
      </c>
      <c r="X41" s="45" t="s">
        <v>128</v>
      </c>
      <c r="Y41" s="45" t="s">
        <v>128</v>
      </c>
      <c r="Z41" s="45" t="s">
        <v>128</v>
      </c>
      <c r="AA41" s="45" t="s">
        <v>128</v>
      </c>
      <c r="AB41" s="45" t="s">
        <v>128</v>
      </c>
      <c r="AC41" s="107" t="s">
        <v>128</v>
      </c>
      <c r="AD41" s="107" t="s">
        <v>128</v>
      </c>
      <c r="AE41" s="107" t="s">
        <v>128</v>
      </c>
      <c r="AF41" s="107" t="s">
        <v>128</v>
      </c>
      <c r="AG41" s="107" t="s">
        <v>128</v>
      </c>
      <c r="AH41" s="107" t="s">
        <v>128</v>
      </c>
      <c r="AI41" s="205"/>
      <c r="AJ41" s="140"/>
      <c r="AK41" s="305"/>
      <c r="AL41" s="306"/>
      <c r="AM41" s="228"/>
      <c r="AN41" s="140"/>
      <c r="AO41" s="140"/>
      <c r="AP41" s="140"/>
    </row>
    <row r="42" spans="1:42" s="48" customFormat="1" x14ac:dyDescent="0.2">
      <c r="A42" s="209"/>
      <c r="B42" s="8"/>
      <c r="C42" s="8"/>
      <c r="D42" s="8"/>
      <c r="E42" s="8"/>
      <c r="F42" s="8"/>
      <c r="G42" s="8"/>
      <c r="H42" s="8"/>
      <c r="I42" s="8"/>
      <c r="J42" s="37"/>
      <c r="K42" s="19">
        <v>0</v>
      </c>
      <c r="L42" s="198" t="s">
        <v>128</v>
      </c>
      <c r="M42" s="198" t="s">
        <v>128</v>
      </c>
      <c r="N42" s="197" t="s">
        <v>128</v>
      </c>
      <c r="O42" s="195">
        <v>1</v>
      </c>
      <c r="P42" s="45" t="s">
        <v>128</v>
      </c>
      <c r="Q42" s="45" t="s">
        <v>128</v>
      </c>
      <c r="R42" s="45" t="s">
        <v>128</v>
      </c>
      <c r="S42" s="45" t="s">
        <v>128</v>
      </c>
      <c r="T42" s="45" t="s">
        <v>128</v>
      </c>
      <c r="U42" s="45" t="s">
        <v>128</v>
      </c>
      <c r="V42" s="45" t="s">
        <v>128</v>
      </c>
      <c r="W42" s="45" t="s">
        <v>128</v>
      </c>
      <c r="X42" s="45" t="s">
        <v>128</v>
      </c>
      <c r="Y42" s="45" t="s">
        <v>128</v>
      </c>
      <c r="Z42" s="45" t="s">
        <v>128</v>
      </c>
      <c r="AA42" s="45" t="s">
        <v>128</v>
      </c>
      <c r="AB42" s="45" t="s">
        <v>128</v>
      </c>
      <c r="AC42" s="107" t="s">
        <v>128</v>
      </c>
      <c r="AD42" s="107" t="s">
        <v>128</v>
      </c>
      <c r="AE42" s="107" t="s">
        <v>128</v>
      </c>
      <c r="AF42" s="107" t="s">
        <v>128</v>
      </c>
      <c r="AG42" s="107" t="s">
        <v>128</v>
      </c>
      <c r="AH42" s="107" t="s">
        <v>128</v>
      </c>
      <c r="AI42" s="228"/>
      <c r="AJ42" s="140"/>
      <c r="AK42" s="228"/>
      <c r="AL42" s="228"/>
      <c r="AM42" s="228"/>
      <c r="AN42" s="140"/>
      <c r="AO42" s="228"/>
      <c r="AP42" s="228"/>
    </row>
    <row r="43" spans="1:42" s="48" customFormat="1" x14ac:dyDescent="0.15">
      <c r="A43" s="22"/>
      <c r="B43" s="22"/>
      <c r="C43" s="22"/>
      <c r="D43" s="22"/>
      <c r="E43" s="22"/>
      <c r="F43" s="22"/>
      <c r="G43" s="22"/>
      <c r="H43" s="22"/>
      <c r="I43" s="22"/>
      <c r="J43" s="36"/>
      <c r="K43" s="19">
        <v>0</v>
      </c>
      <c r="L43" s="198" t="s">
        <v>128</v>
      </c>
      <c r="M43" s="198" t="s">
        <v>128</v>
      </c>
      <c r="N43" s="197" t="s">
        <v>128</v>
      </c>
      <c r="O43" s="195">
        <v>1</v>
      </c>
      <c r="P43" s="45" t="s">
        <v>128</v>
      </c>
      <c r="Q43" s="45" t="s">
        <v>128</v>
      </c>
      <c r="R43" s="45" t="s">
        <v>128</v>
      </c>
      <c r="S43" s="45" t="s">
        <v>128</v>
      </c>
      <c r="T43" s="45" t="s">
        <v>128</v>
      </c>
      <c r="U43" s="45" t="s">
        <v>128</v>
      </c>
      <c r="V43" s="45" t="s">
        <v>128</v>
      </c>
      <c r="W43" s="45" t="s">
        <v>128</v>
      </c>
      <c r="X43" s="45" t="s">
        <v>128</v>
      </c>
      <c r="Y43" s="45" t="s">
        <v>128</v>
      </c>
      <c r="Z43" s="45" t="s">
        <v>128</v>
      </c>
      <c r="AA43" s="45" t="s">
        <v>128</v>
      </c>
      <c r="AB43" s="45" t="s">
        <v>128</v>
      </c>
      <c r="AC43" s="107" t="s">
        <v>128</v>
      </c>
      <c r="AD43" s="107" t="s">
        <v>128</v>
      </c>
      <c r="AE43" s="107" t="s">
        <v>128</v>
      </c>
      <c r="AF43" s="107" t="s">
        <v>128</v>
      </c>
      <c r="AG43" s="107" t="s">
        <v>128</v>
      </c>
      <c r="AH43" s="107" t="s">
        <v>128</v>
      </c>
      <c r="AI43" s="280"/>
      <c r="AJ43" s="274"/>
      <c r="AK43" s="307"/>
      <c r="AL43" s="308"/>
      <c r="AM43" s="273"/>
      <c r="AN43" s="274"/>
      <c r="AO43" s="274"/>
      <c r="AP43" s="274"/>
    </row>
    <row r="44" spans="1:42" s="48" customFormat="1" x14ac:dyDescent="0.2">
      <c r="A44" s="209"/>
      <c r="B44" s="8"/>
      <c r="C44" s="8"/>
      <c r="D44" s="8"/>
      <c r="E44" s="8"/>
      <c r="F44" s="8"/>
      <c r="G44" s="8"/>
      <c r="H44" s="8"/>
      <c r="I44" s="8"/>
      <c r="J44" s="37"/>
      <c r="K44" s="19">
        <v>0</v>
      </c>
      <c r="L44" s="198" t="s">
        <v>128</v>
      </c>
      <c r="M44" s="198" t="s">
        <v>128</v>
      </c>
      <c r="N44" s="197" t="s">
        <v>128</v>
      </c>
      <c r="O44" s="195">
        <v>1</v>
      </c>
      <c r="P44" s="45" t="s">
        <v>128</v>
      </c>
      <c r="Q44" s="45" t="s">
        <v>128</v>
      </c>
      <c r="R44" s="45" t="s">
        <v>128</v>
      </c>
      <c r="S44" s="45" t="s">
        <v>128</v>
      </c>
      <c r="T44" s="45" t="s">
        <v>128</v>
      </c>
      <c r="U44" s="45" t="s">
        <v>128</v>
      </c>
      <c r="V44" s="45" t="s">
        <v>128</v>
      </c>
      <c r="W44" s="45" t="s">
        <v>128</v>
      </c>
      <c r="X44" s="45" t="s">
        <v>128</v>
      </c>
      <c r="Y44" s="45" t="s">
        <v>128</v>
      </c>
      <c r="Z44" s="45" t="s">
        <v>128</v>
      </c>
      <c r="AA44" s="45" t="s">
        <v>128</v>
      </c>
      <c r="AB44" s="45" t="s">
        <v>128</v>
      </c>
      <c r="AC44" s="107" t="s">
        <v>128</v>
      </c>
      <c r="AD44" s="107" t="s">
        <v>128</v>
      </c>
      <c r="AE44" s="107" t="s">
        <v>128</v>
      </c>
      <c r="AF44" s="107" t="s">
        <v>128</v>
      </c>
      <c r="AG44" s="107" t="s">
        <v>128</v>
      </c>
      <c r="AH44" s="107" t="s">
        <v>128</v>
      </c>
      <c r="AI44" s="228"/>
      <c r="AJ44" s="228"/>
      <c r="AK44" s="228"/>
      <c r="AL44" s="228"/>
      <c r="AM44" s="228"/>
      <c r="AN44" s="228"/>
      <c r="AO44" s="228"/>
      <c r="AP44" s="228"/>
    </row>
    <row r="45" spans="1:42" s="48" customFormat="1" x14ac:dyDescent="0.2">
      <c r="A45" s="22"/>
      <c r="B45" s="22"/>
      <c r="C45" s="22"/>
      <c r="D45" s="22"/>
      <c r="E45" s="22"/>
      <c r="F45" s="22"/>
      <c r="G45" s="22"/>
      <c r="H45" s="22"/>
      <c r="I45" s="22"/>
      <c r="J45" s="36"/>
      <c r="K45" s="19">
        <v>0</v>
      </c>
      <c r="L45" s="198" t="s">
        <v>128</v>
      </c>
      <c r="M45" s="198" t="s">
        <v>128</v>
      </c>
      <c r="N45" s="197" t="s">
        <v>128</v>
      </c>
      <c r="O45" s="195">
        <v>1</v>
      </c>
      <c r="P45" s="45" t="s">
        <v>128</v>
      </c>
      <c r="Q45" s="45" t="s">
        <v>128</v>
      </c>
      <c r="R45" s="45" t="s">
        <v>128</v>
      </c>
      <c r="S45" s="45" t="s">
        <v>128</v>
      </c>
      <c r="T45" s="45" t="s">
        <v>128</v>
      </c>
      <c r="U45" s="45" t="s">
        <v>128</v>
      </c>
      <c r="V45" s="45" t="s">
        <v>128</v>
      </c>
      <c r="W45" s="45" t="s">
        <v>128</v>
      </c>
      <c r="X45" s="45" t="s">
        <v>128</v>
      </c>
      <c r="Y45" s="45" t="s">
        <v>128</v>
      </c>
      <c r="Z45" s="45" t="s">
        <v>128</v>
      </c>
      <c r="AA45" s="45" t="s">
        <v>128</v>
      </c>
      <c r="AB45" s="45" t="s">
        <v>128</v>
      </c>
      <c r="AC45" s="107" t="s">
        <v>128</v>
      </c>
      <c r="AD45" s="107" t="s">
        <v>128</v>
      </c>
      <c r="AE45" s="107" t="s">
        <v>128</v>
      </c>
      <c r="AF45" s="107" t="s">
        <v>128</v>
      </c>
      <c r="AG45" s="107" t="s">
        <v>128</v>
      </c>
      <c r="AH45" s="107" t="s">
        <v>128</v>
      </c>
      <c r="AI45" s="228"/>
      <c r="AJ45" s="228"/>
      <c r="AK45" s="228"/>
      <c r="AL45" s="228"/>
      <c r="AM45" s="228"/>
      <c r="AN45" s="228"/>
      <c r="AO45" s="228"/>
      <c r="AP45" s="228"/>
    </row>
    <row r="46" spans="1:42" s="48" customFormat="1" x14ac:dyDescent="0.2">
      <c r="A46" s="209"/>
      <c r="B46" s="8"/>
      <c r="C46" s="8"/>
      <c r="D46" s="8"/>
      <c r="E46" s="8"/>
      <c r="F46" s="8"/>
      <c r="G46" s="8"/>
      <c r="H46" s="8"/>
      <c r="I46" s="8"/>
      <c r="J46" s="37"/>
      <c r="K46" s="19">
        <v>0</v>
      </c>
      <c r="L46" s="198" t="s">
        <v>128</v>
      </c>
      <c r="M46" s="198" t="s">
        <v>128</v>
      </c>
      <c r="N46" s="197" t="s">
        <v>128</v>
      </c>
      <c r="O46" s="195">
        <v>1</v>
      </c>
      <c r="P46" s="45" t="s">
        <v>128</v>
      </c>
      <c r="Q46" s="45" t="s">
        <v>128</v>
      </c>
      <c r="R46" s="45" t="s">
        <v>128</v>
      </c>
      <c r="S46" s="45" t="s">
        <v>128</v>
      </c>
      <c r="T46" s="45" t="s">
        <v>128</v>
      </c>
      <c r="U46" s="45" t="s">
        <v>128</v>
      </c>
      <c r="V46" s="45" t="s">
        <v>128</v>
      </c>
      <c r="W46" s="45" t="s">
        <v>128</v>
      </c>
      <c r="X46" s="45" t="s">
        <v>128</v>
      </c>
      <c r="Y46" s="45" t="s">
        <v>128</v>
      </c>
      <c r="Z46" s="45" t="s">
        <v>128</v>
      </c>
      <c r="AA46" s="45" t="s">
        <v>128</v>
      </c>
      <c r="AB46" s="45" t="s">
        <v>128</v>
      </c>
      <c r="AC46" s="107" t="s">
        <v>128</v>
      </c>
      <c r="AD46" s="107" t="s">
        <v>128</v>
      </c>
      <c r="AE46" s="107" t="s">
        <v>128</v>
      </c>
      <c r="AF46" s="107" t="s">
        <v>128</v>
      </c>
      <c r="AG46" s="107" t="s">
        <v>128</v>
      </c>
      <c r="AH46" s="107" t="s">
        <v>128</v>
      </c>
      <c r="AI46" s="228"/>
      <c r="AJ46" s="228"/>
      <c r="AK46" s="228"/>
      <c r="AL46" s="228"/>
      <c r="AM46" s="228"/>
      <c r="AN46" s="228"/>
      <c r="AO46" s="228"/>
      <c r="AP46" s="228"/>
    </row>
    <row r="47" spans="1:42" s="48" customFormat="1" x14ac:dyDescent="0.2">
      <c r="A47" s="22"/>
      <c r="B47" s="22"/>
      <c r="C47" s="22"/>
      <c r="D47" s="22"/>
      <c r="E47" s="22"/>
      <c r="F47" s="22"/>
      <c r="G47" s="22"/>
      <c r="H47" s="22"/>
      <c r="I47" s="22"/>
      <c r="J47" s="36"/>
      <c r="K47" s="19">
        <v>0</v>
      </c>
      <c r="L47" s="198" t="s">
        <v>128</v>
      </c>
      <c r="M47" s="198" t="s">
        <v>128</v>
      </c>
      <c r="N47" s="197" t="s">
        <v>128</v>
      </c>
      <c r="O47" s="195">
        <v>1</v>
      </c>
      <c r="P47" s="45" t="s">
        <v>128</v>
      </c>
      <c r="Q47" s="45" t="s">
        <v>128</v>
      </c>
      <c r="R47" s="45" t="s">
        <v>128</v>
      </c>
      <c r="S47" s="45" t="s">
        <v>128</v>
      </c>
      <c r="T47" s="45" t="s">
        <v>128</v>
      </c>
      <c r="U47" s="45" t="s">
        <v>128</v>
      </c>
      <c r="V47" s="45" t="s">
        <v>128</v>
      </c>
      <c r="W47" s="45" t="s">
        <v>128</v>
      </c>
      <c r="X47" s="45" t="s">
        <v>128</v>
      </c>
      <c r="Y47" s="45" t="s">
        <v>128</v>
      </c>
      <c r="Z47" s="45" t="s">
        <v>128</v>
      </c>
      <c r="AA47" s="45" t="s">
        <v>128</v>
      </c>
      <c r="AB47" s="45" t="s">
        <v>128</v>
      </c>
      <c r="AC47" s="107" t="s">
        <v>128</v>
      </c>
      <c r="AD47" s="107" t="s">
        <v>128</v>
      </c>
      <c r="AE47" s="107" t="s">
        <v>128</v>
      </c>
      <c r="AF47" s="107" t="s">
        <v>128</v>
      </c>
      <c r="AG47" s="107" t="s">
        <v>128</v>
      </c>
      <c r="AH47" s="107" t="s">
        <v>128</v>
      </c>
      <c r="AI47" s="228"/>
      <c r="AJ47" s="228"/>
      <c r="AK47" s="228"/>
      <c r="AL47" s="228"/>
      <c r="AM47" s="228"/>
      <c r="AN47" s="228"/>
      <c r="AO47" s="228"/>
      <c r="AP47" s="228"/>
    </row>
    <row r="48" spans="1:42" s="48" customFormat="1" x14ac:dyDescent="0.2">
      <c r="A48" s="209"/>
      <c r="B48" s="8"/>
      <c r="C48" s="8"/>
      <c r="D48" s="8"/>
      <c r="E48" s="8"/>
      <c r="F48" s="8"/>
      <c r="G48" s="8"/>
      <c r="H48" s="8"/>
      <c r="I48" s="8"/>
      <c r="J48" s="37"/>
      <c r="K48" s="19">
        <v>0</v>
      </c>
      <c r="L48" s="198" t="s">
        <v>128</v>
      </c>
      <c r="M48" s="198" t="s">
        <v>128</v>
      </c>
      <c r="N48" s="197" t="s">
        <v>128</v>
      </c>
      <c r="O48" s="195">
        <v>1</v>
      </c>
      <c r="P48" s="45" t="s">
        <v>128</v>
      </c>
      <c r="Q48" s="45" t="s">
        <v>128</v>
      </c>
      <c r="R48" s="45" t="s">
        <v>128</v>
      </c>
      <c r="S48" s="45" t="s">
        <v>128</v>
      </c>
      <c r="T48" s="45" t="s">
        <v>128</v>
      </c>
      <c r="U48" s="45" t="s">
        <v>128</v>
      </c>
      <c r="V48" s="45" t="s">
        <v>128</v>
      </c>
      <c r="W48" s="45" t="s">
        <v>128</v>
      </c>
      <c r="X48" s="45" t="s">
        <v>128</v>
      </c>
      <c r="Y48" s="45" t="s">
        <v>128</v>
      </c>
      <c r="Z48" s="45" t="s">
        <v>128</v>
      </c>
      <c r="AA48" s="45" t="s">
        <v>128</v>
      </c>
      <c r="AB48" s="45" t="s">
        <v>128</v>
      </c>
      <c r="AC48" s="107" t="s">
        <v>128</v>
      </c>
      <c r="AD48" s="107" t="s">
        <v>128</v>
      </c>
      <c r="AE48" s="107" t="s">
        <v>128</v>
      </c>
      <c r="AF48" s="107" t="s">
        <v>128</v>
      </c>
      <c r="AG48" s="107" t="s">
        <v>128</v>
      </c>
      <c r="AH48" s="107" t="s">
        <v>128</v>
      </c>
      <c r="AI48" s="228"/>
      <c r="AJ48" s="228"/>
      <c r="AK48" s="228"/>
      <c r="AL48" s="228"/>
      <c r="AM48" s="228"/>
      <c r="AN48" s="228"/>
      <c r="AO48" s="228"/>
      <c r="AP48" s="228"/>
    </row>
    <row r="49" spans="1:42" s="48" customFormat="1" x14ac:dyDescent="0.2">
      <c r="A49" s="22"/>
      <c r="B49" s="22"/>
      <c r="C49" s="22"/>
      <c r="D49" s="22"/>
      <c r="E49" s="22"/>
      <c r="F49" s="22"/>
      <c r="G49" s="22"/>
      <c r="H49" s="22"/>
      <c r="I49" s="22"/>
      <c r="J49" s="36"/>
      <c r="K49" s="19">
        <v>0</v>
      </c>
      <c r="L49" s="198" t="s">
        <v>128</v>
      </c>
      <c r="M49" s="198" t="s">
        <v>128</v>
      </c>
      <c r="N49" s="197" t="s">
        <v>128</v>
      </c>
      <c r="O49" s="195">
        <v>1</v>
      </c>
      <c r="P49" s="45" t="s">
        <v>128</v>
      </c>
      <c r="Q49" s="45" t="s">
        <v>128</v>
      </c>
      <c r="R49" s="45" t="s">
        <v>128</v>
      </c>
      <c r="S49" s="45" t="s">
        <v>128</v>
      </c>
      <c r="T49" s="45" t="s">
        <v>128</v>
      </c>
      <c r="U49" s="45" t="s">
        <v>128</v>
      </c>
      <c r="V49" s="45" t="s">
        <v>128</v>
      </c>
      <c r="W49" s="45" t="s">
        <v>128</v>
      </c>
      <c r="X49" s="45" t="s">
        <v>128</v>
      </c>
      <c r="Y49" s="45" t="s">
        <v>128</v>
      </c>
      <c r="Z49" s="45" t="s">
        <v>128</v>
      </c>
      <c r="AA49" s="45" t="s">
        <v>128</v>
      </c>
      <c r="AB49" s="45" t="s">
        <v>128</v>
      </c>
      <c r="AC49" s="107" t="s">
        <v>128</v>
      </c>
      <c r="AD49" s="107" t="s">
        <v>128</v>
      </c>
      <c r="AE49" s="107" t="s">
        <v>128</v>
      </c>
      <c r="AF49" s="107" t="s">
        <v>128</v>
      </c>
      <c r="AG49" s="107" t="s">
        <v>128</v>
      </c>
      <c r="AH49" s="107" t="s">
        <v>128</v>
      </c>
      <c r="AI49" s="228"/>
      <c r="AJ49" s="228"/>
      <c r="AK49" s="228"/>
      <c r="AL49" s="228"/>
      <c r="AM49" s="228"/>
      <c r="AN49" s="228"/>
      <c r="AO49" s="228"/>
      <c r="AP49" s="228"/>
    </row>
    <row r="50" spans="1:42" s="48" customFormat="1" x14ac:dyDescent="0.2">
      <c r="A50" s="209"/>
      <c r="B50" s="8"/>
      <c r="C50" s="8"/>
      <c r="D50" s="8"/>
      <c r="E50" s="8"/>
      <c r="F50" s="8"/>
      <c r="G50" s="8"/>
      <c r="H50" s="8"/>
      <c r="I50" s="8"/>
      <c r="J50" s="37"/>
      <c r="K50" s="19">
        <v>0</v>
      </c>
      <c r="L50" s="198" t="s">
        <v>128</v>
      </c>
      <c r="M50" s="198" t="s">
        <v>128</v>
      </c>
      <c r="N50" s="197" t="s">
        <v>128</v>
      </c>
      <c r="O50" s="195">
        <v>1</v>
      </c>
      <c r="P50" s="45" t="s">
        <v>128</v>
      </c>
      <c r="Q50" s="45" t="s">
        <v>128</v>
      </c>
      <c r="R50" s="45" t="s">
        <v>128</v>
      </c>
      <c r="S50" s="45" t="s">
        <v>128</v>
      </c>
      <c r="T50" s="45" t="s">
        <v>128</v>
      </c>
      <c r="U50" s="45" t="s">
        <v>128</v>
      </c>
      <c r="V50" s="45" t="s">
        <v>128</v>
      </c>
      <c r="W50" s="45" t="s">
        <v>128</v>
      </c>
      <c r="X50" s="45" t="s">
        <v>128</v>
      </c>
      <c r="Y50" s="45" t="s">
        <v>128</v>
      </c>
      <c r="Z50" s="45" t="s">
        <v>128</v>
      </c>
      <c r="AA50" s="45" t="s">
        <v>128</v>
      </c>
      <c r="AB50" s="45" t="s">
        <v>128</v>
      </c>
      <c r="AC50" s="107" t="s">
        <v>128</v>
      </c>
      <c r="AD50" s="107" t="s">
        <v>128</v>
      </c>
      <c r="AE50" s="107" t="s">
        <v>128</v>
      </c>
      <c r="AF50" s="107" t="s">
        <v>128</v>
      </c>
      <c r="AG50" s="107" t="s">
        <v>128</v>
      </c>
      <c r="AH50" s="107" t="s">
        <v>128</v>
      </c>
      <c r="AI50" s="228"/>
      <c r="AJ50" s="228"/>
      <c r="AK50" s="228"/>
      <c r="AL50" s="228"/>
      <c r="AM50" s="228"/>
      <c r="AN50" s="228"/>
      <c r="AO50" s="228"/>
      <c r="AP50" s="228"/>
    </row>
    <row r="51" spans="1:42" s="48" customFormat="1" x14ac:dyDescent="0.2">
      <c r="A51" s="22"/>
      <c r="B51" s="22"/>
      <c r="C51" s="22"/>
      <c r="D51" s="22"/>
      <c r="E51" s="22"/>
      <c r="F51" s="22"/>
      <c r="G51" s="22"/>
      <c r="H51" s="22"/>
      <c r="I51" s="22"/>
      <c r="J51" s="36"/>
      <c r="K51" s="19">
        <v>0</v>
      </c>
      <c r="L51" s="198" t="s">
        <v>128</v>
      </c>
      <c r="M51" s="198" t="s">
        <v>128</v>
      </c>
      <c r="N51" s="197" t="s">
        <v>128</v>
      </c>
      <c r="O51" s="195">
        <v>1</v>
      </c>
      <c r="P51" s="45" t="s">
        <v>128</v>
      </c>
      <c r="Q51" s="45" t="s">
        <v>128</v>
      </c>
      <c r="R51" s="45" t="s">
        <v>128</v>
      </c>
      <c r="S51" s="45" t="s">
        <v>128</v>
      </c>
      <c r="T51" s="45" t="s">
        <v>128</v>
      </c>
      <c r="U51" s="45" t="s">
        <v>128</v>
      </c>
      <c r="V51" s="45" t="s">
        <v>128</v>
      </c>
      <c r="W51" s="45" t="s">
        <v>128</v>
      </c>
      <c r="X51" s="45" t="s">
        <v>128</v>
      </c>
      <c r="Y51" s="45" t="s">
        <v>128</v>
      </c>
      <c r="Z51" s="45" t="s">
        <v>128</v>
      </c>
      <c r="AA51" s="45" t="s">
        <v>128</v>
      </c>
      <c r="AB51" s="45" t="s">
        <v>128</v>
      </c>
      <c r="AC51" s="107" t="s">
        <v>128</v>
      </c>
      <c r="AD51" s="107" t="s">
        <v>128</v>
      </c>
      <c r="AE51" s="107" t="s">
        <v>128</v>
      </c>
      <c r="AF51" s="107" t="s">
        <v>128</v>
      </c>
      <c r="AG51" s="107" t="s">
        <v>128</v>
      </c>
      <c r="AH51" s="107" t="s">
        <v>128</v>
      </c>
      <c r="AI51" s="228"/>
      <c r="AJ51" s="228"/>
      <c r="AK51" s="228"/>
      <c r="AL51" s="228"/>
      <c r="AM51" s="228"/>
      <c r="AN51" s="228"/>
      <c r="AO51" s="228"/>
      <c r="AP51" s="228"/>
    </row>
    <row r="52" spans="1:42" s="48" customFormat="1" x14ac:dyDescent="0.2">
      <c r="A52" s="209"/>
      <c r="B52" s="8"/>
      <c r="C52" s="8"/>
      <c r="D52" s="8"/>
      <c r="E52" s="8"/>
      <c r="F52" s="8"/>
      <c r="G52" s="8"/>
      <c r="H52" s="8"/>
      <c r="I52" s="8"/>
      <c r="J52" s="37"/>
      <c r="K52" s="19">
        <v>0</v>
      </c>
      <c r="L52" s="198" t="s">
        <v>128</v>
      </c>
      <c r="M52" s="198" t="s">
        <v>128</v>
      </c>
      <c r="N52" s="197" t="s">
        <v>128</v>
      </c>
      <c r="O52" s="195">
        <v>1</v>
      </c>
      <c r="P52" s="45" t="s">
        <v>128</v>
      </c>
      <c r="Q52" s="45" t="s">
        <v>128</v>
      </c>
      <c r="R52" s="45" t="s">
        <v>128</v>
      </c>
      <c r="S52" s="45" t="s">
        <v>128</v>
      </c>
      <c r="T52" s="45" t="s">
        <v>128</v>
      </c>
      <c r="U52" s="45" t="s">
        <v>128</v>
      </c>
      <c r="V52" s="45" t="s">
        <v>128</v>
      </c>
      <c r="W52" s="45" t="s">
        <v>128</v>
      </c>
      <c r="X52" s="45" t="s">
        <v>128</v>
      </c>
      <c r="Y52" s="45" t="s">
        <v>128</v>
      </c>
      <c r="Z52" s="45" t="s">
        <v>128</v>
      </c>
      <c r="AA52" s="45" t="s">
        <v>128</v>
      </c>
      <c r="AB52" s="45" t="s">
        <v>128</v>
      </c>
      <c r="AC52" s="107" t="s">
        <v>128</v>
      </c>
      <c r="AD52" s="107" t="s">
        <v>128</v>
      </c>
      <c r="AE52" s="107" t="s">
        <v>128</v>
      </c>
      <c r="AF52" s="107" t="s">
        <v>128</v>
      </c>
      <c r="AG52" s="107" t="s">
        <v>128</v>
      </c>
      <c r="AH52" s="107" t="s">
        <v>128</v>
      </c>
      <c r="AI52" s="228"/>
      <c r="AJ52" s="228"/>
      <c r="AK52" s="228"/>
      <c r="AL52" s="228"/>
      <c r="AM52" s="228"/>
      <c r="AN52" s="228"/>
      <c r="AO52" s="228"/>
      <c r="AP52" s="228"/>
    </row>
    <row r="53" spans="1:42" s="48" customFormat="1" x14ac:dyDescent="0.2">
      <c r="A53" s="22"/>
      <c r="B53" s="22"/>
      <c r="C53" s="22"/>
      <c r="D53" s="22"/>
      <c r="E53" s="22"/>
      <c r="F53" s="22"/>
      <c r="G53" s="22"/>
      <c r="H53" s="22"/>
      <c r="I53" s="22"/>
      <c r="J53" s="36"/>
      <c r="K53" s="19">
        <v>0</v>
      </c>
      <c r="L53" s="198" t="s">
        <v>128</v>
      </c>
      <c r="M53" s="198" t="s">
        <v>128</v>
      </c>
      <c r="N53" s="197" t="s">
        <v>128</v>
      </c>
      <c r="O53" s="195">
        <v>1</v>
      </c>
      <c r="P53" s="45" t="s">
        <v>128</v>
      </c>
      <c r="Q53" s="45" t="s">
        <v>128</v>
      </c>
      <c r="R53" s="45" t="s">
        <v>128</v>
      </c>
      <c r="S53" s="45" t="s">
        <v>128</v>
      </c>
      <c r="T53" s="45" t="s">
        <v>128</v>
      </c>
      <c r="U53" s="45" t="s">
        <v>128</v>
      </c>
      <c r="V53" s="45" t="s">
        <v>128</v>
      </c>
      <c r="W53" s="45" t="s">
        <v>128</v>
      </c>
      <c r="X53" s="45" t="s">
        <v>128</v>
      </c>
      <c r="Y53" s="45" t="s">
        <v>128</v>
      </c>
      <c r="Z53" s="45" t="s">
        <v>128</v>
      </c>
      <c r="AA53" s="45" t="s">
        <v>128</v>
      </c>
      <c r="AB53" s="45" t="s">
        <v>128</v>
      </c>
      <c r="AC53" s="107" t="s">
        <v>128</v>
      </c>
      <c r="AD53" s="107" t="s">
        <v>128</v>
      </c>
      <c r="AE53" s="107" t="s">
        <v>128</v>
      </c>
      <c r="AF53" s="107" t="s">
        <v>128</v>
      </c>
      <c r="AG53" s="107" t="s">
        <v>128</v>
      </c>
      <c r="AH53" s="107" t="s">
        <v>128</v>
      </c>
      <c r="AI53" s="228"/>
      <c r="AJ53" s="228"/>
      <c r="AK53" s="228"/>
      <c r="AL53" s="228"/>
      <c r="AM53" s="228"/>
      <c r="AN53" s="228"/>
      <c r="AO53" s="228"/>
      <c r="AP53" s="228"/>
    </row>
    <row r="54" spans="1:42" s="48" customFormat="1" x14ac:dyDescent="0.2">
      <c r="A54" s="209"/>
      <c r="B54" s="8"/>
      <c r="C54" s="8"/>
      <c r="D54" s="8"/>
      <c r="E54" s="8"/>
      <c r="F54" s="8"/>
      <c r="G54" s="8"/>
      <c r="H54" s="8"/>
      <c r="I54" s="8"/>
      <c r="J54" s="37"/>
      <c r="K54" s="19">
        <v>0</v>
      </c>
      <c r="L54" s="198" t="s">
        <v>128</v>
      </c>
      <c r="M54" s="198" t="s">
        <v>128</v>
      </c>
      <c r="N54" s="197" t="s">
        <v>128</v>
      </c>
      <c r="O54" s="195">
        <v>1</v>
      </c>
      <c r="P54" s="45" t="s">
        <v>128</v>
      </c>
      <c r="Q54" s="45" t="s">
        <v>128</v>
      </c>
      <c r="R54" s="45" t="s">
        <v>128</v>
      </c>
      <c r="S54" s="45" t="s">
        <v>128</v>
      </c>
      <c r="T54" s="45" t="s">
        <v>128</v>
      </c>
      <c r="U54" s="45" t="s">
        <v>128</v>
      </c>
      <c r="V54" s="45" t="s">
        <v>128</v>
      </c>
      <c r="W54" s="45" t="s">
        <v>128</v>
      </c>
      <c r="X54" s="45" t="s">
        <v>128</v>
      </c>
      <c r="Y54" s="45" t="s">
        <v>128</v>
      </c>
      <c r="Z54" s="45" t="s">
        <v>128</v>
      </c>
      <c r="AA54" s="45" t="s">
        <v>128</v>
      </c>
      <c r="AB54" s="45" t="s">
        <v>128</v>
      </c>
      <c r="AC54" s="107" t="s">
        <v>128</v>
      </c>
      <c r="AD54" s="107" t="s">
        <v>128</v>
      </c>
      <c r="AE54" s="107" t="s">
        <v>128</v>
      </c>
      <c r="AF54" s="107" t="s">
        <v>128</v>
      </c>
      <c r="AG54" s="107" t="s">
        <v>128</v>
      </c>
      <c r="AH54" s="107" t="s">
        <v>128</v>
      </c>
      <c r="AI54" s="228"/>
      <c r="AJ54" s="228"/>
      <c r="AK54" s="228"/>
      <c r="AL54" s="228"/>
      <c r="AM54" s="228"/>
      <c r="AN54" s="228"/>
      <c r="AO54" s="228"/>
      <c r="AP54" s="228"/>
    </row>
    <row r="55" spans="1:42" s="48" customFormat="1" x14ac:dyDescent="0.2">
      <c r="A55" s="22"/>
      <c r="B55" s="22"/>
      <c r="C55" s="22"/>
      <c r="D55" s="22"/>
      <c r="E55" s="22"/>
      <c r="F55" s="22"/>
      <c r="G55" s="22"/>
      <c r="H55" s="22"/>
      <c r="I55" s="22"/>
      <c r="J55" s="36"/>
      <c r="K55" s="19">
        <v>0</v>
      </c>
      <c r="L55" s="198" t="s">
        <v>128</v>
      </c>
      <c r="M55" s="198" t="s">
        <v>128</v>
      </c>
      <c r="N55" s="197" t="s">
        <v>128</v>
      </c>
      <c r="O55" s="195">
        <v>1</v>
      </c>
      <c r="P55" s="45" t="s">
        <v>128</v>
      </c>
      <c r="Q55" s="45" t="s">
        <v>128</v>
      </c>
      <c r="R55" s="45" t="s">
        <v>128</v>
      </c>
      <c r="S55" s="45" t="s">
        <v>128</v>
      </c>
      <c r="T55" s="45" t="s">
        <v>128</v>
      </c>
      <c r="U55" s="45" t="s">
        <v>128</v>
      </c>
      <c r="V55" s="45" t="s">
        <v>128</v>
      </c>
      <c r="W55" s="45" t="s">
        <v>128</v>
      </c>
      <c r="X55" s="45" t="s">
        <v>128</v>
      </c>
      <c r="Y55" s="45" t="s">
        <v>128</v>
      </c>
      <c r="Z55" s="45" t="s">
        <v>128</v>
      </c>
      <c r="AA55" s="45" t="s">
        <v>128</v>
      </c>
      <c r="AB55" s="45" t="s">
        <v>128</v>
      </c>
      <c r="AC55" s="107" t="s">
        <v>128</v>
      </c>
      <c r="AD55" s="107" t="s">
        <v>128</v>
      </c>
      <c r="AE55" s="107" t="s">
        <v>128</v>
      </c>
      <c r="AF55" s="107" t="s">
        <v>128</v>
      </c>
      <c r="AG55" s="107" t="s">
        <v>128</v>
      </c>
      <c r="AH55" s="107" t="s">
        <v>128</v>
      </c>
      <c r="AI55" s="228"/>
      <c r="AJ55" s="228"/>
      <c r="AK55" s="228"/>
      <c r="AL55" s="228"/>
      <c r="AM55" s="228"/>
      <c r="AN55" s="228"/>
      <c r="AO55" s="228"/>
      <c r="AP55" s="228"/>
    </row>
    <row r="56" spans="1:42" s="48" customFormat="1" x14ac:dyDescent="0.2">
      <c r="A56" s="209"/>
      <c r="B56" s="8"/>
      <c r="C56" s="8"/>
      <c r="D56" s="8"/>
      <c r="E56" s="8"/>
      <c r="F56" s="8"/>
      <c r="G56" s="8"/>
      <c r="H56" s="8"/>
      <c r="I56" s="8"/>
      <c r="J56" s="37"/>
      <c r="K56" s="19">
        <v>0</v>
      </c>
      <c r="L56" s="198" t="s">
        <v>128</v>
      </c>
      <c r="M56" s="198" t="s">
        <v>128</v>
      </c>
      <c r="N56" s="197" t="s">
        <v>128</v>
      </c>
      <c r="O56" s="195">
        <v>1</v>
      </c>
      <c r="P56" s="45" t="s">
        <v>128</v>
      </c>
      <c r="Q56" s="45" t="s">
        <v>128</v>
      </c>
      <c r="R56" s="45" t="s">
        <v>128</v>
      </c>
      <c r="S56" s="45" t="s">
        <v>128</v>
      </c>
      <c r="T56" s="45" t="s">
        <v>128</v>
      </c>
      <c r="U56" s="45" t="s">
        <v>128</v>
      </c>
      <c r="V56" s="45" t="s">
        <v>128</v>
      </c>
      <c r="W56" s="45" t="s">
        <v>128</v>
      </c>
      <c r="X56" s="45" t="s">
        <v>128</v>
      </c>
      <c r="Y56" s="45" t="s">
        <v>128</v>
      </c>
      <c r="Z56" s="45" t="s">
        <v>128</v>
      </c>
      <c r="AA56" s="45" t="s">
        <v>128</v>
      </c>
      <c r="AB56" s="45" t="s">
        <v>128</v>
      </c>
      <c r="AC56" s="107" t="s">
        <v>128</v>
      </c>
      <c r="AD56" s="107" t="s">
        <v>128</v>
      </c>
      <c r="AE56" s="107" t="s">
        <v>128</v>
      </c>
      <c r="AF56" s="107" t="s">
        <v>128</v>
      </c>
      <c r="AG56" s="107" t="s">
        <v>128</v>
      </c>
      <c r="AH56" s="107" t="s">
        <v>128</v>
      </c>
      <c r="AI56" s="228"/>
      <c r="AJ56" s="228"/>
      <c r="AK56" s="228"/>
      <c r="AL56" s="228"/>
      <c r="AM56" s="228"/>
      <c r="AN56" s="228"/>
      <c r="AO56" s="228"/>
      <c r="AP56" s="228"/>
    </row>
    <row r="57" spans="1:42" s="48" customFormat="1" x14ac:dyDescent="0.2">
      <c r="A57" s="22"/>
      <c r="B57" s="22"/>
      <c r="C57" s="22"/>
      <c r="D57" s="22"/>
      <c r="E57" s="22"/>
      <c r="F57" s="22"/>
      <c r="G57" s="22"/>
      <c r="H57" s="22"/>
      <c r="I57" s="22"/>
      <c r="J57" s="36"/>
      <c r="K57" s="19">
        <v>0</v>
      </c>
      <c r="L57" s="198" t="s">
        <v>128</v>
      </c>
      <c r="M57" s="198" t="s">
        <v>128</v>
      </c>
      <c r="N57" s="197" t="s">
        <v>128</v>
      </c>
      <c r="O57" s="195">
        <v>1</v>
      </c>
      <c r="P57" s="45" t="s">
        <v>128</v>
      </c>
      <c r="Q57" s="45" t="s">
        <v>128</v>
      </c>
      <c r="R57" s="45" t="s">
        <v>128</v>
      </c>
      <c r="S57" s="45" t="s">
        <v>128</v>
      </c>
      <c r="T57" s="45" t="s">
        <v>128</v>
      </c>
      <c r="U57" s="45" t="s">
        <v>128</v>
      </c>
      <c r="V57" s="45" t="s">
        <v>128</v>
      </c>
      <c r="W57" s="45" t="s">
        <v>128</v>
      </c>
      <c r="X57" s="45" t="s">
        <v>128</v>
      </c>
      <c r="Y57" s="45" t="s">
        <v>128</v>
      </c>
      <c r="Z57" s="45" t="s">
        <v>128</v>
      </c>
      <c r="AA57" s="45" t="s">
        <v>128</v>
      </c>
      <c r="AB57" s="45" t="s">
        <v>128</v>
      </c>
      <c r="AC57" s="107" t="s">
        <v>128</v>
      </c>
      <c r="AD57" s="107" t="s">
        <v>128</v>
      </c>
      <c r="AE57" s="107" t="s">
        <v>128</v>
      </c>
      <c r="AF57" s="107" t="s">
        <v>128</v>
      </c>
      <c r="AG57" s="107" t="s">
        <v>128</v>
      </c>
      <c r="AH57" s="107" t="s">
        <v>128</v>
      </c>
      <c r="AI57" s="228"/>
      <c r="AJ57" s="228"/>
      <c r="AK57" s="228"/>
      <c r="AL57" s="228"/>
      <c r="AM57" s="228"/>
      <c r="AN57" s="228"/>
      <c r="AO57" s="228"/>
      <c r="AP57" s="228"/>
    </row>
    <row r="58" spans="1:42" s="48" customFormat="1" x14ac:dyDescent="0.2">
      <c r="A58" s="209"/>
      <c r="B58" s="8"/>
      <c r="C58" s="8"/>
      <c r="D58" s="8"/>
      <c r="E58" s="8"/>
      <c r="F58" s="8"/>
      <c r="G58" s="8"/>
      <c r="H58" s="8"/>
      <c r="I58" s="8"/>
      <c r="J58" s="37"/>
      <c r="K58" s="19">
        <v>0</v>
      </c>
      <c r="L58" s="198" t="s">
        <v>128</v>
      </c>
      <c r="M58" s="198" t="s">
        <v>128</v>
      </c>
      <c r="N58" s="197" t="s">
        <v>128</v>
      </c>
      <c r="O58" s="195">
        <v>1</v>
      </c>
      <c r="P58" s="45" t="s">
        <v>128</v>
      </c>
      <c r="Q58" s="45" t="s">
        <v>128</v>
      </c>
      <c r="R58" s="45" t="s">
        <v>128</v>
      </c>
      <c r="S58" s="45" t="s">
        <v>128</v>
      </c>
      <c r="T58" s="45" t="s">
        <v>128</v>
      </c>
      <c r="U58" s="45" t="s">
        <v>128</v>
      </c>
      <c r="V58" s="45" t="s">
        <v>128</v>
      </c>
      <c r="W58" s="45" t="s">
        <v>128</v>
      </c>
      <c r="X58" s="45" t="s">
        <v>128</v>
      </c>
      <c r="Y58" s="45" t="s">
        <v>128</v>
      </c>
      <c r="Z58" s="45" t="s">
        <v>128</v>
      </c>
      <c r="AA58" s="45" t="s">
        <v>128</v>
      </c>
      <c r="AB58" s="45" t="s">
        <v>128</v>
      </c>
      <c r="AC58" s="107" t="s">
        <v>128</v>
      </c>
      <c r="AD58" s="107" t="s">
        <v>128</v>
      </c>
      <c r="AE58" s="107" t="s">
        <v>128</v>
      </c>
      <c r="AF58" s="107" t="s">
        <v>128</v>
      </c>
      <c r="AG58" s="107" t="s">
        <v>128</v>
      </c>
      <c r="AH58" s="107" t="s">
        <v>128</v>
      </c>
      <c r="AI58" s="228"/>
      <c r="AJ58" s="228"/>
      <c r="AK58" s="228"/>
      <c r="AL58" s="228"/>
      <c r="AM58" s="228"/>
      <c r="AN58" s="228"/>
      <c r="AO58" s="228"/>
      <c r="AP58" s="228"/>
    </row>
    <row r="59" spans="1:42" s="48" customFormat="1" x14ac:dyDescent="0.2">
      <c r="A59" s="22"/>
      <c r="B59" s="22"/>
      <c r="C59" s="22"/>
      <c r="D59" s="22"/>
      <c r="E59" s="22"/>
      <c r="F59" s="22"/>
      <c r="G59" s="22"/>
      <c r="H59" s="22"/>
      <c r="I59" s="22"/>
      <c r="J59" s="36"/>
      <c r="K59" s="19">
        <v>0</v>
      </c>
      <c r="L59" s="198" t="s">
        <v>128</v>
      </c>
      <c r="M59" s="198" t="s">
        <v>128</v>
      </c>
      <c r="N59" s="197" t="s">
        <v>128</v>
      </c>
      <c r="O59" s="195">
        <v>1</v>
      </c>
      <c r="P59" s="45" t="s">
        <v>128</v>
      </c>
      <c r="Q59" s="45" t="s">
        <v>128</v>
      </c>
      <c r="R59" s="45" t="s">
        <v>128</v>
      </c>
      <c r="S59" s="45" t="s">
        <v>128</v>
      </c>
      <c r="T59" s="45" t="s">
        <v>128</v>
      </c>
      <c r="U59" s="45" t="s">
        <v>128</v>
      </c>
      <c r="V59" s="45" t="s">
        <v>128</v>
      </c>
      <c r="W59" s="45" t="s">
        <v>128</v>
      </c>
      <c r="X59" s="45" t="s">
        <v>128</v>
      </c>
      <c r="Y59" s="45" t="s">
        <v>128</v>
      </c>
      <c r="Z59" s="45" t="s">
        <v>128</v>
      </c>
      <c r="AA59" s="45" t="s">
        <v>128</v>
      </c>
      <c r="AB59" s="45" t="s">
        <v>128</v>
      </c>
      <c r="AC59" s="107" t="s">
        <v>128</v>
      </c>
      <c r="AD59" s="107" t="s">
        <v>128</v>
      </c>
      <c r="AE59" s="107" t="s">
        <v>128</v>
      </c>
      <c r="AF59" s="107" t="s">
        <v>128</v>
      </c>
      <c r="AG59" s="107" t="s">
        <v>128</v>
      </c>
      <c r="AH59" s="107" t="s">
        <v>128</v>
      </c>
      <c r="AI59" s="228"/>
      <c r="AJ59" s="228"/>
      <c r="AK59" s="228"/>
      <c r="AL59" s="228"/>
      <c r="AM59" s="228"/>
      <c r="AN59" s="228"/>
      <c r="AO59" s="228"/>
      <c r="AP59" s="228"/>
    </row>
    <row r="60" spans="1:42" s="48" customFormat="1" x14ac:dyDescent="0.2">
      <c r="A60" s="209"/>
      <c r="B60" s="8"/>
      <c r="C60" s="8"/>
      <c r="D60" s="8"/>
      <c r="E60" s="8"/>
      <c r="F60" s="8"/>
      <c r="G60" s="8"/>
      <c r="H60" s="8"/>
      <c r="I60" s="8"/>
      <c r="J60" s="37"/>
      <c r="K60" s="19">
        <v>0</v>
      </c>
      <c r="L60" s="198" t="s">
        <v>128</v>
      </c>
      <c r="M60" s="198" t="s">
        <v>128</v>
      </c>
      <c r="N60" s="197" t="s">
        <v>128</v>
      </c>
      <c r="O60" s="195">
        <v>1</v>
      </c>
      <c r="P60" s="45" t="s">
        <v>128</v>
      </c>
      <c r="Q60" s="45" t="s">
        <v>128</v>
      </c>
      <c r="R60" s="45" t="s">
        <v>128</v>
      </c>
      <c r="S60" s="45" t="s">
        <v>128</v>
      </c>
      <c r="T60" s="45" t="s">
        <v>128</v>
      </c>
      <c r="U60" s="45" t="s">
        <v>128</v>
      </c>
      <c r="V60" s="45" t="s">
        <v>128</v>
      </c>
      <c r="W60" s="45" t="s">
        <v>128</v>
      </c>
      <c r="X60" s="45" t="s">
        <v>128</v>
      </c>
      <c r="Y60" s="45" t="s">
        <v>128</v>
      </c>
      <c r="Z60" s="45" t="s">
        <v>128</v>
      </c>
      <c r="AA60" s="45" t="s">
        <v>128</v>
      </c>
      <c r="AB60" s="45" t="s">
        <v>128</v>
      </c>
      <c r="AC60" s="107" t="s">
        <v>128</v>
      </c>
      <c r="AD60" s="107" t="s">
        <v>128</v>
      </c>
      <c r="AE60" s="107" t="s">
        <v>128</v>
      </c>
      <c r="AF60" s="107" t="s">
        <v>128</v>
      </c>
      <c r="AG60" s="107" t="s">
        <v>128</v>
      </c>
      <c r="AH60" s="107" t="s">
        <v>128</v>
      </c>
      <c r="AI60" s="228"/>
      <c r="AJ60" s="228"/>
      <c r="AK60" s="228"/>
      <c r="AL60" s="228"/>
      <c r="AM60" s="228"/>
      <c r="AN60" s="228"/>
      <c r="AO60" s="228"/>
      <c r="AP60" s="228"/>
    </row>
    <row r="61" spans="1:42" s="48" customFormat="1" x14ac:dyDescent="0.2">
      <c r="A61" s="22"/>
      <c r="B61" s="22"/>
      <c r="C61" s="22"/>
      <c r="D61" s="22"/>
      <c r="E61" s="22"/>
      <c r="F61" s="22"/>
      <c r="G61" s="22"/>
      <c r="H61" s="22"/>
      <c r="I61" s="22"/>
      <c r="J61" s="36"/>
      <c r="K61" s="19">
        <v>0</v>
      </c>
      <c r="L61" s="198" t="s">
        <v>128</v>
      </c>
      <c r="M61" s="198" t="s">
        <v>128</v>
      </c>
      <c r="N61" s="197" t="s">
        <v>128</v>
      </c>
      <c r="O61" s="195">
        <v>1</v>
      </c>
      <c r="P61" s="45" t="s">
        <v>128</v>
      </c>
      <c r="Q61" s="45" t="s">
        <v>128</v>
      </c>
      <c r="R61" s="45" t="s">
        <v>128</v>
      </c>
      <c r="S61" s="45" t="s">
        <v>128</v>
      </c>
      <c r="T61" s="45" t="s">
        <v>128</v>
      </c>
      <c r="U61" s="45" t="s">
        <v>128</v>
      </c>
      <c r="V61" s="45" t="s">
        <v>128</v>
      </c>
      <c r="W61" s="45" t="s">
        <v>128</v>
      </c>
      <c r="X61" s="45" t="s">
        <v>128</v>
      </c>
      <c r="Y61" s="45" t="s">
        <v>128</v>
      </c>
      <c r="Z61" s="45" t="s">
        <v>128</v>
      </c>
      <c r="AA61" s="45" t="s">
        <v>128</v>
      </c>
      <c r="AB61" s="45" t="s">
        <v>128</v>
      </c>
      <c r="AC61" s="107" t="s">
        <v>128</v>
      </c>
      <c r="AD61" s="107" t="s">
        <v>128</v>
      </c>
      <c r="AE61" s="107" t="s">
        <v>128</v>
      </c>
      <c r="AF61" s="107" t="s">
        <v>128</v>
      </c>
      <c r="AG61" s="107" t="s">
        <v>128</v>
      </c>
      <c r="AH61" s="107" t="s">
        <v>128</v>
      </c>
      <c r="AI61" s="228"/>
      <c r="AJ61" s="228"/>
      <c r="AK61" s="228"/>
      <c r="AL61" s="228"/>
      <c r="AM61" s="228"/>
      <c r="AN61" s="228"/>
      <c r="AO61" s="228"/>
      <c r="AP61" s="228"/>
    </row>
    <row r="62" spans="1:42" x14ac:dyDescent="0.2">
      <c r="A62" s="209"/>
      <c r="C62" s="8"/>
      <c r="D62" s="8"/>
      <c r="E62" s="8"/>
      <c r="F62" s="8"/>
      <c r="G62" s="8"/>
      <c r="H62" s="8"/>
      <c r="I62" s="8"/>
      <c r="J62" s="37"/>
      <c r="K62" s="19"/>
      <c r="L62" s="33"/>
      <c r="M62" s="19"/>
      <c r="N62"/>
      <c r="O62"/>
      <c r="P62"/>
      <c r="Q62"/>
      <c r="R62"/>
      <c r="S62"/>
      <c r="T62"/>
      <c r="U62"/>
      <c r="V62"/>
      <c r="W62"/>
      <c r="X62"/>
      <c r="Y62"/>
      <c r="Z62"/>
      <c r="AA62"/>
      <c r="AB62"/>
      <c r="AC62"/>
    </row>
    <row r="63" spans="1:42" s="8" customFormat="1" x14ac:dyDescent="0.2">
      <c r="C63" s="366" t="s">
        <v>83</v>
      </c>
      <c r="D63" s="366"/>
      <c r="E63" s="43" t="s">
        <v>4</v>
      </c>
      <c r="F63" s="1"/>
      <c r="G63" s="1"/>
      <c r="H63" s="285" t="s">
        <v>741</v>
      </c>
      <c r="I63" s="30">
        <f>SUM(O2:O61)</f>
        <v>60</v>
      </c>
      <c r="J63" s="20">
        <f>SUM(J2:J61)</f>
        <v>0</v>
      </c>
      <c r="K63" s="24">
        <f>SUM(P63:AH63)</f>
        <v>1</v>
      </c>
      <c r="L63" s="1"/>
      <c r="M63" s="1"/>
      <c r="N63" s="21"/>
      <c r="P63" s="271">
        <v>0.03</v>
      </c>
      <c r="Q63" s="209"/>
      <c r="R63" s="271">
        <v>0.1</v>
      </c>
      <c r="S63" s="209"/>
      <c r="T63" s="436">
        <v>0.3</v>
      </c>
      <c r="U63" s="438"/>
      <c r="V63" s="438"/>
      <c r="W63" s="436">
        <v>0.3</v>
      </c>
      <c r="X63" s="438"/>
      <c r="Y63" s="438"/>
      <c r="Z63" s="436">
        <v>0.1</v>
      </c>
      <c r="AA63" s="438"/>
      <c r="AB63" s="438"/>
      <c r="AC63" s="436">
        <v>0.12</v>
      </c>
      <c r="AD63" s="438"/>
      <c r="AE63" s="438"/>
      <c r="AF63" s="436">
        <v>0.05</v>
      </c>
      <c r="AG63" s="438"/>
      <c r="AH63" s="438"/>
    </row>
    <row r="64" spans="1:42" x14ac:dyDescent="0.2">
      <c r="C64" s="23" t="s">
        <v>24</v>
      </c>
      <c r="D64" s="8">
        <f t="shared" ref="D64:D70" si="0">SUMIF($E$2:$E$61,C64,$O$2:$O$61)</f>
        <v>0</v>
      </c>
      <c r="E64" s="23" t="s">
        <v>29</v>
      </c>
      <c r="F64" s="8">
        <f>SUMIF($C$2:$C$61,E64,$O$2:$O$61)</f>
        <v>0</v>
      </c>
      <c r="M64" s="360" t="s">
        <v>406</v>
      </c>
      <c r="N64" s="360"/>
      <c r="O64" s="360"/>
    </row>
    <row r="65" spans="1:32" s="8" customFormat="1" x14ac:dyDescent="0.2">
      <c r="C65" s="23" t="s">
        <v>66</v>
      </c>
      <c r="D65" s="8">
        <f t="shared" si="0"/>
        <v>0</v>
      </c>
      <c r="E65" s="23" t="s">
        <v>22</v>
      </c>
      <c r="F65" s="8">
        <f t="shared" ref="F65:F66" si="1">SUMIF($C$2:$C$61,E65,$O$2:$O$61)</f>
        <v>0</v>
      </c>
      <c r="G65" s="1"/>
      <c r="H65" s="348" t="s">
        <v>75</v>
      </c>
      <c r="I65" s="348"/>
      <c r="J65" s="20">
        <f>SUMIF(K2:K61,K65,J2:J61)</f>
        <v>0</v>
      </c>
      <c r="K65" s="24">
        <v>1</v>
      </c>
      <c r="L65" s="1"/>
      <c r="M65" s="48"/>
      <c r="N65" s="43">
        <f>SUMIF($K$2:$K$61,K65,$O$2:$O$61)</f>
        <v>0</v>
      </c>
      <c r="O65" s="43"/>
      <c r="P65" s="1"/>
      <c r="Q65" s="1"/>
      <c r="R65" s="1"/>
      <c r="S65" s="1"/>
      <c r="T65" s="1"/>
      <c r="U65" s="1"/>
      <c r="V65" s="1"/>
      <c r="W65" s="1"/>
      <c r="X65" s="1"/>
      <c r="Y65" s="1"/>
      <c r="Z65" s="1"/>
      <c r="AA65" s="1"/>
      <c r="AB65" s="1"/>
      <c r="AC65" s="1"/>
      <c r="AD65" s="43"/>
      <c r="AE65" s="43"/>
      <c r="AF65" s="43"/>
    </row>
    <row r="66" spans="1:32" s="8" customFormat="1" x14ac:dyDescent="0.2">
      <c r="C66" s="1" t="s">
        <v>34</v>
      </c>
      <c r="D66" s="8">
        <f t="shared" si="0"/>
        <v>0</v>
      </c>
      <c r="E66" s="1" t="s">
        <v>735</v>
      </c>
      <c r="F66" s="8">
        <f t="shared" si="1"/>
        <v>0</v>
      </c>
      <c r="G66" s="1"/>
      <c r="H66" s="1" t="s">
        <v>76</v>
      </c>
      <c r="I66" s="39" t="s">
        <v>734</v>
      </c>
      <c r="J66" s="20">
        <f>SUMIF($L$2:$L$61,K66,$J$2:$J$61)</f>
        <v>0</v>
      </c>
      <c r="K66" s="25">
        <v>1</v>
      </c>
      <c r="L66" s="1"/>
      <c r="M66" s="1"/>
      <c r="N66" s="21"/>
      <c r="P66" s="1"/>
      <c r="Q66" s="1"/>
      <c r="R66" s="1"/>
      <c r="S66" s="1"/>
      <c r="T66" s="1"/>
      <c r="U66" s="1"/>
      <c r="V66" s="1"/>
      <c r="W66" s="1"/>
      <c r="X66" s="1"/>
      <c r="Y66" s="1"/>
      <c r="Z66" s="1"/>
      <c r="AA66" s="1"/>
      <c r="AB66" s="1"/>
      <c r="AC66" s="1"/>
      <c r="AD66" s="43"/>
      <c r="AE66" s="43"/>
      <c r="AF66" s="43"/>
    </row>
    <row r="67" spans="1:32" s="8" customFormat="1" x14ac:dyDescent="0.2">
      <c r="C67" s="23" t="s">
        <v>31</v>
      </c>
      <c r="D67" s="8">
        <f t="shared" si="0"/>
        <v>0</v>
      </c>
      <c r="E67" s="1"/>
      <c r="F67" s="1"/>
      <c r="G67" s="1"/>
      <c r="H67" s="1" t="s">
        <v>76</v>
      </c>
      <c r="I67" s="39" t="s">
        <v>742</v>
      </c>
      <c r="J67" s="20">
        <f>SUMIF($L$2:$L$61,K67,$J$2:$J$61)</f>
        <v>0</v>
      </c>
      <c r="K67" s="25">
        <v>2</v>
      </c>
      <c r="L67" s="1"/>
      <c r="M67" s="1"/>
      <c r="N67" s="21"/>
      <c r="P67" s="1"/>
      <c r="Q67" s="1"/>
      <c r="R67" s="1"/>
      <c r="S67" s="1"/>
      <c r="T67" s="1"/>
      <c r="U67" s="1"/>
      <c r="V67" s="1"/>
      <c r="W67" s="1"/>
      <c r="X67" s="1"/>
      <c r="Y67" s="1"/>
      <c r="Z67" s="1"/>
      <c r="AA67" s="1"/>
      <c r="AB67" s="1"/>
      <c r="AC67" s="1"/>
      <c r="AD67" s="43"/>
      <c r="AE67" s="43"/>
      <c r="AF67" s="43"/>
    </row>
    <row r="68" spans="1:32" s="8" customFormat="1" x14ac:dyDescent="0.2">
      <c r="C68" s="23" t="s">
        <v>85</v>
      </c>
      <c r="D68" s="8">
        <f t="shared" si="0"/>
        <v>0</v>
      </c>
      <c r="E68" s="1"/>
      <c r="F68" s="1"/>
      <c r="G68" s="1"/>
      <c r="H68" s="1" t="s">
        <v>76</v>
      </c>
      <c r="I68" s="39" t="s">
        <v>743</v>
      </c>
      <c r="J68" s="20">
        <f>SUMIF($L$2:$L$61,K68,$J$2:$J$61)</f>
        <v>0</v>
      </c>
      <c r="K68" s="25">
        <v>3</v>
      </c>
      <c r="L68" s="1"/>
      <c r="M68" s="1"/>
      <c r="N68" s="21"/>
      <c r="P68" s="1"/>
      <c r="Q68" s="1"/>
      <c r="R68" s="1"/>
      <c r="S68" s="1"/>
      <c r="T68" s="1"/>
      <c r="U68" s="1"/>
      <c r="V68" s="1"/>
      <c r="W68" s="1"/>
      <c r="X68" s="1"/>
      <c r="Y68" s="1"/>
      <c r="Z68" s="1"/>
      <c r="AA68" s="1"/>
      <c r="AB68" s="1"/>
      <c r="AC68" s="1"/>
      <c r="AD68" s="43"/>
      <c r="AE68" s="43"/>
      <c r="AF68" s="43"/>
    </row>
    <row r="69" spans="1:32" s="8" customFormat="1" x14ac:dyDescent="0.2">
      <c r="C69" s="23" t="s">
        <v>46</v>
      </c>
      <c r="D69" s="8">
        <f t="shared" si="0"/>
        <v>0</v>
      </c>
      <c r="E69" s="1"/>
      <c r="F69" s="1"/>
      <c r="G69" s="1"/>
      <c r="H69" s="1" t="s">
        <v>76</v>
      </c>
      <c r="I69" s="39" t="s">
        <v>744</v>
      </c>
      <c r="J69" s="20">
        <f>SUMIF($L$2:$L$61,K69,$J$2:$J$61)</f>
        <v>0</v>
      </c>
      <c r="K69" s="25">
        <v>4</v>
      </c>
      <c r="L69" s="1"/>
      <c r="M69" s="1"/>
      <c r="N69" s="21"/>
      <c r="P69" s="1"/>
      <c r="Q69" s="1"/>
      <c r="R69" s="1"/>
      <c r="S69" s="1"/>
      <c r="T69" s="1"/>
      <c r="U69" s="1"/>
      <c r="V69" s="1"/>
      <c r="W69" s="1"/>
      <c r="X69" s="1"/>
      <c r="Y69" s="1"/>
      <c r="Z69" s="1"/>
      <c r="AA69" s="1"/>
      <c r="AB69" s="1"/>
      <c r="AC69" s="1"/>
      <c r="AD69" s="43"/>
      <c r="AE69" s="43"/>
      <c r="AF69" s="43"/>
    </row>
    <row r="70" spans="1:32" x14ac:dyDescent="0.2">
      <c r="C70" s="23" t="s">
        <v>38</v>
      </c>
      <c r="D70" s="8">
        <f t="shared" si="0"/>
        <v>0</v>
      </c>
      <c r="H70" s="1" t="s">
        <v>76</v>
      </c>
      <c r="I70" s="39" t="s">
        <v>745</v>
      </c>
      <c r="J70" s="20">
        <f>SUMIF($L$2:$L$61,K70,$J$2:$J$61)</f>
        <v>0</v>
      </c>
      <c r="K70" s="25">
        <v>5</v>
      </c>
    </row>
    <row r="72" spans="1:32" x14ac:dyDescent="0.2">
      <c r="C72" s="23"/>
      <c r="D72" s="8"/>
    </row>
    <row r="73" spans="1:32" x14ac:dyDescent="0.2">
      <c r="L73" s="33"/>
    </row>
    <row r="74" spans="1:32" x14ac:dyDescent="0.2">
      <c r="C74" s="3" t="s">
        <v>157</v>
      </c>
      <c r="D74" s="8">
        <f>SUM(D64:D73)</f>
        <v>0</v>
      </c>
      <c r="E74" s="3" t="s">
        <v>157</v>
      </c>
      <c r="F74" s="8">
        <f>SUM(F64:F73)</f>
        <v>0</v>
      </c>
    </row>
    <row r="75" spans="1:32" s="57" customFormat="1" ht="29.25" customHeight="1" x14ac:dyDescent="0.2">
      <c r="A75" s="383" t="s">
        <v>158</v>
      </c>
      <c r="B75" s="383"/>
      <c r="C75" s="383"/>
      <c r="I75" s="58" t="s">
        <v>159</v>
      </c>
      <c r="J75" s="58" t="s">
        <v>160</v>
      </c>
      <c r="N75" s="59"/>
      <c r="O75" s="7"/>
      <c r="AD75" s="60"/>
      <c r="AE75" s="60"/>
      <c r="AF75" s="60"/>
    </row>
    <row r="76" spans="1:32" x14ac:dyDescent="0.2">
      <c r="A76" s="286">
        <v>44896</v>
      </c>
      <c r="B76" s="287" t="s">
        <v>163</v>
      </c>
      <c r="C76" s="353"/>
      <c r="D76" s="353"/>
      <c r="E76" s="353"/>
      <c r="F76" s="353"/>
      <c r="G76" s="353"/>
      <c r="H76" s="353"/>
      <c r="I76" s="51"/>
      <c r="J76" s="51"/>
    </row>
    <row r="77" spans="1:32" x14ac:dyDescent="0.2">
      <c r="A77" s="49">
        <f>+A76+1</f>
        <v>44897</v>
      </c>
      <c r="B77" s="50" t="s">
        <v>164</v>
      </c>
      <c r="C77" s="353"/>
      <c r="D77" s="353"/>
      <c r="E77" s="353"/>
      <c r="F77" s="353"/>
      <c r="G77" s="353"/>
      <c r="H77" s="353"/>
      <c r="I77" s="51"/>
      <c r="J77" s="51"/>
    </row>
    <row r="78" spans="1:32" x14ac:dyDescent="0.2">
      <c r="A78" s="49">
        <f t="shared" ref="A78:A106" si="2">+A77+1</f>
        <v>44898</v>
      </c>
      <c r="B78" s="50" t="s">
        <v>165</v>
      </c>
      <c r="C78" s="353"/>
      <c r="D78" s="353"/>
      <c r="E78" s="353"/>
      <c r="F78" s="353"/>
      <c r="G78" s="353"/>
      <c r="H78" s="353"/>
      <c r="I78" s="51"/>
      <c r="J78" s="51"/>
    </row>
    <row r="79" spans="1:32" x14ac:dyDescent="0.2">
      <c r="A79" s="49">
        <f t="shared" si="2"/>
        <v>44899</v>
      </c>
      <c r="B79" s="50" t="s">
        <v>166</v>
      </c>
      <c r="C79" s="353"/>
      <c r="D79" s="353"/>
      <c r="E79" s="353"/>
      <c r="F79" s="353"/>
      <c r="G79" s="353"/>
      <c r="H79" s="353"/>
      <c r="I79" s="51"/>
      <c r="J79" s="51"/>
    </row>
    <row r="80" spans="1:32" x14ac:dyDescent="0.2">
      <c r="A80" s="49">
        <f t="shared" si="2"/>
        <v>44900</v>
      </c>
      <c r="B80" s="50" t="s">
        <v>167</v>
      </c>
      <c r="C80" s="353"/>
      <c r="D80" s="353"/>
      <c r="E80" s="353"/>
      <c r="F80" s="353"/>
      <c r="G80" s="353"/>
      <c r="H80" s="353"/>
      <c r="I80" s="51"/>
      <c r="J80" s="51"/>
    </row>
    <row r="81" spans="1:10" x14ac:dyDescent="0.2">
      <c r="A81" s="49">
        <f t="shared" si="2"/>
        <v>44901</v>
      </c>
      <c r="B81" s="50" t="s">
        <v>161</v>
      </c>
      <c r="C81" s="353"/>
      <c r="D81" s="353"/>
      <c r="E81" s="353"/>
      <c r="F81" s="353"/>
      <c r="G81" s="353"/>
      <c r="H81" s="353"/>
      <c r="I81" s="51"/>
      <c r="J81" s="51"/>
    </row>
    <row r="82" spans="1:10" x14ac:dyDescent="0.2">
      <c r="A82" s="49">
        <f t="shared" si="2"/>
        <v>44902</v>
      </c>
      <c r="B82" s="50" t="s">
        <v>162</v>
      </c>
      <c r="C82" s="353"/>
      <c r="D82" s="353"/>
      <c r="E82" s="353"/>
      <c r="F82" s="353"/>
      <c r="G82" s="353"/>
      <c r="H82" s="353"/>
      <c r="I82" s="51"/>
      <c r="J82" s="51"/>
    </row>
    <row r="83" spans="1:10" x14ac:dyDescent="0.2">
      <c r="A83" s="61">
        <f t="shared" si="2"/>
        <v>44903</v>
      </c>
      <c r="B83" s="62" t="s">
        <v>163</v>
      </c>
      <c r="C83" s="429"/>
      <c r="D83" s="429"/>
      <c r="E83" s="429"/>
      <c r="F83" s="429"/>
      <c r="G83" s="429"/>
      <c r="H83" s="429"/>
      <c r="I83" s="63"/>
      <c r="J83" s="63"/>
    </row>
    <row r="84" spans="1:10" x14ac:dyDescent="0.2">
      <c r="A84" s="49">
        <f t="shared" si="2"/>
        <v>44904</v>
      </c>
      <c r="B84" s="50" t="s">
        <v>164</v>
      </c>
      <c r="C84" s="353"/>
      <c r="D84" s="353"/>
      <c r="E84" s="353"/>
      <c r="F84" s="353"/>
      <c r="G84" s="353"/>
      <c r="H84" s="353"/>
      <c r="I84" s="51"/>
      <c r="J84" s="51"/>
    </row>
    <row r="85" spans="1:10" x14ac:dyDescent="0.2">
      <c r="A85" s="49">
        <f t="shared" si="2"/>
        <v>44905</v>
      </c>
      <c r="B85" s="50" t="s">
        <v>165</v>
      </c>
      <c r="C85" s="353"/>
      <c r="D85" s="353"/>
      <c r="E85" s="353"/>
      <c r="F85" s="353"/>
      <c r="G85" s="353"/>
      <c r="H85" s="353"/>
      <c r="I85" s="51"/>
      <c r="J85" s="51"/>
    </row>
    <row r="86" spans="1:10" x14ac:dyDescent="0.2">
      <c r="A86" s="49">
        <f t="shared" si="2"/>
        <v>44906</v>
      </c>
      <c r="B86" s="50" t="s">
        <v>166</v>
      </c>
      <c r="C86" s="353"/>
      <c r="D86" s="353"/>
      <c r="E86" s="353"/>
      <c r="F86" s="353"/>
      <c r="G86" s="353"/>
      <c r="H86" s="353"/>
      <c r="I86" s="51"/>
      <c r="J86" s="51"/>
    </row>
    <row r="87" spans="1:10" x14ac:dyDescent="0.2">
      <c r="A87" s="49">
        <f t="shared" si="2"/>
        <v>44907</v>
      </c>
      <c r="B87" s="50" t="s">
        <v>167</v>
      </c>
      <c r="C87" s="353"/>
      <c r="D87" s="353"/>
      <c r="E87" s="353"/>
      <c r="F87" s="353"/>
      <c r="G87" s="353"/>
      <c r="H87" s="353"/>
      <c r="I87" s="51"/>
      <c r="J87" s="51"/>
    </row>
    <row r="88" spans="1:10" x14ac:dyDescent="0.2">
      <c r="A88" s="49">
        <f t="shared" si="2"/>
        <v>44908</v>
      </c>
      <c r="B88" s="50" t="s">
        <v>161</v>
      </c>
      <c r="C88" s="353"/>
      <c r="D88" s="353"/>
      <c r="E88" s="353"/>
      <c r="F88" s="353"/>
      <c r="G88" s="353"/>
      <c r="H88" s="353"/>
      <c r="I88" s="51"/>
      <c r="J88" s="51"/>
    </row>
    <row r="89" spans="1:10" x14ac:dyDescent="0.2">
      <c r="A89" s="49">
        <f t="shared" si="2"/>
        <v>44909</v>
      </c>
      <c r="B89" s="50" t="s">
        <v>162</v>
      </c>
      <c r="C89" s="353"/>
      <c r="D89" s="353"/>
      <c r="E89" s="353"/>
      <c r="F89" s="353"/>
      <c r="G89" s="353"/>
      <c r="H89" s="353"/>
      <c r="I89" s="51"/>
      <c r="J89" s="51"/>
    </row>
    <row r="90" spans="1:10" x14ac:dyDescent="0.2">
      <c r="A90" s="49">
        <f t="shared" si="2"/>
        <v>44910</v>
      </c>
      <c r="B90" s="50" t="s">
        <v>163</v>
      </c>
      <c r="C90" s="353"/>
      <c r="D90" s="353"/>
      <c r="E90" s="353"/>
      <c r="F90" s="353"/>
      <c r="G90" s="353"/>
      <c r="H90" s="353"/>
      <c r="I90" s="51"/>
      <c r="J90" s="51"/>
    </row>
    <row r="91" spans="1:10" x14ac:dyDescent="0.2">
      <c r="A91" s="49">
        <f t="shared" si="2"/>
        <v>44911</v>
      </c>
      <c r="B91" s="50" t="s">
        <v>164</v>
      </c>
      <c r="C91" s="353"/>
      <c r="D91" s="353"/>
      <c r="E91" s="353"/>
      <c r="F91" s="353"/>
      <c r="G91" s="353"/>
      <c r="H91" s="353"/>
      <c r="I91" s="51"/>
      <c r="J91" s="51"/>
    </row>
    <row r="92" spans="1:10" x14ac:dyDescent="0.2">
      <c r="A92" s="49">
        <f t="shared" si="2"/>
        <v>44912</v>
      </c>
      <c r="B92" s="50" t="s">
        <v>165</v>
      </c>
      <c r="C92" s="353"/>
      <c r="D92" s="353"/>
      <c r="E92" s="353"/>
      <c r="F92" s="353"/>
      <c r="G92" s="353"/>
      <c r="H92" s="353"/>
      <c r="I92" s="51"/>
      <c r="J92" s="51"/>
    </row>
    <row r="93" spans="1:10" x14ac:dyDescent="0.2">
      <c r="A93" s="49">
        <f t="shared" si="2"/>
        <v>44913</v>
      </c>
      <c r="B93" s="50" t="s">
        <v>166</v>
      </c>
      <c r="C93" s="353"/>
      <c r="D93" s="353"/>
      <c r="E93" s="353"/>
      <c r="F93" s="353"/>
      <c r="G93" s="353"/>
      <c r="H93" s="353"/>
      <c r="I93" s="51"/>
      <c r="J93" s="51"/>
    </row>
    <row r="94" spans="1:10" x14ac:dyDescent="0.2">
      <c r="A94" s="49">
        <f t="shared" si="2"/>
        <v>44914</v>
      </c>
      <c r="B94" s="50" t="s">
        <v>167</v>
      </c>
      <c r="C94" s="353"/>
      <c r="D94" s="353"/>
      <c r="E94" s="353"/>
      <c r="F94" s="353"/>
      <c r="G94" s="353"/>
      <c r="H94" s="353"/>
      <c r="I94" s="51"/>
      <c r="J94" s="51"/>
    </row>
    <row r="95" spans="1:10" x14ac:dyDescent="0.2">
      <c r="A95" s="49">
        <f t="shared" si="2"/>
        <v>44915</v>
      </c>
      <c r="B95" s="50" t="s">
        <v>161</v>
      </c>
      <c r="C95" s="353"/>
      <c r="D95" s="353"/>
      <c r="E95" s="353"/>
      <c r="F95" s="353"/>
      <c r="G95" s="353"/>
      <c r="H95" s="353"/>
      <c r="I95" s="51"/>
      <c r="J95" s="51"/>
    </row>
    <row r="96" spans="1:10" x14ac:dyDescent="0.2">
      <c r="A96" s="49">
        <f t="shared" si="2"/>
        <v>44916</v>
      </c>
      <c r="B96" s="50" t="s">
        <v>162</v>
      </c>
      <c r="C96" s="353"/>
      <c r="D96" s="353"/>
      <c r="E96" s="353"/>
      <c r="F96" s="353"/>
      <c r="G96" s="353"/>
      <c r="H96" s="353"/>
      <c r="I96" s="51"/>
      <c r="J96" s="51"/>
    </row>
    <row r="97" spans="1:21" x14ac:dyDescent="0.2">
      <c r="A97" s="49">
        <f t="shared" si="2"/>
        <v>44917</v>
      </c>
      <c r="B97" s="50" t="s">
        <v>163</v>
      </c>
      <c r="C97" s="353"/>
      <c r="D97" s="353"/>
      <c r="E97" s="353"/>
      <c r="F97" s="353"/>
      <c r="G97" s="353"/>
      <c r="H97" s="353"/>
      <c r="I97" s="51"/>
      <c r="J97" s="51"/>
    </row>
    <row r="98" spans="1:21" x14ac:dyDescent="0.2">
      <c r="A98" s="49">
        <f t="shared" si="2"/>
        <v>44918</v>
      </c>
      <c r="B98" s="50" t="s">
        <v>164</v>
      </c>
      <c r="C98" s="353"/>
      <c r="D98" s="353"/>
      <c r="E98" s="353"/>
      <c r="F98" s="353"/>
      <c r="G98" s="353"/>
      <c r="H98" s="353"/>
      <c r="I98" s="51"/>
      <c r="J98" s="51"/>
    </row>
    <row r="99" spans="1:21" x14ac:dyDescent="0.2">
      <c r="A99" s="49">
        <f t="shared" si="2"/>
        <v>44919</v>
      </c>
      <c r="B99" s="50" t="s">
        <v>165</v>
      </c>
      <c r="C99" s="353"/>
      <c r="D99" s="353"/>
      <c r="E99" s="353"/>
      <c r="F99" s="353"/>
      <c r="G99" s="353"/>
      <c r="H99" s="353"/>
      <c r="I99" s="51"/>
      <c r="J99" s="51"/>
    </row>
    <row r="100" spans="1:21" x14ac:dyDescent="0.2">
      <c r="A100" s="61">
        <f t="shared" si="2"/>
        <v>44920</v>
      </c>
      <c r="B100" s="62" t="s">
        <v>166</v>
      </c>
      <c r="C100" s="429"/>
      <c r="D100" s="429"/>
      <c r="E100" s="429"/>
      <c r="F100" s="429"/>
      <c r="G100" s="429"/>
      <c r="H100" s="429"/>
      <c r="I100" s="63"/>
      <c r="J100" s="63"/>
    </row>
    <row r="101" spans="1:21" x14ac:dyDescent="0.2">
      <c r="A101" s="49">
        <f t="shared" si="2"/>
        <v>44921</v>
      </c>
      <c r="B101" s="50" t="s">
        <v>167</v>
      </c>
      <c r="C101" s="353"/>
      <c r="D101" s="353"/>
      <c r="E101" s="353"/>
      <c r="F101" s="353"/>
      <c r="G101" s="353"/>
      <c r="H101" s="353"/>
      <c r="I101" s="51"/>
      <c r="J101" s="51"/>
    </row>
    <row r="102" spans="1:21" x14ac:dyDescent="0.2">
      <c r="A102" s="49">
        <f t="shared" si="2"/>
        <v>44922</v>
      </c>
      <c r="B102" s="50" t="s">
        <v>161</v>
      </c>
      <c r="C102" s="353"/>
      <c r="D102" s="353"/>
      <c r="E102" s="353"/>
      <c r="F102" s="353"/>
      <c r="G102" s="353"/>
      <c r="H102" s="353"/>
      <c r="I102" s="51"/>
      <c r="J102" s="51"/>
    </row>
    <row r="103" spans="1:21" x14ac:dyDescent="0.2">
      <c r="A103" s="49">
        <f t="shared" si="2"/>
        <v>44923</v>
      </c>
      <c r="B103" s="50" t="s">
        <v>162</v>
      </c>
      <c r="C103" s="353"/>
      <c r="D103" s="353"/>
      <c r="E103" s="353"/>
      <c r="F103" s="353"/>
      <c r="G103" s="353"/>
      <c r="H103" s="353"/>
      <c r="I103" s="51"/>
      <c r="J103" s="51"/>
    </row>
    <row r="104" spans="1:21" x14ac:dyDescent="0.2">
      <c r="A104" s="49">
        <f t="shared" si="2"/>
        <v>44924</v>
      </c>
      <c r="B104" s="50" t="s">
        <v>163</v>
      </c>
      <c r="C104" s="353"/>
      <c r="D104" s="353"/>
      <c r="E104" s="353"/>
      <c r="F104" s="353"/>
      <c r="G104" s="353"/>
      <c r="H104" s="353"/>
      <c r="I104" s="51"/>
      <c r="J104" s="51"/>
    </row>
    <row r="105" spans="1:21" x14ac:dyDescent="0.2">
      <c r="A105" s="49">
        <f t="shared" si="2"/>
        <v>44925</v>
      </c>
      <c r="B105" s="50" t="s">
        <v>164</v>
      </c>
      <c r="C105" s="353"/>
      <c r="D105" s="353"/>
      <c r="E105" s="353"/>
      <c r="F105" s="353"/>
      <c r="G105" s="353"/>
      <c r="H105" s="353"/>
      <c r="I105" s="51"/>
      <c r="J105" s="51"/>
    </row>
    <row r="106" spans="1:21" x14ac:dyDescent="0.2">
      <c r="A106" s="49">
        <f t="shared" si="2"/>
        <v>44926</v>
      </c>
      <c r="B106" s="50" t="s">
        <v>165</v>
      </c>
      <c r="C106" s="353"/>
      <c r="D106" s="353"/>
      <c r="E106" s="353"/>
      <c r="F106" s="353"/>
      <c r="G106" s="353"/>
      <c r="H106" s="353"/>
      <c r="I106" s="51"/>
      <c r="J106" s="51"/>
    </row>
    <row r="107" spans="1:21" x14ac:dyDescent="0.2">
      <c r="A107" s="32"/>
      <c r="I107" s="8"/>
      <c r="J107" s="8"/>
      <c r="R107" s="21"/>
      <c r="S107" s="21"/>
      <c r="T107" s="8"/>
      <c r="U107" s="8"/>
    </row>
    <row r="108" spans="1:21" x14ac:dyDescent="0.2">
      <c r="A108" s="367" t="s">
        <v>207</v>
      </c>
      <c r="B108" s="368"/>
      <c r="C108" s="368"/>
      <c r="D108" s="368"/>
      <c r="I108" s="8"/>
      <c r="J108" s="8"/>
      <c r="R108" s="21"/>
      <c r="S108" s="21"/>
      <c r="T108" s="8"/>
      <c r="U108" s="8"/>
    </row>
    <row r="109" spans="1:21" x14ac:dyDescent="0.2">
      <c r="A109" s="52">
        <f>COUNTIF($I$76:$I$109,B109)</f>
        <v>0</v>
      </c>
      <c r="B109" s="53" t="s">
        <v>208</v>
      </c>
      <c r="C109" s="370" t="s">
        <v>209</v>
      </c>
      <c r="D109" s="370"/>
      <c r="I109" s="8"/>
      <c r="J109" s="8"/>
      <c r="R109" s="21"/>
      <c r="S109" s="21"/>
      <c r="T109" s="8"/>
      <c r="U109" s="8"/>
    </row>
    <row r="110" spans="1:21" x14ac:dyDescent="0.2">
      <c r="A110" s="52">
        <f t="shared" ref="A110:A119" si="3">COUNTIF($I$76:$I$109,B110)</f>
        <v>0</v>
      </c>
      <c r="B110" s="53" t="s">
        <v>172</v>
      </c>
      <c r="C110" s="370" t="s">
        <v>210</v>
      </c>
      <c r="D110" s="370"/>
      <c r="I110" s="8"/>
      <c r="J110" s="8"/>
      <c r="R110" s="21"/>
      <c r="S110" s="21"/>
      <c r="T110" s="8"/>
      <c r="U110" s="8"/>
    </row>
    <row r="111" spans="1:21" x14ac:dyDescent="0.2">
      <c r="A111" s="52">
        <f t="shared" si="3"/>
        <v>0</v>
      </c>
      <c r="B111" s="53" t="s">
        <v>169</v>
      </c>
      <c r="C111" s="370" t="s">
        <v>211</v>
      </c>
      <c r="D111" s="370"/>
      <c r="I111" s="8"/>
      <c r="J111" s="8"/>
      <c r="R111" s="21"/>
      <c r="S111" s="21"/>
      <c r="T111" s="8"/>
      <c r="U111" s="8"/>
    </row>
    <row r="112" spans="1:21" x14ac:dyDescent="0.2">
      <c r="A112" s="52">
        <f t="shared" si="3"/>
        <v>0</v>
      </c>
      <c r="B112" s="53" t="s">
        <v>181</v>
      </c>
      <c r="C112" s="370" t="s">
        <v>212</v>
      </c>
      <c r="D112" s="370"/>
      <c r="I112" s="8"/>
      <c r="J112" s="8"/>
      <c r="R112" s="21"/>
      <c r="S112" s="21"/>
      <c r="T112" s="8"/>
      <c r="U112" s="8"/>
    </row>
    <row r="113" spans="1:21" x14ac:dyDescent="0.2">
      <c r="A113" s="52">
        <f t="shared" si="3"/>
        <v>0</v>
      </c>
      <c r="B113" s="53" t="s">
        <v>183</v>
      </c>
      <c r="C113" s="370" t="s">
        <v>213</v>
      </c>
      <c r="D113" s="370"/>
      <c r="I113" s="8"/>
      <c r="J113" s="8"/>
      <c r="R113" s="21"/>
      <c r="S113" s="21"/>
      <c r="T113" s="8"/>
      <c r="U113" s="8"/>
    </row>
    <row r="114" spans="1:21" x14ac:dyDescent="0.2">
      <c r="A114" s="52">
        <f t="shared" si="3"/>
        <v>0</v>
      </c>
      <c r="B114" s="53" t="s">
        <v>214</v>
      </c>
      <c r="C114" s="370" t="s">
        <v>215</v>
      </c>
      <c r="D114" s="370"/>
      <c r="I114" s="8"/>
      <c r="J114" s="8"/>
      <c r="R114" s="21"/>
      <c r="S114" s="21"/>
      <c r="T114" s="8"/>
      <c r="U114" s="8"/>
    </row>
    <row r="115" spans="1:21" x14ac:dyDescent="0.2">
      <c r="A115" s="52">
        <f t="shared" si="3"/>
        <v>0</v>
      </c>
      <c r="B115" s="53" t="s">
        <v>216</v>
      </c>
      <c r="C115" s="370" t="s">
        <v>217</v>
      </c>
      <c r="D115" s="370"/>
      <c r="I115" s="8"/>
      <c r="J115" s="8"/>
      <c r="R115" s="21"/>
      <c r="S115" s="21"/>
      <c r="T115" s="8"/>
      <c r="U115" s="8"/>
    </row>
    <row r="116" spans="1:21" x14ac:dyDescent="0.2">
      <c r="A116" s="52">
        <f t="shared" si="3"/>
        <v>0</v>
      </c>
      <c r="B116" s="53" t="s">
        <v>218</v>
      </c>
      <c r="C116" s="371" t="s">
        <v>219</v>
      </c>
      <c r="D116" s="372"/>
      <c r="I116" s="8"/>
      <c r="J116" s="8"/>
      <c r="R116" s="21"/>
      <c r="S116" s="21"/>
      <c r="T116" s="8"/>
      <c r="U116" s="8"/>
    </row>
    <row r="117" spans="1:21" x14ac:dyDescent="0.2">
      <c r="A117" s="52">
        <f t="shared" si="3"/>
        <v>0</v>
      </c>
      <c r="B117" s="53" t="s">
        <v>220</v>
      </c>
      <c r="C117" s="370" t="s">
        <v>221</v>
      </c>
      <c r="D117" s="370"/>
      <c r="I117" s="8"/>
      <c r="J117" s="8"/>
    </row>
    <row r="118" spans="1:21" x14ac:dyDescent="0.2">
      <c r="A118" s="52">
        <f>COUNTIF($I$76:$I$109,B118)</f>
        <v>0</v>
      </c>
      <c r="B118" s="53" t="s">
        <v>178</v>
      </c>
      <c r="C118" s="370" t="s">
        <v>222</v>
      </c>
      <c r="D118" s="370"/>
      <c r="I118" s="8"/>
      <c r="J118" s="8"/>
    </row>
    <row r="119" spans="1:21" x14ac:dyDescent="0.2">
      <c r="A119" s="52">
        <f t="shared" si="3"/>
        <v>0</v>
      </c>
      <c r="B119" s="53" t="s">
        <v>223</v>
      </c>
      <c r="C119" s="370" t="s">
        <v>224</v>
      </c>
      <c r="D119" s="370"/>
      <c r="I119" s="8"/>
      <c r="J119" s="8"/>
    </row>
    <row r="120" spans="1:21" x14ac:dyDescent="0.2">
      <c r="A120" s="54"/>
      <c r="B120" s="55"/>
      <c r="C120" s="56"/>
      <c r="D120" s="56"/>
      <c r="I120" s="8"/>
      <c r="J120" s="8"/>
    </row>
    <row r="121" spans="1:21" x14ac:dyDescent="0.2">
      <c r="A121" s="54"/>
      <c r="B121" s="55"/>
      <c r="C121" s="56"/>
      <c r="D121" s="56"/>
      <c r="I121" s="8"/>
      <c r="J121" s="8"/>
    </row>
    <row r="122" spans="1:21" x14ac:dyDescent="0.2">
      <c r="A122" s="54"/>
      <c r="B122" s="55"/>
      <c r="C122" s="56"/>
      <c r="D122" s="56"/>
      <c r="I122" s="8"/>
      <c r="J122" s="8"/>
    </row>
    <row r="123" spans="1:21" x14ac:dyDescent="0.2">
      <c r="A123" s="54"/>
      <c r="B123" s="55"/>
      <c r="C123" s="56"/>
      <c r="D123" s="56"/>
      <c r="I123" s="8"/>
      <c r="J123" s="8"/>
    </row>
    <row r="124" spans="1:21" x14ac:dyDescent="0.2">
      <c r="A124" s="32"/>
      <c r="I124" s="8"/>
      <c r="J124" s="8"/>
    </row>
    <row r="125" spans="1:21" x14ac:dyDescent="0.2">
      <c r="A125" s="367" t="s">
        <v>225</v>
      </c>
      <c r="B125" s="368"/>
      <c r="C125" s="368"/>
      <c r="D125" s="368"/>
      <c r="I125" s="8"/>
      <c r="J125" s="8"/>
    </row>
    <row r="126" spans="1:21" x14ac:dyDescent="0.2">
      <c r="A126" s="52">
        <f>COUNTIF($J$76:$J$109,B126)</f>
        <v>0</v>
      </c>
      <c r="B126" s="52" t="s">
        <v>170</v>
      </c>
      <c r="C126" s="356" t="s">
        <v>226</v>
      </c>
      <c r="D126" s="356"/>
      <c r="I126" s="8"/>
      <c r="J126" s="8"/>
    </row>
    <row r="127" spans="1:21" x14ac:dyDescent="0.2">
      <c r="A127" s="52">
        <f t="shared" ref="A127:A138" si="4">COUNTIF($J$76:$J$109,B127)</f>
        <v>0</v>
      </c>
      <c r="B127" s="52" t="s">
        <v>191</v>
      </c>
      <c r="C127" s="356" t="s">
        <v>227</v>
      </c>
      <c r="D127" s="356"/>
      <c r="I127" s="8"/>
      <c r="J127" s="8"/>
    </row>
    <row r="128" spans="1:21" x14ac:dyDescent="0.2">
      <c r="A128" s="52">
        <f t="shared" si="4"/>
        <v>0</v>
      </c>
      <c r="B128" s="52" t="s">
        <v>179</v>
      </c>
      <c r="C128" s="356" t="s">
        <v>228</v>
      </c>
      <c r="D128" s="356"/>
      <c r="I128" s="8"/>
      <c r="J128" s="8"/>
    </row>
    <row r="129" spans="1:10" x14ac:dyDescent="0.2">
      <c r="A129" s="52">
        <f t="shared" si="4"/>
        <v>0</v>
      </c>
      <c r="B129" s="52" t="s">
        <v>229</v>
      </c>
      <c r="C129" s="356" t="s">
        <v>230</v>
      </c>
      <c r="D129" s="356"/>
      <c r="I129" s="8"/>
      <c r="J129" s="8"/>
    </row>
    <row r="130" spans="1:10" x14ac:dyDescent="0.2">
      <c r="A130" s="52">
        <f t="shared" si="4"/>
        <v>0</v>
      </c>
      <c r="B130" s="52" t="s">
        <v>174</v>
      </c>
      <c r="C130" s="356" t="s">
        <v>231</v>
      </c>
      <c r="D130" s="356"/>
      <c r="I130" s="8"/>
      <c r="J130" s="8"/>
    </row>
    <row r="131" spans="1:10" x14ac:dyDescent="0.2">
      <c r="A131" s="52">
        <f t="shared" si="4"/>
        <v>0</v>
      </c>
      <c r="B131" s="52" t="s">
        <v>232</v>
      </c>
      <c r="C131" s="356" t="s">
        <v>233</v>
      </c>
      <c r="D131" s="356"/>
      <c r="I131" s="8"/>
      <c r="J131" s="8"/>
    </row>
    <row r="132" spans="1:10" x14ac:dyDescent="0.2">
      <c r="A132" s="52">
        <f t="shared" si="4"/>
        <v>0</v>
      </c>
      <c r="B132" s="52" t="s">
        <v>187</v>
      </c>
      <c r="C132" s="356" t="s">
        <v>234</v>
      </c>
      <c r="D132" s="356"/>
      <c r="I132" s="8"/>
      <c r="J132" s="8"/>
    </row>
    <row r="133" spans="1:10" x14ac:dyDescent="0.2">
      <c r="A133" s="52">
        <f t="shared" si="4"/>
        <v>0</v>
      </c>
      <c r="B133" s="52" t="s">
        <v>235</v>
      </c>
      <c r="C133" s="356" t="s">
        <v>236</v>
      </c>
      <c r="D133" s="356"/>
      <c r="I133" s="8"/>
      <c r="J133" s="8"/>
    </row>
    <row r="134" spans="1:10" x14ac:dyDescent="0.2">
      <c r="A134" s="52">
        <f t="shared" si="4"/>
        <v>0</v>
      </c>
      <c r="B134" s="52" t="s">
        <v>185</v>
      </c>
      <c r="C134" s="356" t="s">
        <v>237</v>
      </c>
      <c r="D134" s="356"/>
      <c r="I134" s="8"/>
      <c r="J134" s="8"/>
    </row>
    <row r="135" spans="1:10" x14ac:dyDescent="0.2">
      <c r="A135" s="52">
        <f t="shared" si="4"/>
        <v>0</v>
      </c>
      <c r="B135" s="52" t="s">
        <v>238</v>
      </c>
      <c r="C135" s="356" t="s">
        <v>239</v>
      </c>
      <c r="D135" s="356"/>
      <c r="I135" s="8"/>
      <c r="J135" s="8"/>
    </row>
    <row r="136" spans="1:10" x14ac:dyDescent="0.2">
      <c r="A136" s="52">
        <f>COUNTIF($J$76:$J$109,B136)</f>
        <v>0</v>
      </c>
      <c r="B136" s="52" t="s">
        <v>240</v>
      </c>
      <c r="C136" s="356" t="s">
        <v>241</v>
      </c>
      <c r="D136" s="356"/>
      <c r="I136" s="8"/>
      <c r="J136" s="8"/>
    </row>
    <row r="137" spans="1:10" x14ac:dyDescent="0.2">
      <c r="A137" s="52">
        <f>COUNTIF($J$76:$J$109,B137)</f>
        <v>0</v>
      </c>
      <c r="B137" s="52" t="s">
        <v>242</v>
      </c>
      <c r="C137" s="356" t="s">
        <v>243</v>
      </c>
      <c r="D137" s="356"/>
      <c r="I137" s="8"/>
      <c r="J137" s="8"/>
    </row>
    <row r="138" spans="1:10" x14ac:dyDescent="0.2">
      <c r="A138" s="52">
        <f t="shared" si="4"/>
        <v>0</v>
      </c>
      <c r="B138" s="52" t="s">
        <v>244</v>
      </c>
      <c r="C138" s="356" t="s">
        <v>245</v>
      </c>
      <c r="D138" s="356"/>
      <c r="I138" s="8"/>
      <c r="J138" s="8"/>
    </row>
    <row r="139" spans="1:10" x14ac:dyDescent="0.2">
      <c r="A139" s="32"/>
      <c r="I139" s="8"/>
      <c r="J139" s="8"/>
    </row>
    <row r="140" spans="1:10" x14ac:dyDescent="0.2">
      <c r="A140" s="32"/>
      <c r="I140" s="8"/>
      <c r="J140" s="8"/>
    </row>
    <row r="141" spans="1:10" x14ac:dyDescent="0.2">
      <c r="A141" s="32"/>
      <c r="I141" s="8"/>
      <c r="J141" s="8"/>
    </row>
    <row r="142" spans="1:10" x14ac:dyDescent="0.2">
      <c r="A142" s="32"/>
      <c r="I142" s="8"/>
      <c r="J142" s="8"/>
    </row>
    <row r="143" spans="1:10" x14ac:dyDescent="0.2">
      <c r="A143" s="32"/>
      <c r="I143" s="8"/>
      <c r="J143" s="8"/>
    </row>
    <row r="144" spans="1:10" x14ac:dyDescent="0.2">
      <c r="A144" s="32"/>
      <c r="I144" s="8"/>
      <c r="J144" s="8"/>
    </row>
    <row r="145" spans="1:10" ht="19" x14ac:dyDescent="0.2">
      <c r="A145" s="32"/>
      <c r="C145" s="349" t="s">
        <v>86</v>
      </c>
      <c r="D145" s="350"/>
      <c r="E145" s="350"/>
      <c r="F145" s="350"/>
      <c r="G145" s="351"/>
      <c r="I145" s="8"/>
      <c r="J145" s="8"/>
    </row>
    <row r="146" spans="1:10" ht="32" x14ac:dyDescent="0.2">
      <c r="A146" s="32"/>
      <c r="C146" s="68" t="s">
        <v>87</v>
      </c>
      <c r="D146" s="64" t="s">
        <v>88</v>
      </c>
      <c r="E146" s="64" t="s">
        <v>89</v>
      </c>
      <c r="F146" s="64" t="s">
        <v>90</v>
      </c>
      <c r="G146" s="66" t="s">
        <v>91</v>
      </c>
      <c r="I146" s="8"/>
      <c r="J146" s="8"/>
    </row>
    <row r="147" spans="1:10" x14ac:dyDescent="0.2">
      <c r="A147" s="32"/>
      <c r="C147" s="65"/>
      <c r="D147" s="65"/>
      <c r="E147" s="65"/>
      <c r="F147" s="65"/>
      <c r="G147" s="67">
        <f>SUM(B147:F147)</f>
        <v>0</v>
      </c>
      <c r="I147" s="8"/>
      <c r="J147" s="8"/>
    </row>
    <row r="148" spans="1:10" x14ac:dyDescent="0.2">
      <c r="A148" s="32"/>
      <c r="G148"/>
      <c r="I148" s="8"/>
      <c r="J148" s="8"/>
    </row>
    <row r="149" spans="1:10" x14ac:dyDescent="0.2">
      <c r="A149" s="32"/>
      <c r="I149" s="8"/>
      <c r="J149" s="8"/>
    </row>
    <row r="150" spans="1:10" x14ac:dyDescent="0.2">
      <c r="A150" s="32"/>
      <c r="I150" s="8"/>
      <c r="J150" s="8"/>
    </row>
    <row r="151" spans="1:10" x14ac:dyDescent="0.2">
      <c r="A151" s="32"/>
      <c r="I151" s="8"/>
      <c r="J151" s="8"/>
    </row>
    <row r="152" spans="1:10" x14ac:dyDescent="0.2">
      <c r="A152" s="32"/>
      <c r="I152" s="8"/>
      <c r="J152" s="8"/>
    </row>
    <row r="153" spans="1:10" x14ac:dyDescent="0.2">
      <c r="A153" s="32"/>
      <c r="I153" s="8"/>
      <c r="J153" s="8"/>
    </row>
    <row r="154" spans="1:10" x14ac:dyDescent="0.2">
      <c r="A154" s="32"/>
      <c r="I154" s="8"/>
      <c r="J154" s="8"/>
    </row>
    <row r="155" spans="1:10" x14ac:dyDescent="0.2">
      <c r="A155" s="32"/>
      <c r="I155" s="8"/>
      <c r="J155" s="8"/>
    </row>
    <row r="156" spans="1:10" x14ac:dyDescent="0.2">
      <c r="A156" s="32"/>
      <c r="I156" s="8"/>
      <c r="J156" s="8"/>
    </row>
    <row r="157" spans="1:10" x14ac:dyDescent="0.2">
      <c r="A157" s="32"/>
      <c r="I157" s="8"/>
      <c r="J157" s="8"/>
    </row>
    <row r="158" spans="1:10" x14ac:dyDescent="0.2">
      <c r="A158" s="32"/>
      <c r="I158" s="8"/>
      <c r="J158" s="8"/>
    </row>
    <row r="159" spans="1:10" x14ac:dyDescent="0.2">
      <c r="A159" s="32"/>
      <c r="I159" s="8"/>
      <c r="J159" s="8"/>
    </row>
    <row r="160" spans="1:10" x14ac:dyDescent="0.2">
      <c r="A160" s="32"/>
      <c r="I160" s="8"/>
      <c r="J160" s="8"/>
    </row>
    <row r="161" spans="1:10" x14ac:dyDescent="0.2">
      <c r="A161" s="32"/>
      <c r="I161" s="8"/>
      <c r="J161" s="8"/>
    </row>
    <row r="162" spans="1:10" x14ac:dyDescent="0.2">
      <c r="A162" s="32"/>
      <c r="I162" s="8"/>
      <c r="J162" s="8"/>
    </row>
    <row r="163" spans="1:10" x14ac:dyDescent="0.2">
      <c r="A163" s="32"/>
      <c r="I163" s="8"/>
      <c r="J163" s="8"/>
    </row>
    <row r="164" spans="1:10" x14ac:dyDescent="0.2">
      <c r="A164" s="32"/>
      <c r="I164" s="8"/>
      <c r="J164" s="8"/>
    </row>
    <row r="165" spans="1:10" x14ac:dyDescent="0.2">
      <c r="A165" s="32"/>
      <c r="I165" s="8"/>
      <c r="J165" s="8"/>
    </row>
    <row r="166" spans="1:10" x14ac:dyDescent="0.2">
      <c r="A166" s="32"/>
      <c r="I166" s="8"/>
      <c r="J166" s="8"/>
    </row>
    <row r="167" spans="1:10" x14ac:dyDescent="0.2">
      <c r="A167" s="32"/>
      <c r="I167" s="8"/>
      <c r="J167" s="8"/>
    </row>
    <row r="168" spans="1:10" x14ac:dyDescent="0.2">
      <c r="A168" s="32"/>
      <c r="I168" s="8"/>
      <c r="J168" s="8"/>
    </row>
    <row r="169" spans="1:10" x14ac:dyDescent="0.2">
      <c r="A169" s="32"/>
      <c r="I169" s="8"/>
      <c r="J169" s="8"/>
    </row>
    <row r="170" spans="1:10" x14ac:dyDescent="0.2">
      <c r="A170" s="32"/>
      <c r="I170" s="8"/>
      <c r="J170" s="8"/>
    </row>
    <row r="171" spans="1:10" x14ac:dyDescent="0.2">
      <c r="A171" s="32"/>
      <c r="I171" s="8"/>
      <c r="J171" s="8"/>
    </row>
    <row r="172" spans="1:10" x14ac:dyDescent="0.2">
      <c r="A172" s="32"/>
      <c r="I172" s="8"/>
      <c r="J172" s="8"/>
    </row>
    <row r="173" spans="1:10" x14ac:dyDescent="0.2">
      <c r="A173" s="32"/>
      <c r="I173" s="8"/>
      <c r="J173" s="8"/>
    </row>
    <row r="174" spans="1:10" x14ac:dyDescent="0.2">
      <c r="A174" s="32"/>
      <c r="I174" s="8"/>
      <c r="J174" s="8"/>
    </row>
    <row r="175" spans="1:10" x14ac:dyDescent="0.2">
      <c r="A175" s="32"/>
      <c r="I175" s="8"/>
      <c r="J175" s="8"/>
    </row>
    <row r="176" spans="1:10" x14ac:dyDescent="0.2">
      <c r="A176" s="32"/>
      <c r="I176" s="8"/>
      <c r="J176" s="8"/>
    </row>
    <row r="177" spans="1:10" x14ac:dyDescent="0.2">
      <c r="A177" s="32"/>
      <c r="I177" s="8"/>
      <c r="J177" s="8"/>
    </row>
    <row r="178" spans="1:10" x14ac:dyDescent="0.2">
      <c r="A178" s="32"/>
      <c r="I178" s="8"/>
      <c r="J178" s="8"/>
    </row>
    <row r="179" spans="1:10" x14ac:dyDescent="0.2">
      <c r="A179" s="32"/>
      <c r="I179" s="8"/>
      <c r="J179" s="8"/>
    </row>
    <row r="180" spans="1:10" x14ac:dyDescent="0.2">
      <c r="A180" s="32"/>
      <c r="I180" s="8"/>
      <c r="J180" s="8"/>
    </row>
    <row r="181" spans="1:10" x14ac:dyDescent="0.2">
      <c r="A181" s="32"/>
      <c r="I181" s="8"/>
      <c r="J181" s="8"/>
    </row>
    <row r="182" spans="1:10" x14ac:dyDescent="0.2">
      <c r="A182" s="32"/>
      <c r="I182" s="8"/>
      <c r="J182" s="8"/>
    </row>
    <row r="183" spans="1:10" x14ac:dyDescent="0.2">
      <c r="A183" s="32"/>
      <c r="I183" s="8"/>
      <c r="J183" s="8"/>
    </row>
    <row r="184" spans="1:10" x14ac:dyDescent="0.2">
      <c r="A184" s="32"/>
      <c r="I184" s="8"/>
      <c r="J184" s="8"/>
    </row>
    <row r="185" spans="1:10" x14ac:dyDescent="0.2">
      <c r="A185" s="32"/>
      <c r="I185" s="8"/>
      <c r="J185" s="8"/>
    </row>
    <row r="186" spans="1:10" x14ac:dyDescent="0.2">
      <c r="A186" s="32"/>
      <c r="I186" s="8"/>
      <c r="J186" s="8"/>
    </row>
    <row r="187" spans="1:10" x14ac:dyDescent="0.2">
      <c r="A187" s="32"/>
      <c r="I187" s="8"/>
      <c r="J187" s="8"/>
    </row>
    <row r="188" spans="1:10" x14ac:dyDescent="0.2">
      <c r="A188" s="32"/>
      <c r="I188" s="8"/>
      <c r="J188" s="8"/>
    </row>
    <row r="189" spans="1:10" x14ac:dyDescent="0.2">
      <c r="A189" s="32"/>
      <c r="I189" s="8"/>
      <c r="J189" s="8"/>
    </row>
    <row r="190" spans="1:10" x14ac:dyDescent="0.2">
      <c r="A190" s="32"/>
      <c r="I190" s="8"/>
      <c r="J190" s="8"/>
    </row>
    <row r="191" spans="1:10" x14ac:dyDescent="0.2">
      <c r="A191" s="32"/>
      <c r="I191" s="8"/>
      <c r="J191" s="8"/>
    </row>
    <row r="192" spans="1:10" x14ac:dyDescent="0.2">
      <c r="A192" s="32"/>
      <c r="I192" s="8"/>
      <c r="J192" s="8"/>
    </row>
    <row r="193" spans="1:10" x14ac:dyDescent="0.2">
      <c r="A193" s="32"/>
      <c r="I193" s="8"/>
      <c r="J193" s="8"/>
    </row>
    <row r="194" spans="1:10" x14ac:dyDescent="0.2">
      <c r="A194" s="32"/>
      <c r="I194" s="8"/>
      <c r="J194" s="8"/>
    </row>
    <row r="195" spans="1:10" x14ac:dyDescent="0.2">
      <c r="A195" s="32"/>
      <c r="I195" s="8"/>
      <c r="J195" s="8"/>
    </row>
    <row r="196" spans="1:10" x14ac:dyDescent="0.2">
      <c r="A196" s="32"/>
      <c r="I196" s="8"/>
      <c r="J196" s="8"/>
    </row>
    <row r="197" spans="1:10" x14ac:dyDescent="0.2">
      <c r="A197" s="32"/>
      <c r="I197" s="8"/>
      <c r="J197" s="8"/>
    </row>
    <row r="198" spans="1:10" x14ac:dyDescent="0.2">
      <c r="A198" s="32"/>
      <c r="I198" s="8"/>
      <c r="J198" s="8"/>
    </row>
    <row r="199" spans="1:10" x14ac:dyDescent="0.2">
      <c r="A199" s="32"/>
      <c r="I199" s="8"/>
      <c r="J199" s="8"/>
    </row>
    <row r="200" spans="1:10" x14ac:dyDescent="0.2">
      <c r="A200" s="32"/>
      <c r="I200" s="8"/>
      <c r="J200" s="8"/>
    </row>
    <row r="201" spans="1:10" x14ac:dyDescent="0.2">
      <c r="A201" s="32"/>
      <c r="I201" s="8"/>
      <c r="J201" s="8"/>
    </row>
    <row r="202" spans="1:10" x14ac:dyDescent="0.2">
      <c r="A202" s="32"/>
      <c r="I202" s="8"/>
      <c r="J202" s="8"/>
    </row>
    <row r="203" spans="1:10" x14ac:dyDescent="0.2">
      <c r="A203" s="32"/>
      <c r="I203" s="8"/>
      <c r="J203" s="8"/>
    </row>
    <row r="204" spans="1:10" x14ac:dyDescent="0.2">
      <c r="A204" s="32"/>
      <c r="I204" s="8"/>
      <c r="J204" s="8"/>
    </row>
    <row r="205" spans="1:10" x14ac:dyDescent="0.2">
      <c r="A205" s="32"/>
      <c r="I205" s="8"/>
      <c r="J205" s="8"/>
    </row>
    <row r="206" spans="1:10" x14ac:dyDescent="0.2">
      <c r="A206" s="32"/>
      <c r="I206" s="8"/>
      <c r="J206" s="8"/>
    </row>
    <row r="207" spans="1:10" x14ac:dyDescent="0.2">
      <c r="A207" s="32"/>
      <c r="I207" s="8"/>
      <c r="J207" s="8"/>
    </row>
    <row r="208" spans="1:10" x14ac:dyDescent="0.2">
      <c r="A208" s="32"/>
      <c r="I208" s="8"/>
      <c r="J208" s="8"/>
    </row>
    <row r="209" spans="1:10" x14ac:dyDescent="0.2">
      <c r="A209" s="32"/>
      <c r="I209" s="8"/>
      <c r="J209" s="8"/>
    </row>
    <row r="210" spans="1:10" x14ac:dyDescent="0.2">
      <c r="A210" s="32"/>
      <c r="I210" s="8"/>
      <c r="J210" s="8"/>
    </row>
    <row r="211" spans="1:10" x14ac:dyDescent="0.2">
      <c r="A211" s="32"/>
      <c r="I211" s="8"/>
      <c r="J211" s="8"/>
    </row>
    <row r="212" spans="1:10" x14ac:dyDescent="0.2">
      <c r="A212" s="32"/>
      <c r="I212" s="8"/>
      <c r="J212" s="8"/>
    </row>
    <row r="213" spans="1:10" x14ac:dyDescent="0.2">
      <c r="A213" s="32"/>
      <c r="I213" s="8"/>
      <c r="J213" s="8"/>
    </row>
    <row r="214" spans="1:10" x14ac:dyDescent="0.2">
      <c r="A214" s="32"/>
      <c r="I214" s="8"/>
      <c r="J214" s="8"/>
    </row>
    <row r="215" spans="1:10" x14ac:dyDescent="0.2">
      <c r="A215" s="32"/>
      <c r="I215" s="8"/>
      <c r="J215" s="8"/>
    </row>
    <row r="216" spans="1:10" x14ac:dyDescent="0.2">
      <c r="A216" s="32"/>
      <c r="I216" s="8"/>
      <c r="J216" s="8"/>
    </row>
    <row r="217" spans="1:10" x14ac:dyDescent="0.2">
      <c r="A217" s="32"/>
      <c r="I217" s="8"/>
      <c r="J217" s="8"/>
    </row>
    <row r="218" spans="1:10" x14ac:dyDescent="0.2">
      <c r="A218" s="32"/>
      <c r="I218" s="8"/>
      <c r="J218" s="8"/>
    </row>
    <row r="219" spans="1:10" x14ac:dyDescent="0.2">
      <c r="A219" s="32"/>
      <c r="I219" s="8"/>
      <c r="J219" s="8"/>
    </row>
    <row r="220" spans="1:10" x14ac:dyDescent="0.2">
      <c r="A220" s="32"/>
      <c r="I220" s="8"/>
      <c r="J220" s="8"/>
    </row>
    <row r="221" spans="1:10" x14ac:dyDescent="0.2">
      <c r="A221" s="32"/>
      <c r="I221" s="8"/>
      <c r="J221" s="8"/>
    </row>
    <row r="222" spans="1:10" x14ac:dyDescent="0.2">
      <c r="A222" s="32"/>
      <c r="I222" s="8"/>
      <c r="J222" s="8"/>
    </row>
    <row r="223" spans="1:10" x14ac:dyDescent="0.2">
      <c r="A223" s="32"/>
    </row>
    <row r="224" spans="1:10" x14ac:dyDescent="0.2">
      <c r="A224" s="32"/>
    </row>
    <row r="225" spans="1:1" x14ac:dyDescent="0.2">
      <c r="A225" s="32"/>
    </row>
    <row r="226" spans="1:1" x14ac:dyDescent="0.2">
      <c r="A226" s="32"/>
    </row>
    <row r="227" spans="1:1" x14ac:dyDescent="0.2">
      <c r="A227" s="32"/>
    </row>
    <row r="228" spans="1:1" x14ac:dyDescent="0.2">
      <c r="A228" s="32"/>
    </row>
    <row r="229" spans="1:1" x14ac:dyDescent="0.2">
      <c r="A229" s="32"/>
    </row>
    <row r="230" spans="1:1" x14ac:dyDescent="0.2">
      <c r="A230" s="32"/>
    </row>
    <row r="231" spans="1:1" x14ac:dyDescent="0.2">
      <c r="A231" s="32"/>
    </row>
    <row r="232" spans="1:1" x14ac:dyDescent="0.2">
      <c r="A232" s="32"/>
    </row>
    <row r="233" spans="1:1" x14ac:dyDescent="0.2">
      <c r="A233" s="32"/>
    </row>
    <row r="234" spans="1:1" x14ac:dyDescent="0.2">
      <c r="A234" s="32"/>
    </row>
    <row r="235" spans="1:1" x14ac:dyDescent="0.2">
      <c r="A235" s="32"/>
    </row>
    <row r="236" spans="1:1" x14ac:dyDescent="0.2">
      <c r="A236" s="32"/>
    </row>
    <row r="237" spans="1:1" x14ac:dyDescent="0.2">
      <c r="A237" s="32"/>
    </row>
    <row r="238" spans="1:1" x14ac:dyDescent="0.2">
      <c r="A238" s="32"/>
    </row>
    <row r="239" spans="1:1" x14ac:dyDescent="0.2">
      <c r="A239" s="32"/>
    </row>
    <row r="240" spans="1:1" x14ac:dyDescent="0.2">
      <c r="A240" s="32"/>
    </row>
    <row r="241" spans="1:1" x14ac:dyDescent="0.2">
      <c r="A241" s="32"/>
    </row>
    <row r="242" spans="1:1" x14ac:dyDescent="0.2">
      <c r="A242" s="32"/>
    </row>
    <row r="243" spans="1:1" x14ac:dyDescent="0.2">
      <c r="A243" s="32"/>
    </row>
    <row r="244" spans="1:1" x14ac:dyDescent="0.2">
      <c r="A244" s="32"/>
    </row>
    <row r="245" spans="1:1" x14ac:dyDescent="0.2">
      <c r="A245" s="32"/>
    </row>
    <row r="246" spans="1:1" x14ac:dyDescent="0.2">
      <c r="A246" s="32"/>
    </row>
    <row r="247" spans="1:1" x14ac:dyDescent="0.2">
      <c r="A247" s="32"/>
    </row>
    <row r="248" spans="1:1" x14ac:dyDescent="0.2">
      <c r="A248" s="32"/>
    </row>
  </sheetData>
  <autoFilter ref="A1:AH1" xr:uid="{00000000-0001-0000-0800-000000000000}"/>
  <mergeCells count="67">
    <mergeCell ref="AC63:AE63"/>
    <mergeCell ref="AF63:AH63"/>
    <mergeCell ref="C78:H78"/>
    <mergeCell ref="C63:D63"/>
    <mergeCell ref="T63:V63"/>
    <mergeCell ref="W63:Y63"/>
    <mergeCell ref="Z63:AB63"/>
    <mergeCell ref="M64:O64"/>
    <mergeCell ref="H65:I65"/>
    <mergeCell ref="A75:C75"/>
    <mergeCell ref="C76:H76"/>
    <mergeCell ref="C77:H77"/>
    <mergeCell ref="C90:H90"/>
    <mergeCell ref="C79:H79"/>
    <mergeCell ref="C80:H80"/>
    <mergeCell ref="C81:H81"/>
    <mergeCell ref="C82:H82"/>
    <mergeCell ref="C83:H83"/>
    <mergeCell ref="C84:H84"/>
    <mergeCell ref="C85:H85"/>
    <mergeCell ref="C86:H86"/>
    <mergeCell ref="C87:H87"/>
    <mergeCell ref="C88:H88"/>
    <mergeCell ref="C89:H89"/>
    <mergeCell ref="C102:H102"/>
    <mergeCell ref="C91:H91"/>
    <mergeCell ref="C92:H92"/>
    <mergeCell ref="C93:H93"/>
    <mergeCell ref="C94:H94"/>
    <mergeCell ref="C95:H95"/>
    <mergeCell ref="C96:H96"/>
    <mergeCell ref="C97:H97"/>
    <mergeCell ref="C98:H98"/>
    <mergeCell ref="C99:H99"/>
    <mergeCell ref="C100:H100"/>
    <mergeCell ref="C101:H101"/>
    <mergeCell ref="C115:D115"/>
    <mergeCell ref="C103:H103"/>
    <mergeCell ref="C104:H104"/>
    <mergeCell ref="C105:H105"/>
    <mergeCell ref="C106:H106"/>
    <mergeCell ref="A108:D108"/>
    <mergeCell ref="C109:D109"/>
    <mergeCell ref="C110:D110"/>
    <mergeCell ref="C111:D111"/>
    <mergeCell ref="C112:D112"/>
    <mergeCell ref="C113:D113"/>
    <mergeCell ref="C114:D114"/>
    <mergeCell ref="C132:D132"/>
    <mergeCell ref="C116:D116"/>
    <mergeCell ref="C117:D117"/>
    <mergeCell ref="C118:D118"/>
    <mergeCell ref="C119:D119"/>
    <mergeCell ref="A125:D125"/>
    <mergeCell ref="C126:D126"/>
    <mergeCell ref="C127:D127"/>
    <mergeCell ref="C128:D128"/>
    <mergeCell ref="C129:D129"/>
    <mergeCell ref="C130:D130"/>
    <mergeCell ref="C131:D131"/>
    <mergeCell ref="C145:G145"/>
    <mergeCell ref="C133:D133"/>
    <mergeCell ref="C134:D134"/>
    <mergeCell ref="C135:D135"/>
    <mergeCell ref="C136:D136"/>
    <mergeCell ref="C137:D137"/>
    <mergeCell ref="C138:D138"/>
  </mergeCells>
  <dataValidations count="2">
    <dataValidation type="list" allowBlank="1" showInputMessage="1" showErrorMessage="1" sqref="J76:J106" xr:uid="{EA50F95B-CA87-4E03-9B2A-76F511CF81A2}">
      <formula1>$B$125:$B$138</formula1>
    </dataValidation>
    <dataValidation type="list" allowBlank="1" showInputMessage="1" showErrorMessage="1" sqref="I76:I106" xr:uid="{1B162B6B-AB5F-49A6-947C-5B9B5DC4595C}">
      <formula1>$B$109:$B$119</formula1>
    </dataValidation>
  </dataValidation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FE13F-CBA1-4F57-A5F3-6375ACC6F58A}">
  <sheetPr codeName="Hoja28">
    <tabColor rgb="FF92D050"/>
    <pageSetUpPr fitToPage="1"/>
  </sheetPr>
  <dimension ref="A1:W91"/>
  <sheetViews>
    <sheetView showGridLines="0" tabSelected="1" zoomScaleNormal="100" workbookViewId="0">
      <pane xSplit="2" ySplit="1" topLeftCell="C2" activePane="bottomRight" state="frozen"/>
      <selection pane="topRight" activeCell="C1" sqref="C1"/>
      <selection pane="bottomLeft" activeCell="A2" sqref="A2"/>
      <selection pane="bottomRight" activeCell="F21" sqref="F21"/>
    </sheetView>
  </sheetViews>
  <sheetFormatPr baseColWidth="10" defaultColWidth="11.6640625" defaultRowHeight="15" customHeight="1" x14ac:dyDescent="0.2"/>
  <cols>
    <col min="1" max="1" width="3.6640625" customWidth="1"/>
    <col min="2" max="2" width="11.6640625" customWidth="1"/>
    <col min="3" max="3" width="15.5" customWidth="1"/>
    <col min="4" max="4" width="27.5" style="77" bestFit="1" customWidth="1"/>
    <col min="5" max="5" width="18.33203125" customWidth="1"/>
    <col min="6" max="6" width="24.33203125" customWidth="1"/>
    <col min="7" max="7" width="11.6640625" customWidth="1"/>
    <col min="8" max="8" width="13.1640625" style="312" customWidth="1"/>
    <col min="9" max="9" width="11.1640625" customWidth="1"/>
    <col min="10" max="10" width="13.1640625" customWidth="1"/>
    <col min="11" max="11" width="15.33203125" style="338" customWidth="1"/>
    <col min="12" max="12" width="13.1640625" style="284" customWidth="1"/>
    <col min="13" max="13" width="6.33203125" style="331" customWidth="1"/>
    <col min="14" max="14" width="12.83203125" style="319" customWidth="1"/>
    <col min="15" max="15" width="6.5" customWidth="1"/>
    <col min="16" max="16" width="11.83203125" style="321" customWidth="1"/>
    <col min="17" max="17" width="7" customWidth="1"/>
    <col min="18" max="18" width="6.5" customWidth="1"/>
    <col min="19" max="19" width="5.5" customWidth="1"/>
    <col min="20" max="20" width="9.5" style="326" customWidth="1"/>
    <col min="21" max="21" width="29.5" customWidth="1"/>
    <col min="22" max="23" width="14.33203125" customWidth="1"/>
    <col min="24" max="24" width="16.5" bestFit="1" customWidth="1"/>
    <col min="25" max="25" width="33.33203125" bestFit="1" customWidth="1"/>
  </cols>
  <sheetData>
    <row r="1" spans="1:23" x14ac:dyDescent="0.2">
      <c r="A1" s="333" t="s">
        <v>118</v>
      </c>
      <c r="B1" s="272" t="s">
        <v>92</v>
      </c>
      <c r="C1" s="157" t="s">
        <v>859</v>
      </c>
      <c r="D1" s="310" t="s">
        <v>851</v>
      </c>
      <c r="E1" s="157" t="s">
        <v>852</v>
      </c>
      <c r="F1" s="157" t="s">
        <v>858</v>
      </c>
      <c r="G1" s="168" t="s">
        <v>853</v>
      </c>
      <c r="H1" s="313" t="s">
        <v>854</v>
      </c>
      <c r="I1" s="169" t="s">
        <v>855</v>
      </c>
      <c r="J1" s="158" t="s">
        <v>860</v>
      </c>
      <c r="K1" s="337" t="s">
        <v>861</v>
      </c>
      <c r="L1" s="315" t="s">
        <v>857</v>
      </c>
      <c r="M1" s="329" t="s">
        <v>862</v>
      </c>
      <c r="N1" s="318" t="s">
        <v>863</v>
      </c>
      <c r="O1" s="339" t="s">
        <v>864</v>
      </c>
      <c r="P1" s="320">
        <f ca="1">NOW()</f>
        <v>46164.778223726855</v>
      </c>
      <c r="Q1" s="327" t="s">
        <v>865</v>
      </c>
      <c r="R1" s="328" t="s">
        <v>866</v>
      </c>
      <c r="S1" s="328" t="s">
        <v>867</v>
      </c>
      <c r="T1" s="169" t="s">
        <v>856</v>
      </c>
      <c r="U1" s="315" t="s">
        <v>868</v>
      </c>
      <c r="V1" s="315" t="s">
        <v>869</v>
      </c>
      <c r="W1" s="315" t="s">
        <v>870</v>
      </c>
    </row>
    <row r="2" spans="1:23" ht="15" customHeight="1" x14ac:dyDescent="0.2">
      <c r="A2" s="342" t="s">
        <v>27</v>
      </c>
      <c r="B2" s="183">
        <v>2167</v>
      </c>
      <c r="C2" s="159" t="s">
        <v>29</v>
      </c>
      <c r="D2" s="316" t="s">
        <v>871</v>
      </c>
      <c r="E2" s="160" t="s">
        <v>31</v>
      </c>
      <c r="F2" s="317" t="s">
        <v>570</v>
      </c>
      <c r="G2" s="161" t="s">
        <v>106</v>
      </c>
      <c r="H2" s="314" t="s">
        <v>723</v>
      </c>
      <c r="I2" s="161">
        <v>4107222</v>
      </c>
      <c r="J2" s="162">
        <v>45960</v>
      </c>
      <c r="K2" s="336"/>
      <c r="L2" s="283">
        <v>128500000</v>
      </c>
      <c r="M2" s="330"/>
      <c r="N2" s="323" t="s">
        <v>872</v>
      </c>
      <c r="O2" s="340">
        <v>2265</v>
      </c>
      <c r="P2" s="322" t="s">
        <v>873</v>
      </c>
      <c r="Q2" s="311" t="b">
        <v>0</v>
      </c>
      <c r="R2" s="311" t="b">
        <v>1</v>
      </c>
      <c r="S2" s="311" t="b">
        <v>1</v>
      </c>
      <c r="T2" s="324" t="s">
        <v>874</v>
      </c>
      <c r="U2" s="182" t="s">
        <v>875</v>
      </c>
      <c r="V2" s="182">
        <v>2793</v>
      </c>
      <c r="W2" s="182" t="s">
        <v>584</v>
      </c>
    </row>
    <row r="3" spans="1:23" ht="15" customHeight="1" x14ac:dyDescent="0.2">
      <c r="A3" s="342" t="s">
        <v>27</v>
      </c>
      <c r="B3" s="183">
        <v>2177</v>
      </c>
      <c r="C3" s="159" t="s">
        <v>29</v>
      </c>
      <c r="D3" s="316" t="s">
        <v>871</v>
      </c>
      <c r="E3" s="160" t="s">
        <v>31</v>
      </c>
      <c r="F3" s="317" t="s">
        <v>876</v>
      </c>
      <c r="G3" s="161" t="s">
        <v>106</v>
      </c>
      <c r="H3" s="314" t="s">
        <v>723</v>
      </c>
      <c r="I3" s="161">
        <v>4107422</v>
      </c>
      <c r="J3" s="162">
        <v>46044</v>
      </c>
      <c r="K3" s="336" t="s">
        <v>877</v>
      </c>
      <c r="L3" s="283">
        <v>101300000</v>
      </c>
      <c r="M3" s="330"/>
      <c r="N3" s="323" t="s">
        <v>872</v>
      </c>
      <c r="O3" s="340">
        <v>2321</v>
      </c>
      <c r="P3" s="322" t="s">
        <v>873</v>
      </c>
      <c r="Q3" s="311" t="b">
        <v>0</v>
      </c>
      <c r="R3" s="311" t="b">
        <v>1</v>
      </c>
      <c r="S3" s="311" t="b">
        <v>1</v>
      </c>
      <c r="T3" s="324" t="s">
        <v>878</v>
      </c>
      <c r="U3" s="182" t="s">
        <v>875</v>
      </c>
      <c r="V3" s="182">
        <v>2876</v>
      </c>
      <c r="W3" s="182" t="s">
        <v>584</v>
      </c>
    </row>
    <row r="4" spans="1:23" ht="15" customHeight="1" x14ac:dyDescent="0.2">
      <c r="A4" s="342" t="s">
        <v>27</v>
      </c>
      <c r="B4" s="183">
        <v>2178</v>
      </c>
      <c r="C4" s="159" t="s">
        <v>29</v>
      </c>
      <c r="D4" s="316" t="s">
        <v>871</v>
      </c>
      <c r="E4" s="160" t="s">
        <v>31</v>
      </c>
      <c r="F4" s="317" t="s">
        <v>876</v>
      </c>
      <c r="G4" s="161" t="s">
        <v>106</v>
      </c>
      <c r="H4" s="314" t="s">
        <v>723</v>
      </c>
      <c r="I4" s="161">
        <v>4107456</v>
      </c>
      <c r="J4" s="162">
        <v>46091</v>
      </c>
      <c r="K4" s="336" t="s">
        <v>879</v>
      </c>
      <c r="L4" s="283">
        <v>101300000</v>
      </c>
      <c r="M4" s="330"/>
      <c r="N4" s="323" t="s">
        <v>872</v>
      </c>
      <c r="O4" s="340">
        <v>2320</v>
      </c>
      <c r="P4" s="322" t="s">
        <v>873</v>
      </c>
      <c r="Q4" s="311" t="b">
        <v>0</v>
      </c>
      <c r="R4" s="311" t="b">
        <v>1</v>
      </c>
      <c r="S4" s="311" t="b">
        <v>1</v>
      </c>
      <c r="T4" s="325" t="s">
        <v>880</v>
      </c>
      <c r="U4" s="182" t="s">
        <v>240</v>
      </c>
      <c r="V4" s="182">
        <v>2961</v>
      </c>
      <c r="W4" s="182" t="s">
        <v>584</v>
      </c>
    </row>
    <row r="5" spans="1:23" ht="15" customHeight="1" x14ac:dyDescent="0.2">
      <c r="A5" s="342" t="s">
        <v>27</v>
      </c>
      <c r="B5" s="183">
        <v>2230</v>
      </c>
      <c r="C5" s="159" t="s">
        <v>29</v>
      </c>
      <c r="D5" s="316" t="s">
        <v>881</v>
      </c>
      <c r="E5" s="160" t="s">
        <v>784</v>
      </c>
      <c r="F5" s="160" t="s">
        <v>882</v>
      </c>
      <c r="G5" s="161" t="s">
        <v>68</v>
      </c>
      <c r="H5" s="314" t="s">
        <v>883</v>
      </c>
      <c r="I5" s="161"/>
      <c r="J5" s="162" t="s">
        <v>243</v>
      </c>
      <c r="K5" s="336"/>
      <c r="L5" s="283">
        <v>9625000</v>
      </c>
      <c r="M5" s="330"/>
      <c r="N5" s="323" t="s">
        <v>884</v>
      </c>
      <c r="O5" s="340">
        <v>2193</v>
      </c>
      <c r="P5" s="322" t="s">
        <v>885</v>
      </c>
      <c r="Q5" s="311" t="b">
        <v>0</v>
      </c>
      <c r="R5" s="311" t="b">
        <v>0</v>
      </c>
      <c r="S5" s="311" t="b">
        <v>0</v>
      </c>
      <c r="T5" s="324"/>
      <c r="U5" s="182"/>
      <c r="V5" s="182"/>
      <c r="W5" s="182"/>
    </row>
    <row r="6" spans="1:23" ht="15" customHeight="1" x14ac:dyDescent="0.2">
      <c r="A6" s="342" t="s">
        <v>27</v>
      </c>
      <c r="B6" s="183">
        <v>2246</v>
      </c>
      <c r="C6" s="159" t="s">
        <v>29</v>
      </c>
      <c r="D6" s="316" t="s">
        <v>871</v>
      </c>
      <c r="E6" s="160" t="s">
        <v>31</v>
      </c>
      <c r="F6" s="317" t="s">
        <v>886</v>
      </c>
      <c r="G6" s="161" t="s">
        <v>106</v>
      </c>
      <c r="H6" s="314" t="s">
        <v>723</v>
      </c>
      <c r="I6" s="161">
        <v>4107593</v>
      </c>
      <c r="J6" s="162">
        <v>46090</v>
      </c>
      <c r="K6" s="336" t="s">
        <v>887</v>
      </c>
      <c r="L6" s="283">
        <v>96900000</v>
      </c>
      <c r="M6" s="330"/>
      <c r="N6" s="323" t="s">
        <v>872</v>
      </c>
      <c r="O6" s="340">
        <v>2319</v>
      </c>
      <c r="P6" s="322" t="s">
        <v>873</v>
      </c>
      <c r="Q6" s="311" t="b">
        <v>1</v>
      </c>
      <c r="R6" s="311" t="b">
        <v>1</v>
      </c>
      <c r="S6" s="311" t="b">
        <v>1</v>
      </c>
      <c r="T6" s="324" t="s">
        <v>888</v>
      </c>
      <c r="U6" s="182" t="s">
        <v>875</v>
      </c>
      <c r="V6" s="182">
        <v>2959</v>
      </c>
      <c r="W6" s="182" t="s">
        <v>584</v>
      </c>
    </row>
    <row r="7" spans="1:23" ht="15" customHeight="1" x14ac:dyDescent="0.2">
      <c r="A7" s="342" t="s">
        <v>27</v>
      </c>
      <c r="B7" s="183">
        <v>2371</v>
      </c>
      <c r="C7" s="159" t="s">
        <v>29</v>
      </c>
      <c r="D7" s="316" t="s">
        <v>889</v>
      </c>
      <c r="E7" s="160" t="s">
        <v>31</v>
      </c>
      <c r="F7" s="160" t="s">
        <v>890</v>
      </c>
      <c r="G7" s="161" t="s">
        <v>23</v>
      </c>
      <c r="H7" s="314" t="s">
        <v>891</v>
      </c>
      <c r="I7" s="161">
        <v>628547</v>
      </c>
      <c r="J7" s="162">
        <v>46087</v>
      </c>
      <c r="K7" s="336">
        <v>46134</v>
      </c>
      <c r="L7" s="283">
        <v>55800000</v>
      </c>
      <c r="M7" s="330"/>
      <c r="N7" s="323"/>
      <c r="O7" s="340"/>
      <c r="Q7" s="311" t="b">
        <v>0</v>
      </c>
      <c r="R7" s="311" t="b">
        <v>1</v>
      </c>
      <c r="S7" s="311" t="b">
        <v>1</v>
      </c>
      <c r="T7" s="324" t="s">
        <v>892</v>
      </c>
      <c r="U7" s="182" t="s">
        <v>893</v>
      </c>
      <c r="V7" s="182">
        <v>2873</v>
      </c>
      <c r="W7" s="182" t="s">
        <v>584</v>
      </c>
    </row>
    <row r="8" spans="1:23" ht="15" customHeight="1" x14ac:dyDescent="0.2">
      <c r="A8" s="342" t="s">
        <v>27</v>
      </c>
      <c r="B8" s="183">
        <v>2372</v>
      </c>
      <c r="C8" s="159" t="s">
        <v>29</v>
      </c>
      <c r="D8" s="316" t="s">
        <v>889</v>
      </c>
      <c r="E8" s="160" t="s">
        <v>31</v>
      </c>
      <c r="F8" s="160" t="s">
        <v>890</v>
      </c>
      <c r="G8" s="161" t="s">
        <v>23</v>
      </c>
      <c r="H8" s="314" t="s">
        <v>36</v>
      </c>
      <c r="I8" s="161">
        <v>633361</v>
      </c>
      <c r="J8" s="162">
        <v>46127</v>
      </c>
      <c r="K8" s="336"/>
      <c r="L8" s="283">
        <v>55800000</v>
      </c>
      <c r="M8" s="330"/>
      <c r="N8" s="323"/>
      <c r="O8" s="340"/>
      <c r="Q8" s="311" t="b">
        <v>0</v>
      </c>
      <c r="R8" s="311" t="b">
        <v>1</v>
      </c>
      <c r="S8" s="311" t="b">
        <v>1</v>
      </c>
      <c r="T8" s="324" t="s">
        <v>894</v>
      </c>
      <c r="U8" s="182" t="s">
        <v>893</v>
      </c>
      <c r="V8" s="182">
        <v>2992</v>
      </c>
      <c r="W8" s="182" t="s">
        <v>584</v>
      </c>
    </row>
    <row r="9" spans="1:23" ht="15" customHeight="1" x14ac:dyDescent="0.2">
      <c r="A9" s="342" t="s">
        <v>27</v>
      </c>
      <c r="B9" s="183">
        <v>2377</v>
      </c>
      <c r="C9" s="159" t="s">
        <v>22</v>
      </c>
      <c r="D9" s="316" t="s">
        <v>48</v>
      </c>
      <c r="E9" s="160" t="s">
        <v>46</v>
      </c>
      <c r="F9" s="160" t="s">
        <v>895</v>
      </c>
      <c r="G9" s="161" t="s">
        <v>130</v>
      </c>
      <c r="H9" s="314" t="s">
        <v>131</v>
      </c>
      <c r="I9" s="161">
        <v>344218</v>
      </c>
      <c r="J9" s="162">
        <v>46085</v>
      </c>
      <c r="K9" s="336"/>
      <c r="L9" s="283">
        <v>87000000</v>
      </c>
      <c r="M9" s="330"/>
      <c r="N9" s="323" t="s">
        <v>896</v>
      </c>
      <c r="O9" s="340"/>
      <c r="P9" s="322" t="s">
        <v>897</v>
      </c>
      <c r="Q9" s="311" t="b">
        <v>0</v>
      </c>
      <c r="R9" s="311" t="b">
        <v>1</v>
      </c>
      <c r="S9" s="311" t="b">
        <v>1</v>
      </c>
      <c r="T9" s="324"/>
      <c r="U9" s="182" t="s">
        <v>240</v>
      </c>
      <c r="V9" s="182">
        <v>2946</v>
      </c>
      <c r="W9" s="182" t="s">
        <v>898</v>
      </c>
    </row>
    <row r="10" spans="1:23" ht="15" customHeight="1" x14ac:dyDescent="0.2">
      <c r="A10" s="342" t="s">
        <v>27</v>
      </c>
      <c r="B10" s="183">
        <v>2381</v>
      </c>
      <c r="C10" s="159" t="s">
        <v>22</v>
      </c>
      <c r="D10" s="316" t="s">
        <v>899</v>
      </c>
      <c r="E10" s="160" t="s">
        <v>31</v>
      </c>
      <c r="F10" s="160" t="s">
        <v>900</v>
      </c>
      <c r="G10" s="161" t="s">
        <v>106</v>
      </c>
      <c r="H10" s="314"/>
      <c r="I10" s="161"/>
      <c r="J10" s="162" t="s">
        <v>243</v>
      </c>
      <c r="K10" s="336"/>
      <c r="L10" s="283"/>
      <c r="M10" s="330"/>
      <c r="N10" s="323"/>
      <c r="O10" s="340"/>
      <c r="P10" s="322" t="s">
        <v>901</v>
      </c>
      <c r="Q10" s="311" t="b">
        <v>0</v>
      </c>
      <c r="R10" s="311" t="b">
        <v>0</v>
      </c>
      <c r="S10" s="311" t="b">
        <v>0</v>
      </c>
      <c r="T10" s="324"/>
      <c r="U10" s="182"/>
      <c r="V10" s="182"/>
      <c r="W10" s="182"/>
    </row>
    <row r="11" spans="1:23" ht="15" customHeight="1" x14ac:dyDescent="0.2">
      <c r="A11" s="342" t="s">
        <v>27</v>
      </c>
      <c r="B11" s="183">
        <v>2386</v>
      </c>
      <c r="C11" s="159" t="s">
        <v>22</v>
      </c>
      <c r="D11" s="316" t="s">
        <v>899</v>
      </c>
      <c r="E11" s="160" t="s">
        <v>31</v>
      </c>
      <c r="F11" s="160" t="s">
        <v>902</v>
      </c>
      <c r="G11" s="161" t="s">
        <v>106</v>
      </c>
      <c r="H11" s="314"/>
      <c r="I11" s="161"/>
      <c r="J11" s="162" t="s">
        <v>243</v>
      </c>
      <c r="K11" s="336"/>
      <c r="L11" s="283"/>
      <c r="M11" s="330"/>
      <c r="N11" s="323"/>
      <c r="O11" s="340"/>
      <c r="P11" s="322" t="s">
        <v>903</v>
      </c>
      <c r="Q11" s="311" t="b">
        <v>0</v>
      </c>
      <c r="R11" s="311" t="b">
        <v>0</v>
      </c>
      <c r="S11" s="311" t="b">
        <v>0</v>
      </c>
      <c r="T11" s="324"/>
      <c r="U11" s="182"/>
      <c r="V11" s="182"/>
      <c r="W11" s="182"/>
    </row>
    <row r="12" spans="1:23" ht="15" customHeight="1" x14ac:dyDescent="0.2">
      <c r="A12" s="342" t="s">
        <v>27</v>
      </c>
      <c r="B12" s="183">
        <v>2387</v>
      </c>
      <c r="C12" s="159" t="s">
        <v>22</v>
      </c>
      <c r="D12" s="316" t="s">
        <v>899</v>
      </c>
      <c r="E12" s="160" t="s">
        <v>24</v>
      </c>
      <c r="F12" s="160" t="s">
        <v>904</v>
      </c>
      <c r="G12" s="161" t="s">
        <v>106</v>
      </c>
      <c r="H12" s="314"/>
      <c r="I12" s="161"/>
      <c r="J12" s="162" t="s">
        <v>243</v>
      </c>
      <c r="K12" s="336"/>
      <c r="L12" s="283"/>
      <c r="M12" s="330"/>
      <c r="N12" s="323"/>
      <c r="O12" s="340"/>
      <c r="P12" s="322" t="s">
        <v>903</v>
      </c>
      <c r="Q12" s="311" t="b">
        <v>0</v>
      </c>
      <c r="R12" s="311" t="b">
        <v>0</v>
      </c>
      <c r="S12" s="311" t="b">
        <v>0</v>
      </c>
      <c r="T12" s="324"/>
      <c r="U12" s="182"/>
      <c r="V12" s="182"/>
      <c r="W12" s="182"/>
    </row>
    <row r="13" spans="1:23" ht="15" customHeight="1" x14ac:dyDescent="0.2">
      <c r="A13" s="342" t="s">
        <v>27</v>
      </c>
      <c r="B13" s="183">
        <v>2393</v>
      </c>
      <c r="C13" s="159" t="s">
        <v>905</v>
      </c>
      <c r="D13" s="316" t="s">
        <v>906</v>
      </c>
      <c r="E13" s="160" t="s">
        <v>24</v>
      </c>
      <c r="F13" s="160" t="s">
        <v>907</v>
      </c>
      <c r="G13" s="161" t="s">
        <v>44</v>
      </c>
      <c r="H13" s="314" t="s">
        <v>908</v>
      </c>
      <c r="I13" s="161">
        <v>20302</v>
      </c>
      <c r="J13" s="162">
        <v>46104</v>
      </c>
      <c r="K13" s="336" t="s">
        <v>909</v>
      </c>
      <c r="L13" s="283">
        <v>3500000</v>
      </c>
      <c r="M13" s="330"/>
      <c r="N13" s="323" t="s">
        <v>910</v>
      </c>
      <c r="O13" s="340"/>
      <c r="P13" s="322" t="s">
        <v>911</v>
      </c>
      <c r="Q13" s="311" t="b">
        <v>0</v>
      </c>
      <c r="R13" s="311" t="b">
        <v>1</v>
      </c>
      <c r="S13" s="311" t="b">
        <v>1</v>
      </c>
      <c r="T13" s="324"/>
      <c r="U13" s="182" t="s">
        <v>912</v>
      </c>
      <c r="V13" s="182">
        <v>2973</v>
      </c>
      <c r="W13" s="182" t="s">
        <v>584</v>
      </c>
    </row>
    <row r="14" spans="1:23" ht="15" customHeight="1" x14ac:dyDescent="0.2">
      <c r="A14" s="342" t="s">
        <v>27</v>
      </c>
      <c r="B14" s="335">
        <v>2401</v>
      </c>
      <c r="C14" s="159" t="s">
        <v>22</v>
      </c>
      <c r="D14" s="316" t="s">
        <v>913</v>
      </c>
      <c r="E14" s="160" t="s">
        <v>24</v>
      </c>
      <c r="F14" s="160" t="s">
        <v>485</v>
      </c>
      <c r="G14" s="161" t="s">
        <v>60</v>
      </c>
      <c r="H14" s="314" t="s">
        <v>61</v>
      </c>
      <c r="I14" s="332">
        <v>2315</v>
      </c>
      <c r="J14" s="162">
        <v>46128</v>
      </c>
      <c r="K14" s="336"/>
      <c r="L14" s="283">
        <v>32500000</v>
      </c>
      <c r="M14" s="330" t="s">
        <v>914</v>
      </c>
      <c r="N14" s="323" t="s">
        <v>915</v>
      </c>
      <c r="O14" s="340">
        <v>1583</v>
      </c>
      <c r="P14" s="322" t="s">
        <v>916</v>
      </c>
      <c r="Q14" s="311" t="b">
        <v>1</v>
      </c>
      <c r="R14" s="311" t="b">
        <v>1</v>
      </c>
      <c r="S14" s="311" t="b">
        <v>1</v>
      </c>
      <c r="T14" s="324"/>
      <c r="U14" s="182" t="s">
        <v>917</v>
      </c>
      <c r="V14" s="182">
        <v>2996</v>
      </c>
      <c r="W14" s="182" t="s">
        <v>914</v>
      </c>
    </row>
    <row r="15" spans="1:23" ht="16.5" customHeight="1" x14ac:dyDescent="0.2">
      <c r="A15" s="342" t="s">
        <v>27</v>
      </c>
      <c r="B15" s="183">
        <v>2404</v>
      </c>
      <c r="C15" s="159" t="s">
        <v>22</v>
      </c>
      <c r="D15" s="316" t="s">
        <v>913</v>
      </c>
      <c r="E15" s="160" t="s">
        <v>24</v>
      </c>
      <c r="F15" s="160" t="s">
        <v>485</v>
      </c>
      <c r="G15" s="161" t="s">
        <v>60</v>
      </c>
      <c r="H15" s="314" t="s">
        <v>61</v>
      </c>
      <c r="I15" s="161">
        <v>2321</v>
      </c>
      <c r="J15" s="162">
        <v>46128</v>
      </c>
      <c r="K15" s="336"/>
      <c r="L15" s="283">
        <v>32500000</v>
      </c>
      <c r="M15" s="330" t="s">
        <v>914</v>
      </c>
      <c r="N15" s="323" t="s">
        <v>915</v>
      </c>
      <c r="O15" s="340">
        <v>1582</v>
      </c>
      <c r="P15" s="322" t="s">
        <v>916</v>
      </c>
      <c r="Q15" s="311" t="b">
        <v>1</v>
      </c>
      <c r="R15" s="311" t="b">
        <v>1</v>
      </c>
      <c r="S15" s="311" t="b">
        <v>1</v>
      </c>
      <c r="T15" s="324"/>
      <c r="U15" s="182" t="s">
        <v>917</v>
      </c>
      <c r="V15" s="182">
        <v>2994</v>
      </c>
      <c r="W15" s="182" t="s">
        <v>914</v>
      </c>
    </row>
    <row r="16" spans="1:23" ht="15" customHeight="1" x14ac:dyDescent="0.2">
      <c r="A16" s="342" t="s">
        <v>27</v>
      </c>
      <c r="B16" s="183">
        <v>2405</v>
      </c>
      <c r="C16" s="159" t="s">
        <v>22</v>
      </c>
      <c r="D16" s="316" t="s">
        <v>913</v>
      </c>
      <c r="E16" s="160" t="s">
        <v>24</v>
      </c>
      <c r="F16" s="160" t="s">
        <v>485</v>
      </c>
      <c r="G16" s="161" t="s">
        <v>60</v>
      </c>
      <c r="H16" s="314" t="s">
        <v>61</v>
      </c>
      <c r="I16" s="161">
        <v>2308</v>
      </c>
      <c r="J16" s="162">
        <v>46128</v>
      </c>
      <c r="K16" s="336"/>
      <c r="L16" s="283">
        <v>32500000</v>
      </c>
      <c r="M16" s="330" t="s">
        <v>914</v>
      </c>
      <c r="N16" s="323" t="s">
        <v>915</v>
      </c>
      <c r="O16" s="340"/>
      <c r="P16" s="322" t="s">
        <v>916</v>
      </c>
      <c r="Q16" s="311" t="b">
        <v>0</v>
      </c>
      <c r="R16" s="311" t="b">
        <v>1</v>
      </c>
      <c r="S16" s="311" t="b">
        <v>1</v>
      </c>
      <c r="T16" s="324"/>
      <c r="U16" s="182" t="s">
        <v>917</v>
      </c>
      <c r="V16" s="182">
        <v>2995</v>
      </c>
      <c r="W16" s="182" t="s">
        <v>914</v>
      </c>
    </row>
    <row r="17" spans="1:23" ht="15" customHeight="1" x14ac:dyDescent="0.2">
      <c r="A17" s="342" t="s">
        <v>27</v>
      </c>
      <c r="B17" s="183">
        <v>2406</v>
      </c>
      <c r="C17" s="159" t="s">
        <v>22</v>
      </c>
      <c r="D17" s="316" t="s">
        <v>913</v>
      </c>
      <c r="E17" s="160" t="s">
        <v>24</v>
      </c>
      <c r="F17" s="160" t="s">
        <v>485</v>
      </c>
      <c r="G17" s="161" t="s">
        <v>60</v>
      </c>
      <c r="H17" s="314" t="s">
        <v>61</v>
      </c>
      <c r="I17" s="161">
        <v>2340</v>
      </c>
      <c r="J17" s="162">
        <v>46128</v>
      </c>
      <c r="K17" s="336"/>
      <c r="L17" s="283">
        <v>32500000</v>
      </c>
      <c r="M17" s="330" t="s">
        <v>914</v>
      </c>
      <c r="N17" s="323" t="s">
        <v>915</v>
      </c>
      <c r="O17" s="340"/>
      <c r="P17" s="322" t="s">
        <v>916</v>
      </c>
      <c r="Q17" s="311" t="b">
        <v>0</v>
      </c>
      <c r="R17" s="311" t="b">
        <v>1</v>
      </c>
      <c r="S17" s="311" t="b">
        <v>1</v>
      </c>
      <c r="T17" s="324"/>
      <c r="U17" s="182" t="s">
        <v>917</v>
      </c>
      <c r="V17" s="182">
        <v>2993</v>
      </c>
      <c r="W17" s="182" t="s">
        <v>914</v>
      </c>
    </row>
    <row r="18" spans="1:23" ht="15" customHeight="1" x14ac:dyDescent="0.2">
      <c r="A18" s="342" t="s">
        <v>27</v>
      </c>
      <c r="B18" s="183">
        <v>2407</v>
      </c>
      <c r="C18" s="159" t="s">
        <v>22</v>
      </c>
      <c r="D18" s="316" t="s">
        <v>913</v>
      </c>
      <c r="E18" s="160" t="s">
        <v>24</v>
      </c>
      <c r="F18" s="160" t="s">
        <v>485</v>
      </c>
      <c r="G18" s="161" t="s">
        <v>60</v>
      </c>
      <c r="H18" s="314" t="s">
        <v>61</v>
      </c>
      <c r="I18" s="161">
        <v>2339</v>
      </c>
      <c r="J18" s="162">
        <v>46140</v>
      </c>
      <c r="K18" s="336"/>
      <c r="L18" s="283">
        <v>32500000</v>
      </c>
      <c r="M18" s="330" t="s">
        <v>914</v>
      </c>
      <c r="N18" s="323" t="s">
        <v>915</v>
      </c>
      <c r="O18" s="340"/>
      <c r="P18" s="322" t="s">
        <v>916</v>
      </c>
      <c r="Q18" s="311" t="b">
        <v>0</v>
      </c>
      <c r="R18" s="311" t="b">
        <v>1</v>
      </c>
      <c r="S18" s="311" t="b">
        <v>1</v>
      </c>
      <c r="T18" s="324"/>
      <c r="U18" s="182" t="s">
        <v>917</v>
      </c>
      <c r="V18" s="182">
        <v>3010</v>
      </c>
      <c r="W18" s="182" t="s">
        <v>898</v>
      </c>
    </row>
    <row r="19" spans="1:23" ht="15" customHeight="1" x14ac:dyDescent="0.2">
      <c r="A19" s="342" t="s">
        <v>27</v>
      </c>
      <c r="B19" s="183">
        <v>2408</v>
      </c>
      <c r="C19" s="159" t="s">
        <v>22</v>
      </c>
      <c r="D19" s="316" t="s">
        <v>913</v>
      </c>
      <c r="E19" s="160" t="s">
        <v>24</v>
      </c>
      <c r="F19" s="160" t="s">
        <v>485</v>
      </c>
      <c r="G19" s="161" t="s">
        <v>60</v>
      </c>
      <c r="H19" s="314" t="s">
        <v>61</v>
      </c>
      <c r="I19" s="161">
        <v>2329</v>
      </c>
      <c r="J19" s="162">
        <v>46140</v>
      </c>
      <c r="K19" s="336"/>
      <c r="L19" s="283">
        <v>32500000</v>
      </c>
      <c r="M19" s="330" t="s">
        <v>914</v>
      </c>
      <c r="N19" s="323" t="s">
        <v>915</v>
      </c>
      <c r="O19" s="340"/>
      <c r="P19" s="322" t="s">
        <v>916</v>
      </c>
      <c r="Q19" s="311" t="b">
        <v>0</v>
      </c>
      <c r="R19" s="311" t="b">
        <v>1</v>
      </c>
      <c r="S19" s="311" t="b">
        <v>1</v>
      </c>
      <c r="T19" s="324"/>
      <c r="U19" s="182" t="s">
        <v>387</v>
      </c>
      <c r="V19" s="182">
        <v>3011</v>
      </c>
      <c r="W19" s="182" t="s">
        <v>914</v>
      </c>
    </row>
    <row r="20" spans="1:23" ht="15" customHeight="1" x14ac:dyDescent="0.2">
      <c r="A20" s="342" t="s">
        <v>27</v>
      </c>
      <c r="B20" s="183">
        <v>2409</v>
      </c>
      <c r="C20" s="159" t="s">
        <v>22</v>
      </c>
      <c r="D20" s="316" t="s">
        <v>913</v>
      </c>
      <c r="E20" s="160" t="s">
        <v>24</v>
      </c>
      <c r="F20" s="160" t="s">
        <v>485</v>
      </c>
      <c r="G20" s="161" t="s">
        <v>60</v>
      </c>
      <c r="H20" s="314" t="s">
        <v>61</v>
      </c>
      <c r="I20" s="161">
        <v>2306</v>
      </c>
      <c r="J20" s="162">
        <v>46142</v>
      </c>
      <c r="K20" s="336"/>
      <c r="L20" s="283">
        <v>32500000</v>
      </c>
      <c r="M20" s="330" t="s">
        <v>914</v>
      </c>
      <c r="N20" s="323" t="s">
        <v>915</v>
      </c>
      <c r="O20" s="340"/>
      <c r="P20" s="322" t="s">
        <v>916</v>
      </c>
      <c r="Q20" s="311" t="b">
        <v>0</v>
      </c>
      <c r="R20" s="311" t="b">
        <v>1</v>
      </c>
      <c r="S20" s="311" t="b">
        <v>1</v>
      </c>
      <c r="T20" s="324"/>
      <c r="U20" s="182" t="s">
        <v>917</v>
      </c>
      <c r="V20" s="182">
        <v>3013</v>
      </c>
      <c r="W20" s="182" t="s">
        <v>914</v>
      </c>
    </row>
    <row r="21" spans="1:23" ht="15" customHeight="1" x14ac:dyDescent="0.2">
      <c r="A21" s="342" t="s">
        <v>27</v>
      </c>
      <c r="B21" s="183">
        <v>2410</v>
      </c>
      <c r="C21" s="159" t="s">
        <v>22</v>
      </c>
      <c r="D21" s="316" t="s">
        <v>913</v>
      </c>
      <c r="E21" s="160" t="s">
        <v>24</v>
      </c>
      <c r="F21" s="160" t="s">
        <v>485</v>
      </c>
      <c r="G21" s="161" t="s">
        <v>60</v>
      </c>
      <c r="H21" s="314" t="s">
        <v>61</v>
      </c>
      <c r="I21" s="161">
        <v>2328</v>
      </c>
      <c r="J21" s="162">
        <v>46156</v>
      </c>
      <c r="K21" s="336"/>
      <c r="L21" s="283">
        <v>32500000</v>
      </c>
      <c r="M21" s="330" t="s">
        <v>914</v>
      </c>
      <c r="N21" s="323" t="s">
        <v>915</v>
      </c>
      <c r="O21" s="340"/>
      <c r="P21" s="322" t="s">
        <v>916</v>
      </c>
      <c r="Q21" s="311" t="b">
        <v>0</v>
      </c>
      <c r="R21" s="311" t="b">
        <v>1</v>
      </c>
      <c r="S21" s="311" t="b">
        <v>1</v>
      </c>
      <c r="T21" s="324"/>
      <c r="U21" s="182" t="s">
        <v>917</v>
      </c>
      <c r="V21" s="182">
        <v>3029</v>
      </c>
      <c r="W21" s="182" t="s">
        <v>914</v>
      </c>
    </row>
    <row r="22" spans="1:23" ht="15" customHeight="1" x14ac:dyDescent="0.2">
      <c r="A22" s="342" t="s">
        <v>27</v>
      </c>
      <c r="B22" s="183">
        <v>2411</v>
      </c>
      <c r="C22" s="159" t="s">
        <v>22</v>
      </c>
      <c r="D22" s="316" t="s">
        <v>913</v>
      </c>
      <c r="E22" s="160" t="s">
        <v>24</v>
      </c>
      <c r="F22" s="160" t="s">
        <v>485</v>
      </c>
      <c r="G22" s="161" t="s">
        <v>60</v>
      </c>
      <c r="H22" s="314" t="s">
        <v>61</v>
      </c>
      <c r="I22" s="161">
        <v>2324</v>
      </c>
      <c r="J22" s="162">
        <v>46156</v>
      </c>
      <c r="K22" s="336"/>
      <c r="L22" s="283">
        <v>32500000</v>
      </c>
      <c r="M22" s="330" t="s">
        <v>914</v>
      </c>
      <c r="N22" s="323" t="s">
        <v>915</v>
      </c>
      <c r="O22" s="340"/>
      <c r="P22" s="322" t="s">
        <v>916</v>
      </c>
      <c r="Q22" s="311" t="b">
        <v>0</v>
      </c>
      <c r="R22" s="311" t="b">
        <v>1</v>
      </c>
      <c r="S22" s="311" t="b">
        <v>1</v>
      </c>
      <c r="T22" s="324"/>
      <c r="U22" s="182" t="s">
        <v>917</v>
      </c>
      <c r="V22" s="182">
        <v>3028</v>
      </c>
      <c r="W22" s="182" t="s">
        <v>914</v>
      </c>
    </row>
    <row r="23" spans="1:23" ht="15" customHeight="1" x14ac:dyDescent="0.2">
      <c r="A23" s="342" t="s">
        <v>27</v>
      </c>
      <c r="B23" s="183">
        <v>2412</v>
      </c>
      <c r="C23" s="159" t="s">
        <v>22</v>
      </c>
      <c r="D23" s="316" t="s">
        <v>913</v>
      </c>
      <c r="E23" s="160" t="s">
        <v>24</v>
      </c>
      <c r="F23" s="160" t="s">
        <v>485</v>
      </c>
      <c r="G23" s="161" t="s">
        <v>60</v>
      </c>
      <c r="H23" s="314" t="s">
        <v>61</v>
      </c>
      <c r="I23" s="161">
        <v>2320</v>
      </c>
      <c r="J23" s="162">
        <v>46156</v>
      </c>
      <c r="K23" s="336"/>
      <c r="L23" s="283">
        <v>32500000</v>
      </c>
      <c r="M23" s="330" t="s">
        <v>914</v>
      </c>
      <c r="N23" s="323" t="s">
        <v>915</v>
      </c>
      <c r="O23" s="340"/>
      <c r="P23" s="322" t="s">
        <v>916</v>
      </c>
      <c r="Q23" s="311" t="b">
        <v>0</v>
      </c>
      <c r="R23" s="311" t="b">
        <v>1</v>
      </c>
      <c r="S23" s="311" t="b">
        <v>1</v>
      </c>
      <c r="T23" s="324"/>
      <c r="U23" s="182" t="s">
        <v>917</v>
      </c>
      <c r="V23" s="182">
        <v>3030</v>
      </c>
      <c r="W23" s="182" t="s">
        <v>914</v>
      </c>
    </row>
    <row r="24" spans="1:23" ht="15" customHeight="1" x14ac:dyDescent="0.2">
      <c r="A24" s="342" t="s">
        <v>27</v>
      </c>
      <c r="B24" s="183">
        <v>2417</v>
      </c>
      <c r="C24" s="159" t="s">
        <v>29</v>
      </c>
      <c r="D24" s="316" t="s">
        <v>918</v>
      </c>
      <c r="E24" s="160" t="s">
        <v>31</v>
      </c>
      <c r="F24" s="160" t="s">
        <v>890</v>
      </c>
      <c r="G24" s="161" t="s">
        <v>130</v>
      </c>
      <c r="H24" s="314" t="s">
        <v>131</v>
      </c>
      <c r="I24" s="161">
        <v>342317</v>
      </c>
      <c r="J24" s="162">
        <v>46106</v>
      </c>
      <c r="K24" s="336"/>
      <c r="L24" s="283"/>
      <c r="M24" s="330"/>
      <c r="N24" s="323"/>
      <c r="O24" s="340"/>
      <c r="P24" s="322" t="s">
        <v>919</v>
      </c>
      <c r="Q24" s="311" t="b">
        <v>0</v>
      </c>
      <c r="R24" s="311" t="b">
        <v>1</v>
      </c>
      <c r="S24" s="311" t="b">
        <v>1</v>
      </c>
      <c r="T24" s="324"/>
      <c r="U24" s="182" t="s">
        <v>920</v>
      </c>
      <c r="V24" s="182">
        <v>2976</v>
      </c>
      <c r="W24" s="182" t="s">
        <v>898</v>
      </c>
    </row>
    <row r="25" spans="1:23" ht="15" customHeight="1" x14ac:dyDescent="0.2">
      <c r="A25" s="342" t="s">
        <v>27</v>
      </c>
      <c r="B25" s="183">
        <v>2418</v>
      </c>
      <c r="C25" s="159" t="s">
        <v>29</v>
      </c>
      <c r="D25" s="316" t="s">
        <v>918</v>
      </c>
      <c r="E25" s="160" t="s">
        <v>31</v>
      </c>
      <c r="F25" s="160" t="s">
        <v>890</v>
      </c>
      <c r="G25" s="161" t="s">
        <v>130</v>
      </c>
      <c r="H25" s="314" t="s">
        <v>131</v>
      </c>
      <c r="I25" s="161">
        <v>342630</v>
      </c>
      <c r="J25" s="162">
        <v>46106</v>
      </c>
      <c r="K25" s="336"/>
      <c r="L25" s="283"/>
      <c r="M25" s="330"/>
      <c r="N25" s="323"/>
      <c r="O25" s="340"/>
      <c r="P25" s="322" t="s">
        <v>919</v>
      </c>
      <c r="Q25" s="311" t="b">
        <v>0</v>
      </c>
      <c r="R25" s="311" t="b">
        <v>1</v>
      </c>
      <c r="S25" s="311" t="b">
        <v>1</v>
      </c>
      <c r="T25" s="324"/>
      <c r="U25" s="182" t="s">
        <v>920</v>
      </c>
      <c r="V25" s="182">
        <v>2977</v>
      </c>
      <c r="W25" s="182" t="s">
        <v>898</v>
      </c>
    </row>
    <row r="26" spans="1:23" ht="15" customHeight="1" x14ac:dyDescent="0.2">
      <c r="A26" s="342" t="s">
        <v>27</v>
      </c>
      <c r="B26" s="183">
        <v>2419</v>
      </c>
      <c r="C26" s="159" t="s">
        <v>29</v>
      </c>
      <c r="D26" s="316" t="s">
        <v>918</v>
      </c>
      <c r="E26" s="160" t="s">
        <v>31</v>
      </c>
      <c r="F26" s="160" t="s">
        <v>921</v>
      </c>
      <c r="G26" s="161" t="s">
        <v>130</v>
      </c>
      <c r="H26" s="314" t="s">
        <v>922</v>
      </c>
      <c r="I26" s="161">
        <v>2306</v>
      </c>
      <c r="J26" s="162" t="s">
        <v>243</v>
      </c>
      <c r="K26" s="336"/>
      <c r="L26" s="283">
        <v>46600000</v>
      </c>
      <c r="M26" s="330"/>
      <c r="N26" s="323"/>
      <c r="O26" s="340"/>
      <c r="P26" s="322" t="s">
        <v>919</v>
      </c>
      <c r="Q26" s="311" t="b">
        <v>0</v>
      </c>
      <c r="R26" s="311" t="b">
        <v>1</v>
      </c>
      <c r="S26" s="311" t="b">
        <v>1</v>
      </c>
      <c r="T26" s="324"/>
      <c r="U26" s="182"/>
      <c r="V26" s="182"/>
      <c r="W26" s="182"/>
    </row>
    <row r="27" spans="1:23" ht="15" customHeight="1" x14ac:dyDescent="0.2">
      <c r="A27" s="342" t="s">
        <v>27</v>
      </c>
      <c r="B27" s="183">
        <v>2420</v>
      </c>
      <c r="C27" s="159" t="s">
        <v>29</v>
      </c>
      <c r="D27" s="316" t="s">
        <v>918</v>
      </c>
      <c r="E27" s="160" t="s">
        <v>31</v>
      </c>
      <c r="F27" s="160" t="s">
        <v>921</v>
      </c>
      <c r="G27" s="161" t="s">
        <v>130</v>
      </c>
      <c r="H27" s="314" t="s">
        <v>922</v>
      </c>
      <c r="I27" s="161">
        <v>2328</v>
      </c>
      <c r="J27" s="162" t="s">
        <v>243</v>
      </c>
      <c r="K27" s="336"/>
      <c r="L27" s="283">
        <v>46600000</v>
      </c>
      <c r="M27" s="330"/>
      <c r="N27" s="323"/>
      <c r="O27" s="340"/>
      <c r="P27" s="322" t="s">
        <v>923</v>
      </c>
      <c r="Q27" s="311" t="b">
        <v>0</v>
      </c>
      <c r="R27" s="311" t="b">
        <v>1</v>
      </c>
      <c r="S27" s="311" t="b">
        <v>1</v>
      </c>
      <c r="T27" s="324"/>
      <c r="U27" s="182"/>
      <c r="V27" s="182"/>
      <c r="W27" s="182"/>
    </row>
    <row r="28" spans="1:23" ht="15" customHeight="1" x14ac:dyDescent="0.2">
      <c r="B28" s="183">
        <v>2425</v>
      </c>
      <c r="C28" s="345" t="s">
        <v>905</v>
      </c>
      <c r="D28" s="316" t="s">
        <v>924</v>
      </c>
      <c r="E28" s="160" t="s">
        <v>925</v>
      </c>
      <c r="F28" s="160" t="s">
        <v>926</v>
      </c>
      <c r="G28" s="161" t="s">
        <v>33</v>
      </c>
      <c r="H28" s="314" t="s">
        <v>927</v>
      </c>
      <c r="I28" s="161"/>
      <c r="J28" s="162" t="s">
        <v>243</v>
      </c>
      <c r="K28" s="336"/>
      <c r="L28" s="283">
        <v>96999400</v>
      </c>
      <c r="M28" s="330"/>
      <c r="N28" s="323"/>
      <c r="O28" s="340"/>
      <c r="Q28" s="311" t="b">
        <v>0</v>
      </c>
      <c r="R28" s="311" t="b">
        <v>1</v>
      </c>
      <c r="S28" s="311" t="b">
        <v>1</v>
      </c>
      <c r="T28" s="324"/>
      <c r="U28" s="182"/>
      <c r="V28" s="182"/>
      <c r="W28" s="182"/>
    </row>
    <row r="29" spans="1:23" ht="15" customHeight="1" x14ac:dyDescent="0.2">
      <c r="A29" s="342" t="s">
        <v>27</v>
      </c>
      <c r="B29" s="183">
        <v>2427</v>
      </c>
      <c r="C29" s="159" t="s">
        <v>29</v>
      </c>
      <c r="D29" s="316" t="s">
        <v>889</v>
      </c>
      <c r="E29" s="160" t="s">
        <v>46</v>
      </c>
      <c r="F29" s="160" t="s">
        <v>928</v>
      </c>
      <c r="G29" s="161" t="s">
        <v>23</v>
      </c>
      <c r="H29" s="314" t="s">
        <v>891</v>
      </c>
      <c r="I29" s="161">
        <v>625302</v>
      </c>
      <c r="J29" s="162">
        <v>46071</v>
      </c>
      <c r="K29" s="336" t="s">
        <v>929</v>
      </c>
      <c r="L29" s="283"/>
      <c r="M29" s="330"/>
      <c r="N29" s="323"/>
      <c r="O29" s="340"/>
      <c r="P29" s="322" t="s">
        <v>930</v>
      </c>
      <c r="Q29" s="311" t="b">
        <v>0</v>
      </c>
      <c r="R29" s="311" t="b">
        <v>1</v>
      </c>
      <c r="S29" s="311" t="b">
        <v>1</v>
      </c>
      <c r="T29" s="324" t="s">
        <v>931</v>
      </c>
      <c r="U29" s="182" t="s">
        <v>240</v>
      </c>
      <c r="V29" s="182"/>
      <c r="W29" s="182" t="s">
        <v>584</v>
      </c>
    </row>
    <row r="30" spans="1:23" ht="15" customHeight="1" x14ac:dyDescent="0.2">
      <c r="A30" s="342" t="s">
        <v>27</v>
      </c>
      <c r="B30" s="183">
        <v>2428</v>
      </c>
      <c r="C30" s="159" t="s">
        <v>29</v>
      </c>
      <c r="D30" s="316" t="s">
        <v>889</v>
      </c>
      <c r="E30" s="160" t="s">
        <v>46</v>
      </c>
      <c r="F30" s="160" t="s">
        <v>928</v>
      </c>
      <c r="G30" s="161"/>
      <c r="H30" s="314"/>
      <c r="I30" s="161"/>
      <c r="J30" s="162" t="s">
        <v>243</v>
      </c>
      <c r="K30" s="336"/>
      <c r="L30" s="283"/>
      <c r="M30" s="330"/>
      <c r="N30" s="323"/>
      <c r="O30" s="340"/>
      <c r="P30" s="322" t="s">
        <v>932</v>
      </c>
      <c r="Q30" s="311" t="b">
        <v>0</v>
      </c>
      <c r="R30" s="311" t="b">
        <v>1</v>
      </c>
      <c r="S30" s="311" t="b">
        <v>1</v>
      </c>
      <c r="T30" s="324"/>
      <c r="U30" s="182"/>
      <c r="V30" s="182"/>
      <c r="W30" s="182"/>
    </row>
    <row r="31" spans="1:23" ht="15" customHeight="1" x14ac:dyDescent="0.2">
      <c r="A31" s="342" t="s">
        <v>27</v>
      </c>
      <c r="B31" s="183">
        <v>2429</v>
      </c>
      <c r="C31" s="159" t="s">
        <v>29</v>
      </c>
      <c r="D31" s="316" t="s">
        <v>933</v>
      </c>
      <c r="E31" s="160" t="s">
        <v>24</v>
      </c>
      <c r="F31" s="160" t="s">
        <v>934</v>
      </c>
      <c r="G31" s="161" t="s">
        <v>935</v>
      </c>
      <c r="H31" s="314" t="s">
        <v>936</v>
      </c>
      <c r="I31" s="161"/>
      <c r="J31" s="162" t="s">
        <v>243</v>
      </c>
      <c r="K31" s="336"/>
      <c r="L31" s="283">
        <v>30150000</v>
      </c>
      <c r="M31" s="330"/>
      <c r="N31" s="323" t="s">
        <v>937</v>
      </c>
      <c r="O31" s="340"/>
      <c r="P31" s="321" t="s">
        <v>938</v>
      </c>
      <c r="Q31" s="311" t="b">
        <v>0</v>
      </c>
      <c r="R31" s="311" t="b">
        <v>1</v>
      </c>
      <c r="S31" s="311" t="b">
        <v>1</v>
      </c>
      <c r="T31" s="324"/>
      <c r="U31" s="182"/>
      <c r="V31" s="182"/>
      <c r="W31" s="182"/>
    </row>
    <row r="32" spans="1:23" ht="15" customHeight="1" x14ac:dyDescent="0.2">
      <c r="A32" s="342" t="s">
        <v>27</v>
      </c>
      <c r="B32" s="183">
        <v>2430</v>
      </c>
      <c r="C32" s="159" t="s">
        <v>905</v>
      </c>
      <c r="D32" s="316" t="s">
        <v>939</v>
      </c>
      <c r="E32" s="160" t="s">
        <v>940</v>
      </c>
      <c r="F32" s="160" t="s">
        <v>941</v>
      </c>
      <c r="G32" s="161"/>
      <c r="H32" s="314"/>
      <c r="I32" s="161"/>
      <c r="J32" s="162" t="s">
        <v>243</v>
      </c>
      <c r="K32" s="336"/>
      <c r="L32" s="283"/>
      <c r="M32" s="330"/>
      <c r="N32" s="323" t="s">
        <v>884</v>
      </c>
      <c r="O32" s="340">
        <v>217</v>
      </c>
      <c r="Q32" s="311" t="b">
        <v>0</v>
      </c>
      <c r="R32" s="311" t="b">
        <v>0</v>
      </c>
      <c r="S32" s="311" t="b">
        <v>0</v>
      </c>
      <c r="T32" s="324"/>
      <c r="U32" s="182"/>
      <c r="V32" s="182"/>
      <c r="W32" s="182"/>
    </row>
    <row r="33" spans="1:23" ht="15" customHeight="1" x14ac:dyDescent="0.2">
      <c r="A33" s="342" t="s">
        <v>27</v>
      </c>
      <c r="B33" s="183">
        <v>2431</v>
      </c>
      <c r="C33" s="159" t="s">
        <v>22</v>
      </c>
      <c r="D33" s="316" t="s">
        <v>939</v>
      </c>
      <c r="E33" s="160" t="s">
        <v>47</v>
      </c>
      <c r="F33" s="160" t="s">
        <v>942</v>
      </c>
      <c r="G33" s="161"/>
      <c r="H33" s="314"/>
      <c r="I33" s="161"/>
      <c r="J33" s="162" t="s">
        <v>243</v>
      </c>
      <c r="K33" s="336"/>
      <c r="L33" s="283"/>
      <c r="M33" s="330"/>
      <c r="N33" s="323" t="s">
        <v>884</v>
      </c>
      <c r="O33" s="340">
        <v>2301</v>
      </c>
      <c r="Q33" s="311" t="b">
        <v>0</v>
      </c>
      <c r="R33" s="311" t="b">
        <v>0</v>
      </c>
      <c r="S33" s="311" t="b">
        <v>0</v>
      </c>
      <c r="T33" s="324"/>
      <c r="U33" s="182"/>
      <c r="V33" s="182"/>
      <c r="W33" s="182"/>
    </row>
    <row r="34" spans="1:23" ht="15" customHeight="1" x14ac:dyDescent="0.2">
      <c r="A34" s="342" t="s">
        <v>27</v>
      </c>
      <c r="B34" s="183">
        <v>2432</v>
      </c>
      <c r="C34" s="159" t="s">
        <v>22</v>
      </c>
      <c r="D34" s="316" t="s">
        <v>899</v>
      </c>
      <c r="E34" s="160" t="s">
        <v>943</v>
      </c>
      <c r="F34" s="160" t="s">
        <v>944</v>
      </c>
      <c r="G34" s="161" t="s">
        <v>106</v>
      </c>
      <c r="H34" s="314"/>
      <c r="I34" s="161"/>
      <c r="J34" s="162" t="s">
        <v>243</v>
      </c>
      <c r="K34" s="336"/>
      <c r="L34" s="283"/>
      <c r="M34" s="330"/>
      <c r="N34" s="323"/>
      <c r="O34" s="340"/>
      <c r="P34" s="321" t="s">
        <v>945</v>
      </c>
      <c r="Q34" s="311" t="b">
        <v>0</v>
      </c>
      <c r="R34" s="311" t="b">
        <v>0</v>
      </c>
      <c r="S34" s="311" t="b">
        <v>0</v>
      </c>
      <c r="T34" s="324"/>
      <c r="U34" s="182"/>
      <c r="V34" s="182"/>
      <c r="W34" s="182"/>
    </row>
    <row r="35" spans="1:23" ht="15" customHeight="1" x14ac:dyDescent="0.2">
      <c r="A35" s="342" t="s">
        <v>27</v>
      </c>
      <c r="B35" s="183">
        <v>2433</v>
      </c>
      <c r="C35" s="159" t="s">
        <v>22</v>
      </c>
      <c r="D35" s="316" t="s">
        <v>946</v>
      </c>
      <c r="E35" s="160" t="s">
        <v>947</v>
      </c>
      <c r="F35" s="160" t="s">
        <v>934</v>
      </c>
      <c r="G35" s="161" t="s">
        <v>106</v>
      </c>
      <c r="H35" s="314"/>
      <c r="I35" s="161"/>
      <c r="J35" s="162" t="s">
        <v>243</v>
      </c>
      <c r="K35" s="336"/>
      <c r="L35" s="283"/>
      <c r="M35" s="330"/>
      <c r="N35" s="323"/>
      <c r="O35" s="340"/>
      <c r="P35" s="321" t="s">
        <v>945</v>
      </c>
      <c r="Q35" s="311" t="b">
        <v>0</v>
      </c>
      <c r="R35" s="311" t="b">
        <v>0</v>
      </c>
      <c r="S35" s="311" t="b">
        <v>0</v>
      </c>
      <c r="T35" s="324"/>
      <c r="U35" s="182"/>
      <c r="V35" s="182"/>
      <c r="W35" s="182"/>
    </row>
    <row r="36" spans="1:23" ht="15" customHeight="1" x14ac:dyDescent="0.2">
      <c r="A36" s="342" t="s">
        <v>27</v>
      </c>
      <c r="B36" s="183">
        <v>2434</v>
      </c>
      <c r="C36" s="159" t="s">
        <v>22</v>
      </c>
      <c r="D36" s="316" t="s">
        <v>946</v>
      </c>
      <c r="E36" s="160" t="s">
        <v>24</v>
      </c>
      <c r="F36" s="160" t="s">
        <v>934</v>
      </c>
      <c r="G36" s="161" t="s">
        <v>106</v>
      </c>
      <c r="H36" s="314"/>
      <c r="I36" s="161"/>
      <c r="J36" s="162" t="s">
        <v>243</v>
      </c>
      <c r="K36" s="336"/>
      <c r="L36" s="283"/>
      <c r="M36" s="330"/>
      <c r="N36" s="323"/>
      <c r="O36" s="340"/>
      <c r="P36" s="321" t="s">
        <v>945</v>
      </c>
      <c r="Q36" s="311" t="b">
        <v>0</v>
      </c>
      <c r="R36" s="311" t="b">
        <v>0</v>
      </c>
      <c r="S36" s="311" t="b">
        <v>0</v>
      </c>
      <c r="T36" s="324"/>
      <c r="U36" s="182"/>
      <c r="V36" s="182"/>
      <c r="W36" s="182"/>
    </row>
    <row r="37" spans="1:23" ht="15" customHeight="1" x14ac:dyDescent="0.2">
      <c r="A37" s="342" t="s">
        <v>27</v>
      </c>
      <c r="B37" s="183">
        <v>2435</v>
      </c>
      <c r="C37" s="159" t="s">
        <v>22</v>
      </c>
      <c r="D37" s="316" t="s">
        <v>23</v>
      </c>
      <c r="E37" s="160" t="s">
        <v>707</v>
      </c>
      <c r="F37" s="160" t="s">
        <v>948</v>
      </c>
      <c r="G37" s="161" t="s">
        <v>23</v>
      </c>
      <c r="H37" s="314" t="s">
        <v>773</v>
      </c>
      <c r="I37" s="161"/>
      <c r="J37" s="162" t="s">
        <v>243</v>
      </c>
      <c r="K37" s="336" t="s">
        <v>949</v>
      </c>
      <c r="L37" s="283">
        <v>26500000</v>
      </c>
      <c r="M37" s="330"/>
      <c r="N37" s="323"/>
      <c r="O37" s="340"/>
      <c r="P37" s="322" t="s">
        <v>950</v>
      </c>
      <c r="Q37" s="311" t="b">
        <v>0</v>
      </c>
      <c r="R37" s="311" t="b">
        <v>1</v>
      </c>
      <c r="S37" s="311" t="b">
        <v>1</v>
      </c>
      <c r="T37" s="324"/>
      <c r="U37" s="182"/>
      <c r="V37" s="182"/>
      <c r="W37" s="182"/>
    </row>
    <row r="38" spans="1:23" ht="15" customHeight="1" x14ac:dyDescent="0.2">
      <c r="A38" s="342" t="s">
        <v>27</v>
      </c>
      <c r="B38" s="183">
        <v>2436</v>
      </c>
      <c r="C38" s="159" t="s">
        <v>22</v>
      </c>
      <c r="D38" s="316" t="s">
        <v>23</v>
      </c>
      <c r="E38" s="160" t="s">
        <v>38</v>
      </c>
      <c r="F38" s="160" t="s">
        <v>948</v>
      </c>
      <c r="G38" s="161" t="s">
        <v>23</v>
      </c>
      <c r="H38" s="314" t="s">
        <v>773</v>
      </c>
      <c r="I38" s="161"/>
      <c r="J38" s="162" t="s">
        <v>243</v>
      </c>
      <c r="K38" s="336" t="s">
        <v>949</v>
      </c>
      <c r="L38" s="283">
        <v>26500000</v>
      </c>
      <c r="M38" s="330"/>
      <c r="N38" s="323"/>
      <c r="O38" s="340"/>
      <c r="P38" s="322" t="s">
        <v>950</v>
      </c>
      <c r="Q38" s="311" t="b">
        <v>0</v>
      </c>
      <c r="R38" s="311" t="b">
        <v>1</v>
      </c>
      <c r="S38" s="311" t="b">
        <v>1</v>
      </c>
      <c r="T38" s="324"/>
      <c r="U38" s="182"/>
      <c r="V38" s="182"/>
      <c r="W38" s="182"/>
    </row>
    <row r="39" spans="1:23" ht="15" customHeight="1" x14ac:dyDescent="0.2">
      <c r="A39" s="342" t="s">
        <v>27</v>
      </c>
      <c r="B39" s="183">
        <v>2437</v>
      </c>
      <c r="C39" s="159" t="s">
        <v>22</v>
      </c>
      <c r="D39" s="316" t="s">
        <v>23</v>
      </c>
      <c r="E39" s="160" t="s">
        <v>38</v>
      </c>
      <c r="F39" s="160" t="s">
        <v>948</v>
      </c>
      <c r="G39" s="161" t="s">
        <v>23</v>
      </c>
      <c r="H39" s="314" t="s">
        <v>773</v>
      </c>
      <c r="I39" s="161"/>
      <c r="J39" s="162" t="s">
        <v>243</v>
      </c>
      <c r="K39" s="336" t="s">
        <v>949</v>
      </c>
      <c r="L39" s="283">
        <v>26500000</v>
      </c>
      <c r="M39" s="330"/>
      <c r="N39" s="323"/>
      <c r="O39" s="340"/>
      <c r="P39" s="322" t="s">
        <v>950</v>
      </c>
      <c r="Q39" s="311" t="b">
        <v>0</v>
      </c>
      <c r="R39" s="311" t="b">
        <v>1</v>
      </c>
      <c r="S39" s="311" t="b">
        <v>1</v>
      </c>
      <c r="T39" s="324"/>
      <c r="U39" s="182"/>
      <c r="V39" s="182"/>
      <c r="W39" s="182"/>
    </row>
    <row r="40" spans="1:23" ht="15" customHeight="1" x14ac:dyDescent="0.2">
      <c r="A40" s="342" t="s">
        <v>27</v>
      </c>
      <c r="B40" s="183">
        <v>2438</v>
      </c>
      <c r="C40" s="159" t="s">
        <v>22</v>
      </c>
      <c r="D40" s="316" t="s">
        <v>23</v>
      </c>
      <c r="E40" s="160" t="s">
        <v>38</v>
      </c>
      <c r="F40" s="160" t="s">
        <v>948</v>
      </c>
      <c r="G40" s="161" t="s">
        <v>23</v>
      </c>
      <c r="H40" s="314" t="s">
        <v>773</v>
      </c>
      <c r="I40" s="161"/>
      <c r="J40" s="162" t="s">
        <v>243</v>
      </c>
      <c r="K40" s="336" t="s">
        <v>949</v>
      </c>
      <c r="L40" s="283">
        <v>26500000</v>
      </c>
      <c r="M40" s="330"/>
      <c r="N40" s="323"/>
      <c r="O40" s="340"/>
      <c r="P40" s="322" t="s">
        <v>950</v>
      </c>
      <c r="Q40" s="311" t="b">
        <v>0</v>
      </c>
      <c r="R40" s="311" t="b">
        <v>1</v>
      </c>
      <c r="S40" s="311" t="b">
        <v>1</v>
      </c>
      <c r="T40" s="324"/>
      <c r="U40" s="182"/>
      <c r="V40" s="182"/>
      <c r="W40" s="182"/>
    </row>
    <row r="41" spans="1:23" ht="15" customHeight="1" x14ac:dyDescent="0.2">
      <c r="A41" s="342" t="s">
        <v>27</v>
      </c>
      <c r="B41" s="183">
        <v>2439</v>
      </c>
      <c r="C41" s="159" t="s">
        <v>22</v>
      </c>
      <c r="D41" s="316" t="s">
        <v>23</v>
      </c>
      <c r="E41" s="160" t="s">
        <v>38</v>
      </c>
      <c r="F41" s="160" t="s">
        <v>948</v>
      </c>
      <c r="G41" s="161" t="s">
        <v>23</v>
      </c>
      <c r="H41" s="314" t="s">
        <v>773</v>
      </c>
      <c r="I41" s="161"/>
      <c r="J41" s="162" t="s">
        <v>243</v>
      </c>
      <c r="K41" s="336" t="s">
        <v>949</v>
      </c>
      <c r="L41" s="283">
        <v>26500000</v>
      </c>
      <c r="M41" s="330"/>
      <c r="N41" s="323"/>
      <c r="O41" s="340"/>
      <c r="P41" s="322" t="s">
        <v>950</v>
      </c>
      <c r="Q41" s="311" t="b">
        <v>0</v>
      </c>
      <c r="R41" s="311" t="b">
        <v>1</v>
      </c>
      <c r="S41" s="311" t="b">
        <v>1</v>
      </c>
      <c r="T41" s="324"/>
      <c r="U41" s="182"/>
      <c r="V41" s="182"/>
      <c r="W41" s="182"/>
    </row>
    <row r="42" spans="1:23" ht="15" customHeight="1" x14ac:dyDescent="0.2">
      <c r="A42" s="342" t="s">
        <v>27</v>
      </c>
      <c r="B42" s="183">
        <v>2440</v>
      </c>
      <c r="C42" s="159" t="s">
        <v>905</v>
      </c>
      <c r="D42" s="316" t="s">
        <v>951</v>
      </c>
      <c r="E42" s="160" t="s">
        <v>925</v>
      </c>
      <c r="F42" s="160" t="s">
        <v>952</v>
      </c>
      <c r="G42" s="161" t="s">
        <v>40</v>
      </c>
      <c r="H42" s="314" t="s">
        <v>41</v>
      </c>
      <c r="I42" s="161">
        <v>5082</v>
      </c>
      <c r="J42" s="162" t="s">
        <v>243</v>
      </c>
      <c r="K42" s="336"/>
      <c r="L42" s="283"/>
      <c r="M42" s="330"/>
      <c r="N42" s="323"/>
      <c r="O42" s="340"/>
      <c r="P42" s="322" t="s">
        <v>953</v>
      </c>
      <c r="Q42" s="311" t="b">
        <v>0</v>
      </c>
      <c r="R42" s="311" t="b">
        <v>1</v>
      </c>
      <c r="S42" s="311" t="b">
        <v>1</v>
      </c>
      <c r="T42" s="324"/>
      <c r="U42" s="182" t="s">
        <v>387</v>
      </c>
      <c r="V42" s="182">
        <v>3000</v>
      </c>
      <c r="W42" s="182" t="s">
        <v>584</v>
      </c>
    </row>
    <row r="43" spans="1:23" ht="15" customHeight="1" x14ac:dyDescent="0.2">
      <c r="A43" s="342" t="s">
        <v>27</v>
      </c>
      <c r="B43" s="183">
        <v>2441</v>
      </c>
      <c r="C43" s="159" t="s">
        <v>905</v>
      </c>
      <c r="D43" s="316" t="s">
        <v>951</v>
      </c>
      <c r="E43" s="160" t="s">
        <v>925</v>
      </c>
      <c r="F43" s="160" t="s">
        <v>952</v>
      </c>
      <c r="G43" s="161" t="s">
        <v>40</v>
      </c>
      <c r="H43" s="314" t="s">
        <v>41</v>
      </c>
      <c r="I43" s="161">
        <v>5085</v>
      </c>
      <c r="J43" s="162" t="s">
        <v>243</v>
      </c>
      <c r="K43" s="336"/>
      <c r="L43" s="283"/>
      <c r="M43" s="330"/>
      <c r="N43" s="323"/>
      <c r="O43" s="340"/>
      <c r="P43" s="322" t="s">
        <v>953</v>
      </c>
      <c r="Q43" s="311" t="b">
        <v>0</v>
      </c>
      <c r="R43" s="311" t="b">
        <v>1</v>
      </c>
      <c r="S43" s="311" t="b">
        <v>1</v>
      </c>
      <c r="T43" s="324"/>
      <c r="U43" s="182" t="s">
        <v>387</v>
      </c>
      <c r="V43" s="182">
        <v>3023</v>
      </c>
      <c r="W43" s="182" t="s">
        <v>584</v>
      </c>
    </row>
    <row r="44" spans="1:23" ht="15" customHeight="1" x14ac:dyDescent="0.2">
      <c r="A44" s="342" t="s">
        <v>27</v>
      </c>
      <c r="B44" s="183">
        <v>2442</v>
      </c>
      <c r="C44" s="159" t="s">
        <v>905</v>
      </c>
      <c r="D44" s="316" t="s">
        <v>951</v>
      </c>
      <c r="E44" s="160" t="s">
        <v>925</v>
      </c>
      <c r="F44" s="160" t="s">
        <v>952</v>
      </c>
      <c r="G44" s="161" t="s">
        <v>40</v>
      </c>
      <c r="H44" s="314" t="s">
        <v>41</v>
      </c>
      <c r="I44" s="161"/>
      <c r="J44" s="162" t="s">
        <v>243</v>
      </c>
      <c r="K44" s="336"/>
      <c r="L44" s="283"/>
      <c r="M44" s="330"/>
      <c r="N44" s="323"/>
      <c r="O44" s="340"/>
      <c r="P44" s="322" t="s">
        <v>953</v>
      </c>
      <c r="Q44" s="311" t="b">
        <v>0</v>
      </c>
      <c r="R44" s="311" t="b">
        <v>1</v>
      </c>
      <c r="S44" s="311" t="b">
        <v>1</v>
      </c>
      <c r="T44" s="324"/>
      <c r="U44" s="182"/>
      <c r="V44" s="182"/>
      <c r="W44" s="182"/>
    </row>
    <row r="45" spans="1:23" ht="15" customHeight="1" x14ac:dyDescent="0.2">
      <c r="A45" s="342" t="s">
        <v>27</v>
      </c>
      <c r="B45" s="183">
        <v>2446</v>
      </c>
      <c r="C45" s="159" t="s">
        <v>905</v>
      </c>
      <c r="D45" s="316" t="s">
        <v>951</v>
      </c>
      <c r="E45" s="160" t="s">
        <v>940</v>
      </c>
      <c r="F45" s="160" t="s">
        <v>954</v>
      </c>
      <c r="G45" s="161" t="s">
        <v>33</v>
      </c>
      <c r="H45" s="314" t="s">
        <v>955</v>
      </c>
      <c r="I45" s="161">
        <v>460042</v>
      </c>
      <c r="J45" s="162">
        <v>46156</v>
      </c>
      <c r="K45" s="336"/>
      <c r="L45" s="283" t="s">
        <v>956</v>
      </c>
      <c r="M45" s="330"/>
      <c r="N45" s="323"/>
      <c r="O45" s="340"/>
      <c r="P45" s="322" t="s">
        <v>957</v>
      </c>
      <c r="Q45" s="311" t="b">
        <v>0</v>
      </c>
      <c r="R45" s="311" t="b">
        <v>1</v>
      </c>
      <c r="S45" s="311" t="b">
        <v>1</v>
      </c>
      <c r="T45" s="324" t="s">
        <v>958</v>
      </c>
      <c r="U45" s="182" t="s">
        <v>959</v>
      </c>
      <c r="V45" s="182">
        <v>3027</v>
      </c>
      <c r="W45" s="182" t="s">
        <v>584</v>
      </c>
    </row>
    <row r="46" spans="1:23" ht="15" customHeight="1" x14ac:dyDescent="0.2">
      <c r="A46" s="342" t="s">
        <v>27</v>
      </c>
      <c r="B46" s="183">
        <v>2447</v>
      </c>
      <c r="C46" s="159" t="s">
        <v>22</v>
      </c>
      <c r="D46" s="316" t="s">
        <v>960</v>
      </c>
      <c r="E46" s="160" t="s">
        <v>31</v>
      </c>
      <c r="F46" s="160" t="s">
        <v>102</v>
      </c>
      <c r="G46" s="161" t="s">
        <v>961</v>
      </c>
      <c r="H46" s="314" t="s">
        <v>962</v>
      </c>
      <c r="I46" s="161">
        <v>212726</v>
      </c>
      <c r="J46" s="162">
        <v>46133</v>
      </c>
      <c r="K46" s="343" t="s">
        <v>963</v>
      </c>
      <c r="L46" s="283">
        <v>42500000</v>
      </c>
      <c r="M46" s="330"/>
      <c r="N46" s="323"/>
      <c r="O46" s="340"/>
      <c r="P46" s="322" t="s">
        <v>964</v>
      </c>
      <c r="Q46" s="311" t="b">
        <v>0</v>
      </c>
      <c r="R46" s="311" t="b">
        <v>1</v>
      </c>
      <c r="S46" s="311" t="b">
        <v>1</v>
      </c>
      <c r="T46" s="324"/>
      <c r="U46" s="182" t="s">
        <v>965</v>
      </c>
      <c r="V46" s="182">
        <v>3003</v>
      </c>
      <c r="W46" s="182" t="s">
        <v>584</v>
      </c>
    </row>
    <row r="47" spans="1:23" ht="15" customHeight="1" x14ac:dyDescent="0.2">
      <c r="A47" s="342" t="s">
        <v>27</v>
      </c>
      <c r="B47" s="183">
        <v>2448</v>
      </c>
      <c r="C47" s="159" t="s">
        <v>22</v>
      </c>
      <c r="D47" s="316" t="s">
        <v>966</v>
      </c>
      <c r="E47" s="160" t="s">
        <v>24</v>
      </c>
      <c r="F47" s="160" t="s">
        <v>777</v>
      </c>
      <c r="G47" s="161" t="s">
        <v>961</v>
      </c>
      <c r="H47" s="314" t="s">
        <v>773</v>
      </c>
      <c r="I47" s="314" t="s">
        <v>967</v>
      </c>
      <c r="J47" s="162">
        <v>46132</v>
      </c>
      <c r="K47" s="343" t="s">
        <v>968</v>
      </c>
      <c r="L47" s="283">
        <v>54800000</v>
      </c>
      <c r="M47" s="330"/>
      <c r="N47" s="323"/>
      <c r="O47" s="340"/>
      <c r="P47" s="322" t="s">
        <v>969</v>
      </c>
      <c r="Q47" s="311" t="b">
        <v>0</v>
      </c>
      <c r="R47" s="311" t="b">
        <v>1</v>
      </c>
      <c r="S47" s="311" t="b">
        <v>1</v>
      </c>
      <c r="T47" s="324"/>
      <c r="U47" s="182" t="s">
        <v>970</v>
      </c>
      <c r="V47" s="182">
        <v>2998</v>
      </c>
      <c r="W47" s="182" t="s">
        <v>914</v>
      </c>
    </row>
    <row r="48" spans="1:23" ht="15" customHeight="1" x14ac:dyDescent="0.2">
      <c r="A48" s="342" t="s">
        <v>27</v>
      </c>
      <c r="B48" s="183">
        <v>2449</v>
      </c>
      <c r="C48" s="159" t="s">
        <v>22</v>
      </c>
      <c r="D48" s="316" t="s">
        <v>966</v>
      </c>
      <c r="E48" s="160" t="s">
        <v>24</v>
      </c>
      <c r="F48" s="160" t="s">
        <v>777</v>
      </c>
      <c r="G48" s="161" t="s">
        <v>961</v>
      </c>
      <c r="H48" s="314" t="s">
        <v>773</v>
      </c>
      <c r="I48" s="314" t="s">
        <v>971</v>
      </c>
      <c r="J48" s="162">
        <v>46132</v>
      </c>
      <c r="K48" s="343" t="s">
        <v>972</v>
      </c>
      <c r="L48" s="283">
        <v>54800000</v>
      </c>
      <c r="M48" s="330"/>
      <c r="N48" s="323"/>
      <c r="O48" s="340"/>
      <c r="P48" s="322" t="s">
        <v>969</v>
      </c>
      <c r="Q48" s="311" t="b">
        <v>0</v>
      </c>
      <c r="R48" s="311" t="b">
        <v>1</v>
      </c>
      <c r="S48" s="311" t="b">
        <v>1</v>
      </c>
      <c r="T48" s="324"/>
      <c r="U48" s="182" t="s">
        <v>970</v>
      </c>
      <c r="V48" s="182">
        <v>2997</v>
      </c>
      <c r="W48" s="182" t="s">
        <v>914</v>
      </c>
    </row>
    <row r="49" spans="1:23" ht="15" customHeight="1" x14ac:dyDescent="0.2">
      <c r="A49" s="342" t="s">
        <v>27</v>
      </c>
      <c r="B49" s="183">
        <v>2450</v>
      </c>
      <c r="C49" s="159" t="s">
        <v>22</v>
      </c>
      <c r="D49" s="316" t="s">
        <v>966</v>
      </c>
      <c r="E49" s="160" t="s">
        <v>24</v>
      </c>
      <c r="F49" s="160" t="s">
        <v>973</v>
      </c>
      <c r="G49" s="161" t="s">
        <v>961</v>
      </c>
      <c r="H49" s="314" t="s">
        <v>773</v>
      </c>
      <c r="I49" s="314" t="s">
        <v>974</v>
      </c>
      <c r="J49" s="162">
        <v>46132</v>
      </c>
      <c r="K49" s="343" t="s">
        <v>975</v>
      </c>
      <c r="L49" s="283">
        <v>37500000</v>
      </c>
      <c r="M49" s="330"/>
      <c r="N49" s="323"/>
      <c r="O49" s="340"/>
      <c r="P49" s="322" t="s">
        <v>969</v>
      </c>
      <c r="Q49" s="311" t="b">
        <v>0</v>
      </c>
      <c r="R49" s="311" t="b">
        <v>1</v>
      </c>
      <c r="S49" s="311" t="b">
        <v>1</v>
      </c>
      <c r="T49" s="324"/>
      <c r="U49" s="182" t="s">
        <v>970</v>
      </c>
      <c r="V49" s="182">
        <v>2999</v>
      </c>
      <c r="W49" s="182" t="s">
        <v>914</v>
      </c>
    </row>
    <row r="50" spans="1:23" ht="15" customHeight="1" x14ac:dyDescent="0.2">
      <c r="A50" s="342" t="s">
        <v>27</v>
      </c>
      <c r="B50" s="183">
        <v>2451</v>
      </c>
      <c r="C50" s="159" t="s">
        <v>22</v>
      </c>
      <c r="D50" s="316" t="s">
        <v>899</v>
      </c>
      <c r="E50" s="160" t="s">
        <v>34</v>
      </c>
      <c r="F50" s="160" t="s">
        <v>976</v>
      </c>
      <c r="G50" s="161" t="s">
        <v>106</v>
      </c>
      <c r="H50" s="314" t="s">
        <v>977</v>
      </c>
      <c r="I50" s="161"/>
      <c r="J50" s="162" t="s">
        <v>243</v>
      </c>
      <c r="K50" s="336"/>
      <c r="L50" s="283"/>
      <c r="M50" s="330"/>
      <c r="N50" s="323"/>
      <c r="O50" s="340"/>
      <c r="Q50" s="311" t="b">
        <v>0</v>
      </c>
      <c r="R50" s="311" t="b">
        <v>0</v>
      </c>
      <c r="S50" s="311" t="b">
        <v>0</v>
      </c>
      <c r="T50" s="324"/>
      <c r="U50" s="182"/>
      <c r="V50" s="182"/>
      <c r="W50" s="182"/>
    </row>
    <row r="51" spans="1:23" ht="15" customHeight="1" x14ac:dyDescent="0.2">
      <c r="A51" s="342" t="s">
        <v>27</v>
      </c>
      <c r="B51" s="183">
        <v>2452</v>
      </c>
      <c r="C51" s="159" t="s">
        <v>22</v>
      </c>
      <c r="D51" s="316" t="s">
        <v>899</v>
      </c>
      <c r="E51" s="160" t="s">
        <v>34</v>
      </c>
      <c r="F51" s="341" t="s">
        <v>976</v>
      </c>
      <c r="G51" s="161" t="s">
        <v>106</v>
      </c>
      <c r="H51" s="314" t="s">
        <v>977</v>
      </c>
      <c r="I51" s="161"/>
      <c r="J51" s="162" t="s">
        <v>243</v>
      </c>
      <c r="K51" s="336"/>
      <c r="L51" s="283"/>
      <c r="M51" s="330"/>
      <c r="N51" s="323"/>
      <c r="O51" s="340"/>
      <c r="Q51" s="311" t="b">
        <v>0</v>
      </c>
      <c r="R51" s="311" t="b">
        <v>0</v>
      </c>
      <c r="S51" s="311" t="b">
        <v>0</v>
      </c>
      <c r="T51" s="324"/>
      <c r="U51" s="182"/>
      <c r="V51" s="182"/>
      <c r="W51" s="182"/>
    </row>
    <row r="52" spans="1:23" ht="15" customHeight="1" x14ac:dyDescent="0.2">
      <c r="A52" s="342" t="s">
        <v>27</v>
      </c>
      <c r="B52" s="183">
        <v>2453</v>
      </c>
      <c r="C52" s="159" t="s">
        <v>22</v>
      </c>
      <c r="D52" s="316" t="s">
        <v>899</v>
      </c>
      <c r="E52" s="160" t="s">
        <v>24</v>
      </c>
      <c r="F52" s="160" t="s">
        <v>978</v>
      </c>
      <c r="G52" s="161" t="s">
        <v>106</v>
      </c>
      <c r="H52" s="314" t="s">
        <v>979</v>
      </c>
      <c r="I52" s="161"/>
      <c r="J52" s="162" t="s">
        <v>243</v>
      </c>
      <c r="K52" s="336"/>
      <c r="L52" s="283"/>
      <c r="M52" s="330"/>
      <c r="N52" s="323"/>
      <c r="O52" s="340"/>
      <c r="Q52" s="311" t="b">
        <v>0</v>
      </c>
      <c r="R52" s="311" t="b">
        <v>0</v>
      </c>
      <c r="S52" s="311" t="b">
        <v>0</v>
      </c>
      <c r="T52" s="324"/>
      <c r="U52" s="182"/>
      <c r="V52" s="182"/>
      <c r="W52" s="182"/>
    </row>
    <row r="53" spans="1:23" ht="15" customHeight="1" x14ac:dyDescent="0.2">
      <c r="A53" s="342" t="s">
        <v>27</v>
      </c>
      <c r="B53" s="183">
        <v>2454</v>
      </c>
      <c r="C53" s="159" t="s">
        <v>29</v>
      </c>
      <c r="D53" s="316" t="s">
        <v>52</v>
      </c>
      <c r="E53" s="160" t="s">
        <v>46</v>
      </c>
      <c r="F53" s="160" t="s">
        <v>980</v>
      </c>
      <c r="G53" s="161" t="s">
        <v>44</v>
      </c>
      <c r="H53" s="314" t="s">
        <v>981</v>
      </c>
      <c r="I53" s="161">
        <v>37118</v>
      </c>
      <c r="J53" s="162">
        <v>46146</v>
      </c>
      <c r="K53" s="336" t="s">
        <v>982</v>
      </c>
      <c r="L53" s="283">
        <f xml:space="preserve"> 48100000 + 6190000</f>
        <v>54290000</v>
      </c>
      <c r="M53" s="330"/>
      <c r="N53" s="323"/>
      <c r="O53" s="340"/>
      <c r="P53" s="322" t="s">
        <v>983</v>
      </c>
      <c r="Q53" s="311" t="b">
        <v>0</v>
      </c>
      <c r="R53" s="311" t="b">
        <v>1</v>
      </c>
      <c r="S53" s="311" t="b">
        <v>1</v>
      </c>
      <c r="T53" s="324"/>
      <c r="U53" s="182" t="s">
        <v>984</v>
      </c>
      <c r="V53" s="182">
        <v>3015</v>
      </c>
      <c r="W53" s="182" t="s">
        <v>584</v>
      </c>
    </row>
    <row r="54" spans="1:23" ht="15" customHeight="1" x14ac:dyDescent="0.2">
      <c r="A54" s="342" t="s">
        <v>27</v>
      </c>
      <c r="B54" s="183">
        <v>2455</v>
      </c>
      <c r="C54" s="159" t="s">
        <v>29</v>
      </c>
      <c r="D54" s="316" t="s">
        <v>52</v>
      </c>
      <c r="E54" s="160" t="s">
        <v>46</v>
      </c>
      <c r="F54" s="160" t="s">
        <v>985</v>
      </c>
      <c r="G54" s="161" t="s">
        <v>44</v>
      </c>
      <c r="H54" s="314" t="s">
        <v>908</v>
      </c>
      <c r="I54" s="161">
        <v>21619</v>
      </c>
      <c r="J54" s="162">
        <v>46146</v>
      </c>
      <c r="K54" s="336" t="s">
        <v>986</v>
      </c>
      <c r="L54" s="283">
        <v>74900000</v>
      </c>
      <c r="M54" s="330"/>
      <c r="N54" s="323"/>
      <c r="O54" s="340"/>
      <c r="P54" s="322" t="s">
        <v>983</v>
      </c>
      <c r="Q54" s="311" t="b">
        <v>0</v>
      </c>
      <c r="R54" s="311" t="b">
        <v>1</v>
      </c>
      <c r="S54" s="311" t="b">
        <v>1</v>
      </c>
      <c r="T54" s="324"/>
      <c r="U54" s="182" t="s">
        <v>987</v>
      </c>
      <c r="V54" s="182">
        <v>3014</v>
      </c>
      <c r="W54" s="182" t="s">
        <v>584</v>
      </c>
    </row>
    <row r="55" spans="1:23" ht="15" customHeight="1" x14ac:dyDescent="0.2">
      <c r="A55" s="342" t="s">
        <v>27</v>
      </c>
      <c r="B55" s="183">
        <v>2456</v>
      </c>
      <c r="C55" s="159"/>
      <c r="D55" s="316" t="s">
        <v>988</v>
      </c>
      <c r="E55" s="160" t="s">
        <v>31</v>
      </c>
      <c r="F55" s="160" t="s">
        <v>989</v>
      </c>
      <c r="G55" s="161"/>
      <c r="H55" s="314"/>
      <c r="I55" s="161"/>
      <c r="J55" s="162" t="s">
        <v>243</v>
      </c>
      <c r="K55" s="336" t="s">
        <v>986</v>
      </c>
      <c r="L55" s="283"/>
      <c r="M55" s="330"/>
      <c r="N55" s="323"/>
      <c r="O55" s="340"/>
      <c r="P55" s="322" t="s">
        <v>990</v>
      </c>
      <c r="Q55" s="311" t="b">
        <v>0</v>
      </c>
      <c r="R55" s="311" t="b">
        <v>0</v>
      </c>
      <c r="S55" s="311" t="b">
        <v>0</v>
      </c>
      <c r="T55" s="324"/>
      <c r="U55" s="182"/>
      <c r="V55" s="182"/>
      <c r="W55" s="182"/>
    </row>
    <row r="56" spans="1:23" ht="15" customHeight="1" x14ac:dyDescent="0.2">
      <c r="A56" s="342" t="s">
        <v>27</v>
      </c>
      <c r="B56" s="183">
        <v>2457</v>
      </c>
      <c r="C56" s="159"/>
      <c r="D56" s="316" t="s">
        <v>988</v>
      </c>
      <c r="E56" s="160" t="s">
        <v>31</v>
      </c>
      <c r="F56" s="160" t="s">
        <v>989</v>
      </c>
      <c r="G56" s="161"/>
      <c r="H56" s="314"/>
      <c r="I56" s="161"/>
      <c r="J56" s="162" t="s">
        <v>243</v>
      </c>
      <c r="K56" s="336" t="s">
        <v>986</v>
      </c>
      <c r="L56" s="283"/>
      <c r="M56" s="330"/>
      <c r="N56" s="323"/>
      <c r="O56" s="340"/>
      <c r="P56" s="322" t="s">
        <v>990</v>
      </c>
      <c r="Q56" s="311" t="b">
        <v>0</v>
      </c>
      <c r="R56" s="311" t="b">
        <v>0</v>
      </c>
      <c r="S56" s="311" t="b">
        <v>0</v>
      </c>
      <c r="T56" s="324"/>
      <c r="U56" s="182"/>
      <c r="V56" s="182"/>
      <c r="W56" s="182"/>
    </row>
    <row r="57" spans="1:23" ht="15" customHeight="1" x14ac:dyDescent="0.2">
      <c r="A57" s="342" t="s">
        <v>27</v>
      </c>
      <c r="B57" s="183">
        <v>2458</v>
      </c>
      <c r="C57" s="159"/>
      <c r="D57" s="316" t="s">
        <v>988</v>
      </c>
      <c r="E57" s="160" t="s">
        <v>31</v>
      </c>
      <c r="F57" s="160" t="s">
        <v>989</v>
      </c>
      <c r="G57" s="161"/>
      <c r="H57" s="314"/>
      <c r="I57" s="161"/>
      <c r="J57" s="162" t="s">
        <v>243</v>
      </c>
      <c r="K57" s="336" t="s">
        <v>991</v>
      </c>
      <c r="L57" s="283"/>
      <c r="M57" s="330"/>
      <c r="N57" s="323"/>
      <c r="O57" s="340"/>
      <c r="P57" s="322" t="s">
        <v>990</v>
      </c>
      <c r="Q57" s="311" t="b">
        <v>0</v>
      </c>
      <c r="R57" s="311" t="b">
        <v>0</v>
      </c>
      <c r="S57" s="311" t="b">
        <v>0</v>
      </c>
      <c r="T57" s="324"/>
      <c r="U57" s="182"/>
      <c r="V57" s="182"/>
      <c r="W57" s="182"/>
    </row>
    <row r="58" spans="1:23" ht="15" customHeight="1" x14ac:dyDescent="0.2">
      <c r="A58" s="342" t="s">
        <v>27</v>
      </c>
      <c r="B58" s="183">
        <v>2459</v>
      </c>
      <c r="C58" s="159"/>
      <c r="D58" s="316" t="s">
        <v>988</v>
      </c>
      <c r="E58" s="160" t="s">
        <v>31</v>
      </c>
      <c r="F58" s="160" t="s">
        <v>989</v>
      </c>
      <c r="G58" s="161"/>
      <c r="H58" s="314"/>
      <c r="I58" s="161"/>
      <c r="J58" s="162" t="s">
        <v>243</v>
      </c>
      <c r="K58" s="336" t="s">
        <v>991</v>
      </c>
      <c r="L58" s="283"/>
      <c r="M58" s="330"/>
      <c r="N58" s="323"/>
      <c r="O58" s="340"/>
      <c r="P58" s="322" t="s">
        <v>990</v>
      </c>
      <c r="Q58" s="311" t="b">
        <v>0</v>
      </c>
      <c r="R58" s="311" t="b">
        <v>0</v>
      </c>
      <c r="S58" s="311" t="b">
        <v>0</v>
      </c>
      <c r="T58" s="324"/>
      <c r="U58" s="182"/>
      <c r="V58" s="182"/>
      <c r="W58" s="182"/>
    </row>
    <row r="59" spans="1:23" ht="15" customHeight="1" x14ac:dyDescent="0.2">
      <c r="A59" s="342" t="s">
        <v>27</v>
      </c>
      <c r="B59" s="183">
        <v>2460</v>
      </c>
      <c r="C59" s="159"/>
      <c r="D59" s="316" t="s">
        <v>988</v>
      </c>
      <c r="E59" s="160" t="s">
        <v>31</v>
      </c>
      <c r="F59" s="160" t="s">
        <v>989</v>
      </c>
      <c r="G59" s="161"/>
      <c r="H59" s="314"/>
      <c r="I59" s="161"/>
      <c r="J59" s="162" t="s">
        <v>243</v>
      </c>
      <c r="K59" s="336" t="s">
        <v>991</v>
      </c>
      <c r="L59" s="283"/>
      <c r="M59" s="330"/>
      <c r="N59" s="323"/>
      <c r="O59" s="340"/>
      <c r="P59" s="322" t="s">
        <v>990</v>
      </c>
      <c r="Q59" s="311" t="b">
        <v>0</v>
      </c>
      <c r="R59" s="311" t="b">
        <v>0</v>
      </c>
      <c r="S59" s="311" t="b">
        <v>0</v>
      </c>
      <c r="T59" s="324"/>
      <c r="U59" s="182"/>
      <c r="V59" s="182"/>
      <c r="W59" s="182"/>
    </row>
    <row r="60" spans="1:23" ht="15" customHeight="1" x14ac:dyDescent="0.2">
      <c r="A60" s="342" t="s">
        <v>27</v>
      </c>
      <c r="B60" s="183">
        <v>2461</v>
      </c>
      <c r="C60" s="159"/>
      <c r="D60" s="316" t="s">
        <v>988</v>
      </c>
      <c r="E60" s="160" t="s">
        <v>31</v>
      </c>
      <c r="F60" s="160" t="s">
        <v>989</v>
      </c>
      <c r="G60" s="161"/>
      <c r="H60" s="314"/>
      <c r="I60" s="161"/>
      <c r="J60" s="162" t="s">
        <v>243</v>
      </c>
      <c r="K60" s="336"/>
      <c r="L60" s="283"/>
      <c r="M60" s="330"/>
      <c r="N60" s="323"/>
      <c r="O60" s="340"/>
      <c r="P60" s="322"/>
      <c r="Q60" s="311" t="b">
        <v>0</v>
      </c>
      <c r="R60" s="311" t="b">
        <v>0</v>
      </c>
      <c r="S60" s="311" t="b">
        <v>0</v>
      </c>
      <c r="T60" s="324"/>
      <c r="U60" s="182"/>
      <c r="V60" s="182"/>
      <c r="W60" s="182"/>
    </row>
    <row r="61" spans="1:23" ht="15" customHeight="1" x14ac:dyDescent="0.2">
      <c r="A61" s="342" t="s">
        <v>27</v>
      </c>
      <c r="B61" s="183">
        <v>2462</v>
      </c>
      <c r="C61" s="159" t="s">
        <v>22</v>
      </c>
      <c r="D61" s="316" t="s">
        <v>992</v>
      </c>
      <c r="E61" s="160" t="s">
        <v>34</v>
      </c>
      <c r="F61" s="160" t="s">
        <v>976</v>
      </c>
      <c r="G61" s="161" t="s">
        <v>23</v>
      </c>
      <c r="H61" s="314"/>
      <c r="I61" s="161"/>
      <c r="J61" s="162" t="s">
        <v>243</v>
      </c>
      <c r="K61" s="336"/>
      <c r="L61" s="283">
        <v>9500000</v>
      </c>
      <c r="M61" s="330"/>
      <c r="N61" s="344" t="s">
        <v>993</v>
      </c>
      <c r="O61" s="340">
        <v>1573</v>
      </c>
      <c r="P61" s="322" t="s">
        <v>994</v>
      </c>
      <c r="Q61" s="311" t="b">
        <v>0</v>
      </c>
      <c r="R61" s="311" t="b">
        <v>0</v>
      </c>
      <c r="S61" s="311" t="b">
        <v>0</v>
      </c>
      <c r="T61" s="324"/>
      <c r="U61" s="182"/>
      <c r="V61" s="182"/>
      <c r="W61" s="182"/>
    </row>
    <row r="62" spans="1:23" ht="15" customHeight="1" x14ac:dyDescent="0.2">
      <c r="A62" s="342" t="s">
        <v>27</v>
      </c>
      <c r="B62" s="183"/>
      <c r="C62" s="159" t="s">
        <v>905</v>
      </c>
      <c r="D62" s="316" t="s">
        <v>995</v>
      </c>
      <c r="E62" s="160" t="s">
        <v>925</v>
      </c>
      <c r="F62" s="160" t="s">
        <v>996</v>
      </c>
      <c r="G62" s="161" t="s">
        <v>68</v>
      </c>
      <c r="H62" s="314" t="s">
        <v>997</v>
      </c>
      <c r="I62" s="161">
        <v>7000002</v>
      </c>
      <c r="J62" s="162">
        <v>46148</v>
      </c>
      <c r="K62" s="336">
        <v>46169</v>
      </c>
      <c r="L62" s="283">
        <v>137906666</v>
      </c>
      <c r="M62" s="330"/>
      <c r="N62" s="323"/>
      <c r="O62" s="340"/>
      <c r="P62" s="322" t="s">
        <v>998</v>
      </c>
      <c r="Q62" s="311" t="b">
        <v>0</v>
      </c>
      <c r="R62" s="311" t="b">
        <v>1</v>
      </c>
      <c r="S62" s="311" t="b">
        <v>1</v>
      </c>
      <c r="T62" s="324"/>
      <c r="U62" s="182" t="s">
        <v>999</v>
      </c>
      <c r="V62" s="182">
        <v>3018</v>
      </c>
      <c r="W62" s="182" t="s">
        <v>584</v>
      </c>
    </row>
    <row r="63" spans="1:23" ht="15" customHeight="1" x14ac:dyDescent="0.2">
      <c r="A63" s="342" t="s">
        <v>27</v>
      </c>
      <c r="B63" s="183">
        <v>2464</v>
      </c>
      <c r="C63" s="159" t="s">
        <v>905</v>
      </c>
      <c r="D63" s="316" t="s">
        <v>995</v>
      </c>
      <c r="E63" s="160" t="s">
        <v>925</v>
      </c>
      <c r="F63" s="160" t="s">
        <v>996</v>
      </c>
      <c r="G63" s="161" t="s">
        <v>68</v>
      </c>
      <c r="H63" s="314" t="s">
        <v>997</v>
      </c>
      <c r="I63" s="161">
        <v>7000009</v>
      </c>
      <c r="J63" s="162">
        <v>46150</v>
      </c>
      <c r="K63" s="336">
        <v>46169</v>
      </c>
      <c r="L63" s="283">
        <v>137906666</v>
      </c>
      <c r="M63" s="330"/>
      <c r="N63" s="323"/>
      <c r="O63" s="340"/>
      <c r="P63" s="322" t="s">
        <v>998</v>
      </c>
      <c r="Q63" s="311" t="b">
        <v>0</v>
      </c>
      <c r="R63" s="311" t="b">
        <v>1</v>
      </c>
      <c r="S63" s="311" t="b">
        <v>1</v>
      </c>
      <c r="T63" s="324"/>
      <c r="U63" s="182" t="s">
        <v>999</v>
      </c>
      <c r="V63" s="182">
        <v>3021</v>
      </c>
      <c r="W63" s="182" t="s">
        <v>584</v>
      </c>
    </row>
    <row r="64" spans="1:23" ht="15" customHeight="1" x14ac:dyDescent="0.2">
      <c r="A64" s="342" t="s">
        <v>27</v>
      </c>
      <c r="B64" s="183">
        <v>2465</v>
      </c>
      <c r="C64" s="159" t="s">
        <v>905</v>
      </c>
      <c r="D64" s="316" t="s">
        <v>995</v>
      </c>
      <c r="E64" s="160" t="s">
        <v>925</v>
      </c>
      <c r="F64" s="160" t="s">
        <v>996</v>
      </c>
      <c r="G64" s="161" t="s">
        <v>68</v>
      </c>
      <c r="H64" s="314" t="s">
        <v>997</v>
      </c>
      <c r="I64" s="161">
        <v>7000011</v>
      </c>
      <c r="J64" s="162">
        <v>46150</v>
      </c>
      <c r="K64" s="336">
        <v>46169</v>
      </c>
      <c r="L64" s="283">
        <v>137906666</v>
      </c>
      <c r="M64" s="330"/>
      <c r="N64" s="323"/>
      <c r="O64" s="340"/>
      <c r="P64" s="322" t="s">
        <v>998</v>
      </c>
      <c r="Q64" s="311" t="b">
        <v>0</v>
      </c>
      <c r="R64" s="311" t="b">
        <v>1</v>
      </c>
      <c r="S64" s="311" t="b">
        <v>1</v>
      </c>
      <c r="T64" s="324"/>
      <c r="U64" s="182" t="s">
        <v>999</v>
      </c>
      <c r="V64" s="182">
        <v>3020</v>
      </c>
      <c r="W64" s="182" t="s">
        <v>584</v>
      </c>
    </row>
    <row r="65" spans="1:23" ht="15" customHeight="1" x14ac:dyDescent="0.2">
      <c r="A65" s="342" t="s">
        <v>27</v>
      </c>
      <c r="B65" s="183">
        <v>2466</v>
      </c>
      <c r="C65" s="159" t="s">
        <v>29</v>
      </c>
      <c r="D65" s="316" t="s">
        <v>1000</v>
      </c>
      <c r="E65" s="160" t="s">
        <v>46</v>
      </c>
      <c r="F65" s="160" t="s">
        <v>895</v>
      </c>
      <c r="G65" s="161" t="s">
        <v>130</v>
      </c>
      <c r="H65" s="314" t="s">
        <v>131</v>
      </c>
      <c r="I65" s="161"/>
      <c r="J65" s="162" t="s">
        <v>243</v>
      </c>
      <c r="K65" s="336"/>
      <c r="L65" s="283">
        <v>85000000</v>
      </c>
      <c r="M65" s="330"/>
      <c r="N65" s="323"/>
      <c r="O65" s="340"/>
      <c r="P65" s="322" t="s">
        <v>1001</v>
      </c>
      <c r="Q65" s="311" t="b">
        <v>0</v>
      </c>
      <c r="R65" s="311" t="b">
        <v>1</v>
      </c>
      <c r="S65" s="311" t="b">
        <v>1</v>
      </c>
      <c r="T65" s="324"/>
      <c r="U65" s="182"/>
      <c r="V65" s="182"/>
      <c r="W65" s="182"/>
    </row>
    <row r="66" spans="1:23" ht="15" customHeight="1" x14ac:dyDescent="0.2">
      <c r="A66" s="342" t="s">
        <v>27</v>
      </c>
      <c r="B66" s="183">
        <v>2467</v>
      </c>
      <c r="C66" s="159" t="s">
        <v>22</v>
      </c>
      <c r="D66" s="316" t="s">
        <v>1002</v>
      </c>
      <c r="E66" s="160" t="s">
        <v>46</v>
      </c>
      <c r="F66" s="160" t="s">
        <v>895</v>
      </c>
      <c r="G66" s="161" t="s">
        <v>961</v>
      </c>
      <c r="H66" s="314" t="s">
        <v>36</v>
      </c>
      <c r="I66" s="161"/>
      <c r="J66" s="162" t="s">
        <v>243</v>
      </c>
      <c r="K66" s="336"/>
      <c r="L66" s="283">
        <v>67700000</v>
      </c>
      <c r="M66" s="330"/>
      <c r="N66" s="323"/>
      <c r="O66" s="340"/>
      <c r="P66" s="322" t="s">
        <v>1001</v>
      </c>
      <c r="Q66" s="311" t="b">
        <v>0</v>
      </c>
      <c r="R66" s="311" t="b">
        <v>1</v>
      </c>
      <c r="S66" s="311" t="b">
        <v>1</v>
      </c>
      <c r="T66" s="324"/>
      <c r="U66" s="182"/>
      <c r="V66" s="182"/>
      <c r="W66" s="182"/>
    </row>
    <row r="67" spans="1:23" ht="15" customHeight="1" x14ac:dyDescent="0.2">
      <c r="A67" s="334"/>
      <c r="B67" s="183">
        <v>2468</v>
      </c>
      <c r="C67" s="159" t="s">
        <v>905</v>
      </c>
      <c r="D67" s="316" t="s">
        <v>1003</v>
      </c>
      <c r="E67" s="160" t="s">
        <v>24</v>
      </c>
      <c r="F67" s="160" t="s">
        <v>713</v>
      </c>
      <c r="G67" s="161" t="s">
        <v>44</v>
      </c>
      <c r="H67" s="314" t="s">
        <v>908</v>
      </c>
      <c r="I67" s="161"/>
      <c r="J67" s="162" t="s">
        <v>243</v>
      </c>
      <c r="K67" s="336"/>
      <c r="L67" s="283"/>
      <c r="M67" s="330"/>
      <c r="N67" s="323" t="s">
        <v>1004</v>
      </c>
      <c r="O67" s="340"/>
      <c r="P67" s="322" t="s">
        <v>1005</v>
      </c>
      <c r="Q67" s="311" t="b">
        <v>0</v>
      </c>
      <c r="R67" s="311" t="b">
        <v>1</v>
      </c>
      <c r="S67" s="311" t="b">
        <v>1</v>
      </c>
      <c r="T67" s="324"/>
      <c r="U67" s="182"/>
      <c r="V67" s="182"/>
      <c r="W67" s="182"/>
    </row>
    <row r="68" spans="1:23" ht="15" customHeight="1" x14ac:dyDescent="0.2">
      <c r="A68" s="334"/>
      <c r="B68" s="183">
        <v>2469</v>
      </c>
      <c r="C68" s="159" t="s">
        <v>22</v>
      </c>
      <c r="D68" s="316" t="s">
        <v>23</v>
      </c>
      <c r="E68" s="160" t="s">
        <v>24</v>
      </c>
      <c r="F68" s="160" t="s">
        <v>485</v>
      </c>
      <c r="G68" s="161" t="s">
        <v>961</v>
      </c>
      <c r="H68" s="314" t="s">
        <v>1006</v>
      </c>
      <c r="I68" s="161"/>
      <c r="J68" s="162" t="s">
        <v>243</v>
      </c>
      <c r="K68" s="336"/>
      <c r="L68" s="283"/>
      <c r="M68" s="330"/>
      <c r="N68" s="323"/>
      <c r="O68" s="340"/>
      <c r="P68" s="322" t="s">
        <v>1007</v>
      </c>
      <c r="Q68" s="311" t="b">
        <v>0</v>
      </c>
      <c r="R68" s="311" t="b">
        <v>0</v>
      </c>
      <c r="S68" s="311" t="b">
        <v>0</v>
      </c>
      <c r="T68" s="324"/>
      <c r="U68" s="182"/>
      <c r="V68" s="182"/>
      <c r="W68" s="182"/>
    </row>
    <row r="69" spans="1:23" ht="15" customHeight="1" x14ac:dyDescent="0.2">
      <c r="A69" s="334"/>
      <c r="B69" s="183">
        <v>2470</v>
      </c>
      <c r="C69" s="159" t="s">
        <v>22</v>
      </c>
      <c r="D69" s="316" t="s">
        <v>23</v>
      </c>
      <c r="E69" s="160" t="s">
        <v>24</v>
      </c>
      <c r="F69" s="160" t="s">
        <v>485</v>
      </c>
      <c r="G69" s="161" t="s">
        <v>961</v>
      </c>
      <c r="H69" s="314" t="s">
        <v>1006</v>
      </c>
      <c r="I69" s="161"/>
      <c r="J69" s="162" t="s">
        <v>243</v>
      </c>
      <c r="K69" s="336"/>
      <c r="L69" s="283"/>
      <c r="M69" s="330"/>
      <c r="N69" s="323"/>
      <c r="O69" s="340"/>
      <c r="P69" s="322" t="s">
        <v>1007</v>
      </c>
      <c r="Q69" s="311" t="b">
        <v>0</v>
      </c>
      <c r="R69" s="311" t="b">
        <v>0</v>
      </c>
      <c r="S69" s="311" t="b">
        <v>0</v>
      </c>
      <c r="T69" s="324"/>
      <c r="U69" s="182"/>
      <c r="V69" s="182"/>
      <c r="W69" s="182"/>
    </row>
    <row r="70" spans="1:23" ht="15" customHeight="1" x14ac:dyDescent="0.2">
      <c r="A70" s="334"/>
      <c r="B70" s="183">
        <v>2471</v>
      </c>
      <c r="C70" s="159"/>
      <c r="D70" s="316"/>
      <c r="E70" s="160"/>
      <c r="F70" s="160"/>
      <c r="G70" s="161"/>
      <c r="H70" s="314"/>
      <c r="I70" s="161"/>
      <c r="J70" s="162" t="s">
        <v>243</v>
      </c>
      <c r="K70" s="336"/>
      <c r="L70" s="283"/>
      <c r="M70" s="330"/>
      <c r="N70" s="323"/>
      <c r="O70" s="340"/>
      <c r="Q70" s="311" t="b">
        <v>0</v>
      </c>
      <c r="R70" s="311" t="b">
        <v>0</v>
      </c>
      <c r="S70" s="311" t="b">
        <v>0</v>
      </c>
      <c r="T70" s="324"/>
      <c r="U70" s="182"/>
      <c r="V70" s="182"/>
      <c r="W70" s="182"/>
    </row>
    <row r="71" spans="1:23" ht="15" customHeight="1" x14ac:dyDescent="0.2">
      <c r="A71" s="334"/>
      <c r="B71" s="183">
        <v>2472</v>
      </c>
      <c r="C71" s="159"/>
      <c r="D71" s="316"/>
      <c r="E71" s="160"/>
      <c r="F71" s="160"/>
      <c r="G71" s="161"/>
      <c r="H71" s="314"/>
      <c r="I71" s="161"/>
      <c r="J71" s="162" t="s">
        <v>243</v>
      </c>
      <c r="K71" s="336"/>
      <c r="L71" s="283"/>
      <c r="M71" s="330"/>
      <c r="N71" s="323"/>
      <c r="O71" s="340"/>
      <c r="Q71" s="311" t="b">
        <v>0</v>
      </c>
      <c r="R71" s="311" t="b">
        <v>0</v>
      </c>
      <c r="S71" s="311" t="b">
        <v>0</v>
      </c>
      <c r="T71" s="324"/>
      <c r="U71" s="182"/>
      <c r="V71" s="182"/>
      <c r="W71" s="182"/>
    </row>
    <row r="72" spans="1:23" ht="15" customHeight="1" x14ac:dyDescent="0.2">
      <c r="A72" s="334"/>
      <c r="B72" s="183">
        <v>2473</v>
      </c>
      <c r="C72" s="159"/>
      <c r="D72" s="316"/>
      <c r="E72" s="160"/>
      <c r="F72" s="160"/>
      <c r="G72" s="161"/>
      <c r="H72" s="314"/>
      <c r="I72" s="161"/>
      <c r="J72" s="162" t="s">
        <v>243</v>
      </c>
      <c r="K72" s="336"/>
      <c r="L72" s="283"/>
      <c r="M72" s="330"/>
      <c r="N72" s="323"/>
      <c r="O72" s="340"/>
      <c r="Q72" s="311" t="b">
        <v>0</v>
      </c>
      <c r="R72" s="311" t="b">
        <v>0</v>
      </c>
      <c r="S72" s="311" t="b">
        <v>0</v>
      </c>
      <c r="T72" s="324"/>
      <c r="U72" s="182"/>
      <c r="V72" s="182"/>
      <c r="W72" s="182"/>
    </row>
    <row r="73" spans="1:23" ht="15" customHeight="1" x14ac:dyDescent="0.2">
      <c r="A73" s="334"/>
      <c r="B73" s="183">
        <v>2474</v>
      </c>
      <c r="C73" s="159"/>
      <c r="D73" s="316"/>
      <c r="E73" s="160"/>
      <c r="F73" s="160"/>
      <c r="G73" s="161"/>
      <c r="H73" s="314"/>
      <c r="I73" s="161"/>
      <c r="J73" s="162" t="s">
        <v>243</v>
      </c>
      <c r="K73" s="336"/>
      <c r="L73" s="283"/>
      <c r="M73" s="330"/>
      <c r="N73" s="323"/>
      <c r="O73" s="340"/>
      <c r="Q73" s="311" t="b">
        <v>0</v>
      </c>
      <c r="R73" s="311" t="b">
        <v>0</v>
      </c>
      <c r="S73" s="311" t="b">
        <v>0</v>
      </c>
      <c r="T73" s="324"/>
      <c r="U73" s="182"/>
      <c r="V73" s="182"/>
      <c r="W73" s="182"/>
    </row>
    <row r="74" spans="1:23" ht="15" customHeight="1" x14ac:dyDescent="0.2">
      <c r="A74" s="334"/>
      <c r="B74" s="183">
        <v>2475</v>
      </c>
      <c r="C74" s="159"/>
      <c r="D74" s="316"/>
      <c r="E74" s="160"/>
      <c r="F74" s="160"/>
      <c r="G74" s="161"/>
      <c r="H74" s="314"/>
      <c r="I74" s="161"/>
      <c r="J74" s="162" t="s">
        <v>243</v>
      </c>
      <c r="K74" s="336"/>
      <c r="L74" s="283"/>
      <c r="M74" s="330"/>
      <c r="N74" s="323"/>
      <c r="O74" s="340"/>
      <c r="Q74" s="311" t="b">
        <v>0</v>
      </c>
      <c r="R74" s="311" t="b">
        <v>0</v>
      </c>
      <c r="S74" s="311" t="b">
        <v>0</v>
      </c>
      <c r="T74" s="324"/>
      <c r="U74" s="182"/>
      <c r="V74" s="182"/>
      <c r="W74" s="182"/>
    </row>
    <row r="75" spans="1:23" ht="15" customHeight="1" x14ac:dyDescent="0.2">
      <c r="A75" s="334"/>
      <c r="B75" s="183">
        <v>2476</v>
      </c>
      <c r="C75" s="159"/>
      <c r="D75" s="316"/>
      <c r="E75" s="160"/>
      <c r="F75" s="160"/>
      <c r="G75" s="161"/>
      <c r="H75" s="314"/>
      <c r="I75" s="161"/>
      <c r="J75" s="162" t="s">
        <v>243</v>
      </c>
      <c r="K75" s="336"/>
      <c r="L75" s="283"/>
      <c r="M75" s="330"/>
      <c r="N75" s="323"/>
      <c r="O75" s="340"/>
      <c r="Q75" s="311" t="b">
        <v>0</v>
      </c>
      <c r="R75" s="311" t="b">
        <v>0</v>
      </c>
      <c r="S75" s="311" t="b">
        <v>0</v>
      </c>
      <c r="T75" s="324"/>
      <c r="U75" s="182"/>
      <c r="V75" s="182"/>
      <c r="W75" s="182"/>
    </row>
    <row r="76" spans="1:23" ht="15" customHeight="1" x14ac:dyDescent="0.2">
      <c r="A76" s="334"/>
      <c r="B76" s="183">
        <v>2477</v>
      </c>
      <c r="C76" s="159"/>
      <c r="D76" s="316"/>
      <c r="E76" s="160"/>
      <c r="F76" s="160"/>
      <c r="G76" s="161"/>
      <c r="H76" s="314"/>
      <c r="I76" s="161"/>
      <c r="J76" s="162" t="s">
        <v>243</v>
      </c>
      <c r="K76" s="336"/>
      <c r="L76" s="283"/>
      <c r="M76" s="330"/>
      <c r="N76" s="323"/>
      <c r="O76" s="340"/>
      <c r="Q76" s="311" t="b">
        <v>0</v>
      </c>
      <c r="R76" s="311" t="b">
        <v>0</v>
      </c>
      <c r="S76" s="311" t="b">
        <v>0</v>
      </c>
      <c r="T76" s="324"/>
      <c r="U76" s="182"/>
      <c r="V76" s="182"/>
      <c r="W76" s="182"/>
    </row>
    <row r="77" spans="1:23" ht="15" customHeight="1" x14ac:dyDescent="0.2">
      <c r="A77" s="334"/>
      <c r="B77" s="183">
        <v>2478</v>
      </c>
      <c r="C77" s="159"/>
      <c r="D77" s="316"/>
      <c r="E77" s="160"/>
      <c r="F77" s="160"/>
      <c r="G77" s="161"/>
      <c r="H77" s="314"/>
      <c r="I77" s="161"/>
      <c r="J77" s="162" t="s">
        <v>243</v>
      </c>
      <c r="K77" s="336"/>
      <c r="L77" s="283"/>
      <c r="M77" s="330"/>
      <c r="N77" s="323"/>
      <c r="O77" s="340"/>
      <c r="Q77" s="311" t="b">
        <v>0</v>
      </c>
      <c r="R77" s="311" t="b">
        <v>0</v>
      </c>
      <c r="S77" s="311" t="b">
        <v>0</v>
      </c>
      <c r="T77" s="324"/>
      <c r="U77" s="182"/>
      <c r="V77" s="182"/>
      <c r="W77" s="182"/>
    </row>
    <row r="78" spans="1:23" ht="15" customHeight="1" x14ac:dyDescent="0.2">
      <c r="A78" s="334"/>
      <c r="B78" s="183">
        <v>2479</v>
      </c>
      <c r="C78" s="159"/>
      <c r="D78" s="316"/>
      <c r="E78" s="160"/>
      <c r="F78" s="160"/>
      <c r="G78" s="161"/>
      <c r="H78" s="314"/>
      <c r="I78" s="161"/>
      <c r="J78" s="162" t="s">
        <v>243</v>
      </c>
      <c r="K78" s="336"/>
      <c r="L78" s="283"/>
      <c r="M78" s="330"/>
      <c r="N78" s="323"/>
      <c r="O78" s="340"/>
      <c r="Q78" s="311" t="b">
        <v>0</v>
      </c>
      <c r="R78" s="311" t="b">
        <v>0</v>
      </c>
      <c r="S78" s="311" t="b">
        <v>0</v>
      </c>
      <c r="T78" s="324"/>
      <c r="U78" s="182"/>
      <c r="V78" s="182"/>
      <c r="W78" s="182"/>
    </row>
    <row r="79" spans="1:23" ht="15" customHeight="1" x14ac:dyDescent="0.2">
      <c r="A79" s="334"/>
      <c r="B79" s="183">
        <v>2480</v>
      </c>
      <c r="C79" s="159"/>
      <c r="D79" s="316"/>
      <c r="E79" s="160"/>
      <c r="F79" s="160"/>
      <c r="G79" s="161"/>
      <c r="H79" s="314"/>
      <c r="I79" s="161"/>
      <c r="J79" s="162" t="s">
        <v>243</v>
      </c>
      <c r="K79" s="336"/>
      <c r="L79" s="283"/>
      <c r="M79" s="330"/>
      <c r="N79" s="323"/>
      <c r="O79" s="340"/>
      <c r="Q79" s="311" t="b">
        <v>0</v>
      </c>
      <c r="R79" s="311" t="b">
        <v>0</v>
      </c>
      <c r="S79" s="311" t="b">
        <v>0</v>
      </c>
      <c r="T79" s="324"/>
      <c r="U79" s="182"/>
      <c r="V79" s="182"/>
      <c r="W79" s="182"/>
    </row>
    <row r="80" spans="1:23" ht="15" customHeight="1" x14ac:dyDescent="0.2">
      <c r="A80" s="334"/>
      <c r="B80" s="183">
        <v>2481</v>
      </c>
      <c r="C80" s="159"/>
      <c r="D80" s="316"/>
      <c r="E80" s="160"/>
      <c r="F80" s="160"/>
      <c r="G80" s="161"/>
      <c r="H80" s="314"/>
      <c r="I80" s="161"/>
      <c r="J80" s="162" t="s">
        <v>243</v>
      </c>
      <c r="K80" s="336"/>
      <c r="L80" s="283"/>
      <c r="M80" s="330"/>
      <c r="N80" s="323"/>
      <c r="O80" s="340"/>
      <c r="Q80" s="311" t="b">
        <v>0</v>
      </c>
      <c r="R80" s="311" t="b">
        <v>0</v>
      </c>
      <c r="S80" s="311" t="b">
        <v>0</v>
      </c>
      <c r="T80" s="324"/>
      <c r="U80" s="182"/>
      <c r="V80" s="182"/>
      <c r="W80" s="182"/>
    </row>
    <row r="81" spans="1:23" ht="15" customHeight="1" x14ac:dyDescent="0.2">
      <c r="A81" s="334"/>
      <c r="B81" s="183">
        <v>2482</v>
      </c>
      <c r="C81" s="159"/>
      <c r="D81" s="316"/>
      <c r="E81" s="160"/>
      <c r="F81" s="160"/>
      <c r="G81" s="161"/>
      <c r="H81" s="314"/>
      <c r="I81" s="161"/>
      <c r="J81" s="162" t="s">
        <v>243</v>
      </c>
      <c r="K81" s="336"/>
      <c r="L81" s="283"/>
      <c r="M81" s="330"/>
      <c r="N81" s="323"/>
      <c r="O81" s="340"/>
      <c r="Q81" s="311" t="b">
        <v>0</v>
      </c>
      <c r="R81" s="311" t="b">
        <v>0</v>
      </c>
      <c r="S81" s="311" t="b">
        <v>0</v>
      </c>
      <c r="T81" s="324"/>
      <c r="U81" s="182"/>
      <c r="V81" s="182"/>
      <c r="W81" s="182"/>
    </row>
    <row r="82" spans="1:23" ht="15" customHeight="1" x14ac:dyDescent="0.2">
      <c r="A82" s="334"/>
      <c r="B82" s="183">
        <v>2483</v>
      </c>
      <c r="C82" s="159"/>
      <c r="D82" s="316"/>
      <c r="E82" s="160"/>
      <c r="F82" s="160"/>
      <c r="G82" s="161"/>
      <c r="H82" s="314"/>
      <c r="I82" s="161"/>
      <c r="J82" s="162" t="s">
        <v>243</v>
      </c>
      <c r="K82" s="336"/>
      <c r="L82" s="283"/>
      <c r="M82" s="330"/>
      <c r="N82" s="323"/>
      <c r="O82" s="340"/>
      <c r="Q82" s="311" t="b">
        <v>0</v>
      </c>
      <c r="R82" s="311" t="b">
        <v>0</v>
      </c>
      <c r="S82" s="311" t="b">
        <v>0</v>
      </c>
      <c r="T82" s="324"/>
      <c r="U82" s="182"/>
      <c r="V82" s="182"/>
      <c r="W82" s="182"/>
    </row>
    <row r="83" spans="1:23" ht="15" customHeight="1" x14ac:dyDescent="0.2">
      <c r="A83" s="334"/>
      <c r="B83" s="183">
        <v>2484</v>
      </c>
      <c r="C83" s="159"/>
      <c r="D83" s="316"/>
      <c r="E83" s="160"/>
      <c r="F83" s="160"/>
      <c r="G83" s="161"/>
      <c r="H83" s="314"/>
      <c r="I83" s="161"/>
      <c r="J83" s="162" t="s">
        <v>243</v>
      </c>
      <c r="K83" s="336"/>
      <c r="L83" s="283"/>
      <c r="M83" s="330"/>
      <c r="N83" s="323"/>
      <c r="O83" s="340"/>
      <c r="Q83" s="311" t="b">
        <v>0</v>
      </c>
      <c r="R83" s="311" t="b">
        <v>0</v>
      </c>
      <c r="S83" s="311" t="b">
        <v>0</v>
      </c>
      <c r="T83" s="324"/>
      <c r="U83" s="182"/>
      <c r="V83" s="182"/>
      <c r="W83" s="182"/>
    </row>
    <row r="84" spans="1:23" ht="15" customHeight="1" x14ac:dyDescent="0.2">
      <c r="A84" s="334"/>
      <c r="B84" s="183">
        <v>2485</v>
      </c>
      <c r="C84" s="159"/>
      <c r="D84" s="316"/>
      <c r="E84" s="160"/>
      <c r="F84" s="160"/>
      <c r="G84" s="161"/>
      <c r="H84" s="314"/>
      <c r="I84" s="161"/>
      <c r="J84" s="162" t="s">
        <v>243</v>
      </c>
      <c r="K84" s="336"/>
      <c r="L84" s="283"/>
      <c r="M84" s="330"/>
      <c r="N84" s="323"/>
      <c r="O84" s="340"/>
      <c r="Q84" s="311" t="b">
        <v>0</v>
      </c>
      <c r="R84" s="311" t="b">
        <v>0</v>
      </c>
      <c r="S84" s="311" t="b">
        <v>0</v>
      </c>
      <c r="T84" s="324"/>
      <c r="U84" s="182"/>
      <c r="V84" s="182"/>
      <c r="W84" s="182"/>
    </row>
    <row r="85" spans="1:23" ht="15" customHeight="1" x14ac:dyDescent="0.2">
      <c r="A85" s="334"/>
      <c r="B85" s="183">
        <v>2486</v>
      </c>
      <c r="C85" s="159"/>
      <c r="D85" s="316"/>
      <c r="E85" s="160"/>
      <c r="F85" s="160"/>
      <c r="G85" s="161"/>
      <c r="H85" s="314"/>
      <c r="I85" s="161"/>
      <c r="J85" s="162" t="s">
        <v>243</v>
      </c>
      <c r="K85" s="336"/>
      <c r="L85" s="283"/>
      <c r="M85" s="330"/>
      <c r="N85" s="323"/>
      <c r="O85" s="340"/>
      <c r="Q85" s="311" t="b">
        <v>0</v>
      </c>
      <c r="R85" s="311" t="b">
        <v>0</v>
      </c>
      <c r="S85" s="311" t="b">
        <v>0</v>
      </c>
      <c r="T85" s="324"/>
      <c r="U85" s="182"/>
      <c r="V85" s="182"/>
      <c r="W85" s="182"/>
    </row>
    <row r="86" spans="1:23" ht="15" customHeight="1" x14ac:dyDescent="0.2">
      <c r="A86" s="334"/>
      <c r="B86" s="183">
        <v>2487</v>
      </c>
      <c r="C86" s="159"/>
      <c r="D86" s="316"/>
      <c r="E86" s="160"/>
      <c r="F86" s="160"/>
      <c r="G86" s="161"/>
      <c r="H86" s="314"/>
      <c r="I86" s="161"/>
      <c r="J86" s="162" t="s">
        <v>243</v>
      </c>
      <c r="K86" s="336"/>
      <c r="L86" s="283"/>
      <c r="M86" s="330"/>
      <c r="N86" s="323"/>
      <c r="O86" s="340"/>
      <c r="Q86" s="311" t="b">
        <v>0</v>
      </c>
      <c r="R86" s="311" t="b">
        <v>0</v>
      </c>
      <c r="S86" s="311" t="b">
        <v>0</v>
      </c>
      <c r="T86" s="324"/>
      <c r="U86" s="182"/>
      <c r="V86" s="182"/>
      <c r="W86" s="182"/>
    </row>
    <row r="87" spans="1:23" ht="15" customHeight="1" x14ac:dyDescent="0.2">
      <c r="A87" s="334"/>
      <c r="B87" s="183">
        <v>2488</v>
      </c>
      <c r="C87" s="159"/>
      <c r="D87" s="316"/>
      <c r="E87" s="160"/>
      <c r="F87" s="160"/>
      <c r="G87" s="161"/>
      <c r="H87" s="314"/>
      <c r="I87" s="161"/>
      <c r="J87" s="162" t="s">
        <v>243</v>
      </c>
      <c r="K87" s="336"/>
      <c r="L87" s="283"/>
      <c r="M87" s="330"/>
      <c r="N87" s="323"/>
      <c r="O87" s="340"/>
      <c r="Q87" s="311" t="b">
        <v>0</v>
      </c>
      <c r="R87" s="311" t="b">
        <v>0</v>
      </c>
      <c r="S87" s="311" t="b">
        <v>0</v>
      </c>
      <c r="T87" s="324"/>
      <c r="U87" s="182"/>
      <c r="V87" s="182"/>
      <c r="W87" s="182"/>
    </row>
    <row r="88" spans="1:23" ht="15" customHeight="1" x14ac:dyDescent="0.2">
      <c r="A88" s="334"/>
      <c r="B88" s="183">
        <v>2489</v>
      </c>
      <c r="C88" s="159"/>
      <c r="D88" s="316"/>
      <c r="E88" s="160"/>
      <c r="F88" s="160"/>
      <c r="G88" s="161"/>
      <c r="H88" s="314"/>
      <c r="I88" s="161"/>
      <c r="J88" s="162" t="s">
        <v>243</v>
      </c>
      <c r="K88" s="336"/>
      <c r="L88" s="283"/>
      <c r="M88" s="330"/>
      <c r="N88" s="323"/>
      <c r="O88" s="340"/>
      <c r="Q88" s="311" t="b">
        <v>0</v>
      </c>
      <c r="R88" s="311" t="b">
        <v>0</v>
      </c>
      <c r="S88" s="311" t="b">
        <v>0</v>
      </c>
      <c r="T88" s="324"/>
      <c r="U88" s="182"/>
      <c r="V88" s="182"/>
      <c r="W88" s="182"/>
    </row>
    <row r="89" spans="1:23" ht="15" customHeight="1" x14ac:dyDescent="0.2">
      <c r="A89" s="334"/>
      <c r="B89" s="183">
        <v>2490</v>
      </c>
      <c r="C89" s="159"/>
      <c r="D89" s="316"/>
      <c r="E89" s="160"/>
      <c r="F89" s="160"/>
      <c r="G89" s="161"/>
      <c r="H89" s="314"/>
      <c r="I89" s="161"/>
      <c r="J89" s="162" t="s">
        <v>243</v>
      </c>
      <c r="K89" s="336"/>
      <c r="L89" s="283"/>
      <c r="M89" s="330"/>
      <c r="N89" s="323"/>
      <c r="O89" s="340"/>
      <c r="Q89" s="311" t="b">
        <v>0</v>
      </c>
      <c r="R89" s="311" t="b">
        <v>0</v>
      </c>
      <c r="S89" s="311" t="b">
        <v>0</v>
      </c>
      <c r="T89" s="324"/>
      <c r="U89" s="182"/>
      <c r="V89" s="182"/>
      <c r="W89" s="182"/>
    </row>
    <row r="90" spans="1:23" ht="15" customHeight="1" x14ac:dyDescent="0.2">
      <c r="A90" s="334"/>
      <c r="B90" s="183">
        <v>2491</v>
      </c>
      <c r="C90" s="159"/>
      <c r="D90" s="316"/>
      <c r="E90" s="160"/>
      <c r="F90" s="160"/>
      <c r="G90" s="161"/>
      <c r="H90" s="314"/>
      <c r="I90" s="161"/>
      <c r="J90" s="162" t="s">
        <v>243</v>
      </c>
      <c r="K90" s="336"/>
      <c r="L90" s="283"/>
      <c r="M90" s="330"/>
      <c r="N90" s="323"/>
      <c r="O90" s="340"/>
      <c r="Q90" s="311" t="b">
        <v>0</v>
      </c>
      <c r="R90" s="311" t="b">
        <v>0</v>
      </c>
      <c r="S90" s="311" t="b">
        <v>0</v>
      </c>
      <c r="T90" s="324"/>
      <c r="U90" s="182"/>
      <c r="V90" s="182"/>
      <c r="W90" s="182"/>
    </row>
    <row r="91" spans="1:23" ht="15" customHeight="1" x14ac:dyDescent="0.2">
      <c r="A91" s="334"/>
      <c r="B91" s="183">
        <v>2492</v>
      </c>
      <c r="C91" s="159"/>
      <c r="D91" s="316"/>
      <c r="E91" s="160"/>
      <c r="F91" s="160"/>
      <c r="G91" s="161"/>
      <c r="H91" s="314"/>
      <c r="I91" s="161"/>
      <c r="J91" s="162" t="s">
        <v>243</v>
      </c>
      <c r="K91" s="336"/>
      <c r="L91" s="283"/>
      <c r="M91" s="330"/>
      <c r="N91" s="323"/>
      <c r="O91" s="340"/>
      <c r="Q91" s="311" t="b">
        <v>0</v>
      </c>
      <c r="R91" s="311" t="b">
        <v>0</v>
      </c>
      <c r="S91" s="311" t="b">
        <v>0</v>
      </c>
      <c r="T91" s="324"/>
      <c r="U91" s="182"/>
      <c r="V91" s="182"/>
      <c r="W91" s="182"/>
    </row>
  </sheetData>
  <autoFilter ref="A1:W91" xr:uid="{F90FE13F-CBA1-4F57-A5F3-6375ACC6F58A}"/>
  <phoneticPr fontId="36" type="noConversion"/>
  <conditionalFormatting sqref="T2:W91 B2:J91">
    <cfRule type="expression" dxfId="7" priority="32" stopIfTrue="1">
      <formula>$Q2</formula>
    </cfRule>
    <cfRule type="expression" dxfId="6" priority="33">
      <formula>$J2="SIN CAMION"</formula>
    </cfRule>
  </conditionalFormatting>
  <conditionalFormatting sqref="Q2:R91">
    <cfRule type="cellIs" dxfId="5" priority="87" operator="equal">
      <formula>TRUE</formula>
    </cfRule>
  </conditionalFormatting>
  <conditionalFormatting sqref="R2:S91">
    <cfRule type="expression" dxfId="4" priority="76">
      <formula>AND(NOT($J2="SIN CAMION"),NOT($S2),NOT($R2))</formula>
    </cfRule>
  </conditionalFormatting>
  <conditionalFormatting sqref="S2:S91">
    <cfRule type="expression" dxfId="3" priority="77">
      <formula>AND($R2,NOT($S2))</formula>
    </cfRule>
    <cfRule type="cellIs" dxfId="2" priority="90" operator="equal">
      <formula>FALSE</formula>
    </cfRule>
    <cfRule type="cellIs" dxfId="1" priority="91" operator="equal">
      <formula>$R2:$S2=TRUE</formula>
    </cfRule>
    <cfRule type="cellIs" dxfId="0" priority="92" operator="equal">
      <formula>$R2=FALSE</formula>
    </cfRule>
  </conditionalFormatting>
  <pageMargins left="0.70866141732283472" right="0.70866141732283472" top="0.74803149606299213" bottom="0.74803149606299213" header="0.31496062992125984" footer="0.31496062992125984"/>
  <pageSetup scale="39" orientation="landscape"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DBF7D-F667-476D-83F2-D7FBD83136E2}">
  <sheetPr codeName="Hoja29">
    <tabColor rgb="FFFFFF00"/>
  </sheetPr>
  <dimension ref="A2:Z176"/>
  <sheetViews>
    <sheetView topLeftCell="C11" zoomScale="70" zoomScaleNormal="70" workbookViewId="0">
      <selection activeCell="C11" sqref="C11"/>
    </sheetView>
  </sheetViews>
  <sheetFormatPr baseColWidth="10" defaultColWidth="11.5" defaultRowHeight="15" x14ac:dyDescent="0.2"/>
  <cols>
    <col min="1" max="1" width="30.6640625" bestFit="1" customWidth="1"/>
    <col min="2" max="2" width="5.6640625" style="8" bestFit="1" customWidth="1"/>
    <col min="3" max="3" width="12" style="73" bestFit="1" customWidth="1"/>
    <col min="4" max="4" width="5.5" style="8" bestFit="1" customWidth="1"/>
    <col min="5" max="5" width="12" style="73" bestFit="1" customWidth="1"/>
    <col min="6" max="6" width="5.5" style="8" bestFit="1" customWidth="1"/>
    <col min="7" max="7" width="12" style="73" bestFit="1" customWidth="1"/>
    <col min="8" max="8" width="5.5" style="8" bestFit="1" customWidth="1"/>
    <col min="9" max="9" width="12" style="73" bestFit="1" customWidth="1"/>
    <col min="10" max="10" width="5.5" style="8" bestFit="1" customWidth="1"/>
    <col min="11" max="11" width="12" style="73" bestFit="1" customWidth="1"/>
    <col min="12" max="12" width="5.5" style="8" bestFit="1" customWidth="1"/>
    <col min="13" max="13" width="12" style="73" bestFit="1" customWidth="1"/>
    <col min="14" max="14" width="5.5" style="8" bestFit="1" customWidth="1"/>
    <col min="15" max="15" width="12" style="73" customWidth="1"/>
    <col min="16" max="16" width="5.5" style="8" bestFit="1" customWidth="1"/>
    <col min="17" max="17" width="12" style="73" customWidth="1"/>
    <col min="18" max="18" width="5.5" style="8" bestFit="1" customWidth="1"/>
    <col min="19" max="19" width="12" style="73" customWidth="1"/>
    <col min="20" max="20" width="5.5" style="8" bestFit="1" customWidth="1"/>
    <col min="21" max="21" width="12" style="73" customWidth="1"/>
    <col min="22" max="22" width="5.5" style="8" bestFit="1" customWidth="1"/>
    <col min="23" max="23" width="12" style="73" customWidth="1"/>
    <col min="24" max="24" width="5.5" style="8" bestFit="1" customWidth="1"/>
    <col min="25" max="25" width="12" style="73" customWidth="1"/>
    <col min="26" max="26" width="6.1640625" style="8" bestFit="1" customWidth="1"/>
    <col min="27" max="33" width="11.5" customWidth="1"/>
    <col min="37" max="38" width="11.5" customWidth="1"/>
  </cols>
  <sheetData>
    <row r="2" spans="1:26" x14ac:dyDescent="0.2">
      <c r="A2" s="82" t="s">
        <v>29</v>
      </c>
      <c r="B2" s="75">
        <v>1</v>
      </c>
    </row>
    <row r="3" spans="1:26" x14ac:dyDescent="0.2">
      <c r="A3" s="445" t="s">
        <v>83</v>
      </c>
      <c r="B3" s="441" t="s">
        <v>1008</v>
      </c>
      <c r="C3" s="441"/>
      <c r="D3" s="441" t="s">
        <v>1009</v>
      </c>
      <c r="E3" s="441"/>
      <c r="F3" s="441" t="s">
        <v>1010</v>
      </c>
      <c r="G3" s="441"/>
      <c r="H3" s="441" t="s">
        <v>1011</v>
      </c>
      <c r="I3" s="441"/>
      <c r="J3" s="441" t="s">
        <v>1012</v>
      </c>
      <c r="K3" s="441"/>
      <c r="L3" s="441" t="s">
        <v>1013</v>
      </c>
      <c r="M3" s="441"/>
      <c r="N3" s="441" t="s">
        <v>1014</v>
      </c>
      <c r="O3" s="441"/>
      <c r="P3" s="441" t="s">
        <v>1015</v>
      </c>
      <c r="Q3" s="441"/>
      <c r="R3" s="441" t="s">
        <v>1016</v>
      </c>
      <c r="S3" s="441"/>
      <c r="T3" s="441" t="s">
        <v>1017</v>
      </c>
      <c r="U3" s="441"/>
      <c r="V3" s="441" t="s">
        <v>1018</v>
      </c>
      <c r="W3" s="441"/>
      <c r="X3" s="441" t="s">
        <v>1019</v>
      </c>
      <c r="Y3" s="441"/>
    </row>
    <row r="4" spans="1:26" x14ac:dyDescent="0.2">
      <c r="A4" s="446"/>
      <c r="B4" s="81" t="s">
        <v>1020</v>
      </c>
      <c r="C4" s="85" t="s">
        <v>1021</v>
      </c>
      <c r="D4" s="81" t="s">
        <v>1020</v>
      </c>
      <c r="E4" s="85" t="s">
        <v>1021</v>
      </c>
      <c r="F4" s="81" t="s">
        <v>1020</v>
      </c>
      <c r="G4" s="85" t="s">
        <v>1021</v>
      </c>
      <c r="H4" s="81" t="s">
        <v>1020</v>
      </c>
      <c r="I4" s="85" t="s">
        <v>1021</v>
      </c>
      <c r="J4" s="81" t="s">
        <v>1020</v>
      </c>
      <c r="K4" s="85" t="s">
        <v>1021</v>
      </c>
      <c r="L4" s="81" t="s">
        <v>1020</v>
      </c>
      <c r="M4" s="85" t="s">
        <v>1021</v>
      </c>
      <c r="N4" s="81" t="s">
        <v>1020</v>
      </c>
      <c r="O4" s="85" t="s">
        <v>1021</v>
      </c>
      <c r="P4" s="81" t="s">
        <v>1020</v>
      </c>
      <c r="Q4" s="85" t="s">
        <v>1021</v>
      </c>
      <c r="R4" s="81" t="s">
        <v>1020</v>
      </c>
      <c r="S4" s="85" t="s">
        <v>1021</v>
      </c>
      <c r="T4" s="81" t="s">
        <v>1020</v>
      </c>
      <c r="U4" s="85" t="s">
        <v>1021</v>
      </c>
      <c r="V4" s="81" t="s">
        <v>1020</v>
      </c>
      <c r="W4" s="85" t="s">
        <v>1021</v>
      </c>
      <c r="X4" s="81" t="s">
        <v>1020</v>
      </c>
      <c r="Y4" s="85" t="s">
        <v>1021</v>
      </c>
    </row>
    <row r="5" spans="1:26" x14ac:dyDescent="0.2">
      <c r="A5" s="79" t="s">
        <v>24</v>
      </c>
      <c r="B5" s="184">
        <f>SUMIFS('ENE.-22'!$N$2:$N$21,'ENE.-22'!$D$2:$D$21,$A5,'ENE.-22'!$B$2:$B$21,$A$2,'ENE.-22'!$J$2:$J$21,$B$2)</f>
        <v>0</v>
      </c>
      <c r="C5" s="185">
        <f>SUMIFS('ENE.-22'!$I$2:$I$21,'ENE.-22'!$D$2:$D$21,$A5,'ENE.-22'!$B$2:$B$21,$A$2,'ENE.-22'!$J$2:$J$21,$B$2)</f>
        <v>0</v>
      </c>
      <c r="D5" s="184">
        <f>SUMIFS('FEB.-22'!$N$2:$N$20,'FEB.-22'!$D$2:$D$20,$A5,'FEB.-22'!$B$2:$B$20,$A$2,'FEB.-22'!$J$2:$J$20,$B$2)</f>
        <v>0</v>
      </c>
      <c r="E5" s="185">
        <f>+SUMIFS('FEB.-22'!$I$2:$I$20,'FEB.-22'!$D$2:$D$20,$A5,'FEB.-22'!$B$2:$B$20,$A$2,'FEB.-22'!$J$2:$J$20,$B$2)</f>
        <v>0</v>
      </c>
      <c r="F5" s="51">
        <f>+SUMIFS('MAR-22'!$O$2:$O$47,'MAR-22'!$E$2:$E$47,$A5,'MAR-22'!$C$2:$C$47,$A$2,'MAR-22'!$K$2:$K$47,$B$2)</f>
        <v>1</v>
      </c>
      <c r="G5" s="83">
        <f>+SUMIFS('MAR-22'!$J$2:$J$47,'MAR-22'!$E$2:$E$47,$A5,'MAR-22'!$C$2:$C$47,$A$2,'MAR-22'!$K$2:$K$47,$B$2)</f>
        <v>27000000</v>
      </c>
      <c r="H5" s="51">
        <f>SUMIFS('ABR-22'!$O$2:$O$34,'ABR-22'!$E$2:$E$34,$A5,'ABR-22'!$C$2:$C$34,$A$2,'ABR-22'!$K$2:$K$34,'Resume 2022'!$B$2)</f>
        <v>1</v>
      </c>
      <c r="I5" s="83">
        <f>SUMIFS('ABR-22'!$J$2:$J$34,'ABR-22'!$E$2:$E$34,$A5,'ABR-22'!$C$2:$C$34,$A$2,'ABR-22'!$K$2:$K$34,$B$2)</f>
        <v>19000000</v>
      </c>
      <c r="J5" s="51">
        <f>SUMIFS('MAY-22'!$O$2:$O$40,'MAY-22'!$E$2:$E$40,$A5,'MAY-22'!$C$2:$C$40,$A$2,'MAY-22'!$K$2:$K$40,'Resume 2022'!$B$2)</f>
        <v>1</v>
      </c>
      <c r="K5" s="83">
        <f>SUMIFS('MAY-22'!$J$2:$J$40,'MAY-22'!$E$2:$E$40,$A5,'MAY-22'!$C$2:$C$40,$A$2,'MAY-22'!$K$2:$K$40,'Resume 2022'!$B$2)</f>
        <v>26500000</v>
      </c>
      <c r="L5" s="51">
        <f>SUMIFS('JUN-22'!$O$2:$O$40,'JUN-22'!$E$2:$E$40,$A5,'JUN-22'!$C$2:$C$40,$A$2,'JUN-22'!$K$2:$K$40,'Resume 2022'!$B$2)</f>
        <v>2</v>
      </c>
      <c r="M5" s="83">
        <f>SUMIFS('JUN-22'!$J$2:$J$40,'JUN-22'!$E$2:$E$40,$A5,'JUN-22'!$C$2:$C$40,$A$2,'JUN-22'!$K$2:$K$40,'Resume 2022'!$B$2)</f>
        <v>45800000</v>
      </c>
      <c r="N5" s="51">
        <f>SUMIFS('JUL-22'!$O$2:$O$44,'JUL-22'!$E$2:$E$44,$A5,'JUL-22'!$C$2:$C$44,$A$2,'JUL-22'!$K$2:$K$44,'Resume 2022'!$B$2)</f>
        <v>3</v>
      </c>
      <c r="O5" s="83">
        <f>SUMIFS('JUL-22'!$J$2:$J$44,'JUL-22'!$E$2:$E$44,$A5,'JUL-22'!$C$2:$C$44,$A$2,'JUL-22'!$K$2:$K$44,'Resume 2022'!$B$2)</f>
        <v>81900000</v>
      </c>
      <c r="P5" s="51">
        <f>SUMIFS('AGO-22'!$O$2:$O$19,'AGO-22'!$E$2:$E$19,$A5,'AGO-22'!$C$2:$C$19,$A$2,'AGO-22'!$K$2:$K$19,'Resume 2022'!$B$2)</f>
        <v>0</v>
      </c>
      <c r="Q5" s="83">
        <f>SUMIFS('AGO-22'!$J$2:$J$19,'AGO-22'!$E$2:$E$19,$A5,'AGO-22'!$C$2:$C$19,$A$2,'AGO-22'!$K$2:$K$19,'Resume 2022'!$B$2)</f>
        <v>0</v>
      </c>
      <c r="R5" s="51">
        <f>SUMIFS('SEP-22'!$O$2:$O$44,'SEP-22'!$E$2:$E$44,$A5,'SEP-22'!$C$2:$C$44,$A$2,'SEP-22'!$K$2:$K$44,'Resume 2022'!$B$2)</f>
        <v>1</v>
      </c>
      <c r="S5" s="83">
        <f>SUMIFS('SEP-22'!$J$2:$J$44,'SEP-22'!$E$2:$E$44,$A5,'SEP-22'!$C$2:$C$44,$A$2,'SEP-22'!$K$2:$K$44,'Resume 2022'!$B$2)</f>
        <v>17900000</v>
      </c>
      <c r="T5" s="51">
        <f>SUMIFS('OCT-22'!$O$2:$O$29,'OCT-22'!$E$2:$E$29,$A5,'OCT-22'!$C$2:$C$29,$A$2,'OCT-22'!$K$2:$K$29,'Resume 2022'!$B$2)</f>
        <v>0</v>
      </c>
      <c r="U5" s="83">
        <f>SUMIFS('OCT-22'!$J$2:$J$29,'OCT-22'!$E$2:$E$29,$A5,'OCT-22'!$C$2:$C$29,$A$2,'OCT-22'!$K$2:$K$29,'Resume 2022'!$B$2)</f>
        <v>0</v>
      </c>
      <c r="V5" s="51">
        <f>SUMIFS('NOV-22'!$O$2:$O$24,'NOV-22'!$E$2:$E$24,$A5,'NOV-22'!$C$2:$C$24,$A$2,'NOV-22'!$K$2:$K$24,'Resume 2022'!$B$2)</f>
        <v>3</v>
      </c>
      <c r="W5" s="83">
        <f>SUMIFS('NOV-22'!$J$2:$J$24,'NOV-22'!$E$2:$E$24,$A5,'NOV-22'!$C$2:$C$24,$A$2,'NOV-22'!$K$2:$K$24,'Resume 2022'!$B$2)</f>
        <v>79900000</v>
      </c>
      <c r="X5" s="51">
        <f>SUMIFS('DIC-22'!$O$2:$O$61,'DIC-22'!$E$2:$E$61,$A5,'DIC-22'!$C$2:$C$61,$A$2,'DIC-22'!$K$2:$K$61,'Resume 2022'!$B$2)</f>
        <v>0</v>
      </c>
      <c r="Y5" s="83">
        <f>SUMIFS('DIC-22'!$J$2:$J$61,'DIC-22'!$E$2:$E$61,$A5,'DIC-22'!$C$2:$C$61,$A$2,'DIC-22'!$K$2:$K$61,'Resume 2022'!$B$2)</f>
        <v>0</v>
      </c>
      <c r="Z5" s="8">
        <f>+B5+F5+H5+D5+J5+L5+N5+P5+R5+T5+V5</f>
        <v>12</v>
      </c>
    </row>
    <row r="6" spans="1:26" x14ac:dyDescent="0.2">
      <c r="A6" s="79" t="s">
        <v>66</v>
      </c>
      <c r="B6" s="51">
        <f>SUMIFS('ENE.-22'!$N$2:$N$21,'ENE.-22'!$D$2:$D$21,$A6,'ENE.-22'!$B$2:$B$21,$A$2,'ENE.-22'!$J$2:$J$21,$B$2)</f>
        <v>1</v>
      </c>
      <c r="C6" s="83">
        <f>SUMIFS('ENE.-22'!$I$2:$I$21,'ENE.-22'!$D$2:$D$21,$A6,'ENE.-22'!$B$2:$B$21,$A$2,'ENE.-22'!$J$2:$J$21,$B$2)</f>
        <v>18500000</v>
      </c>
      <c r="D6" s="184">
        <f>SUMIFS('FEB.-22'!$N$2:$N$20,'FEB.-22'!$D$2:$D$20,$A6,'FEB.-22'!$B$2:$B$20,$A$2,'FEB.-22'!$J$2:$J$20,$B$2)</f>
        <v>0</v>
      </c>
      <c r="E6" s="185">
        <f>+SUMIFS('FEB.-22'!$I$2:$I$20,'FEB.-22'!$D$2:$D$20,$A6,'FEB.-22'!$B$2:$B$20,$A$2,'FEB.-22'!$J$2:$J$20,$B$2)</f>
        <v>0</v>
      </c>
      <c r="F6" s="51">
        <f>+SUMIFS('MAR-22'!$O$2:$O$47,'MAR-22'!$E$2:$E$47,$A6,'MAR-22'!$C$2:$C$47,$A$2,'MAR-22'!$K$2:$K$47,$B$2)</f>
        <v>1.5</v>
      </c>
      <c r="G6" s="83">
        <f>+SUMIFS('MAR-22'!$J$2:$J$47,'MAR-22'!$E$2:$E$47,$A6,'MAR-22'!$C$2:$C$47,$A$2,'MAR-22'!$K$2:$K$47,$B$2)</f>
        <v>47250000</v>
      </c>
      <c r="H6" s="51">
        <f>SUMIFS('ABR-22'!$O$2:$O$34,'ABR-22'!$E$2:$E$34,$A6,'ABR-22'!$C$2:$C$34,$A$2,'ABR-22'!$K$2:$K$34,'Resume 2022'!$B$2)</f>
        <v>1</v>
      </c>
      <c r="I6" s="83">
        <f>SUMIFS('ABR-22'!$J$2:$J$34,'ABR-22'!$E$2:$E$34,$A6,'ABR-22'!$C$2:$C$34,$A$2,'ABR-22'!$K$2:$K$34,$B$2)</f>
        <v>37990000</v>
      </c>
      <c r="J6" s="51">
        <f>SUMIFS('MAY-22'!$O$2:$O$40,'MAY-22'!$E$2:$E$40,$A6,'MAY-22'!$C$2:$C$40,$A$2,'MAY-22'!$K$2:$K$40,'Resume 2022'!$B$2)</f>
        <v>1</v>
      </c>
      <c r="K6" s="83">
        <f>SUMIFS('MAY-22'!$J$2:$J$40,'MAY-22'!$E$2:$E$40,$A6,'MAY-22'!$C$2:$C$40,$A$2,'MAY-22'!$K$2:$K$40,'Resume 2022'!$B$2)</f>
        <v>42950000</v>
      </c>
      <c r="L6" s="184">
        <f>SUMIFS('JUN-22'!$O$2:$O$40,'JUN-22'!$E$2:$E$40,$A6,'JUN-22'!$C$2:$C$40,$A$2,'JUN-22'!$K$2:$K$40,'Resume 2022'!$B$2)</f>
        <v>2</v>
      </c>
      <c r="M6" s="185">
        <f>SUMIFS('JUN-22'!$J$2:$J$40,'JUN-22'!$E$2:$E$40,$A6,'JUN-22'!$C$2:$C$40,$A$2,'JUN-22'!$K$2:$K$40,'Resume 2022'!$B$2)</f>
        <v>42714600</v>
      </c>
      <c r="N6" s="51">
        <f>SUMIFS('JUL-22'!$O$2:$O$44,'JUL-22'!$E$2:$E$44,$A6,'JUL-22'!$C$2:$C$44,$A$2,'JUL-22'!$K$2:$K$44,'Resume 2022'!$B$2)</f>
        <v>0</v>
      </c>
      <c r="O6" s="83">
        <f>SUMIFS('JUL-22'!$J$2:$J$44,'JUL-22'!$E$2:$E$44,$A6,'JUL-22'!$C$2:$C$44,$A$2,'JUL-22'!$K$2:$K$44,'Resume 2022'!$B$2)</f>
        <v>0</v>
      </c>
      <c r="P6" s="51">
        <f>SUMIFS('AGO-22'!$O$2:$O$19,'AGO-22'!$E$2:$E$19,$A6,'AGO-22'!$C$2:$C$19,$A$2,'AGO-22'!$K$2:$K$19,'Resume 2022'!$B$2)</f>
        <v>0</v>
      </c>
      <c r="Q6" s="83">
        <f>SUMIFS('AGO-22'!$J$2:$J$19,'AGO-22'!$E$2:$E$19,$A6,'AGO-22'!$C$2:$C$19,$A$2,'AGO-22'!$K$2:$K$19,'Resume 2022'!$B$2)</f>
        <v>0</v>
      </c>
      <c r="R6" s="51">
        <f>SUMIFS('SEP-22'!$O$2:$O$44,'SEP-22'!$E$2:$E$44,$A6,'SEP-22'!$C$2:$C$44,$A$2,'SEP-22'!$K$2:$K$44,'Resume 2022'!$B$2)</f>
        <v>0</v>
      </c>
      <c r="S6" s="83">
        <f>SUMIFS('SEP-22'!$J$2:$J$44,'SEP-22'!$E$2:$E$44,$A6,'SEP-22'!$C$2:$C$44,$A$2,'SEP-22'!$K$2:$K$44,'Resume 2022'!$B$2)</f>
        <v>0</v>
      </c>
      <c r="T6" s="51">
        <f>SUMIFS('OCT-22'!$O$2:$O$29,'OCT-22'!$E$2:$E$29,$A6,'OCT-22'!$C$2:$C$29,$A$2,'OCT-22'!$K$2:$K$29,'Resume 2022'!$B$2)</f>
        <v>0</v>
      </c>
      <c r="U6" s="83">
        <f>SUMIFS('OCT-22'!$J$2:$J$29,'OCT-22'!$E$2:$E$29,$A6,'OCT-22'!$C$2:$C$29,$A$2,'OCT-22'!$K$2:$K$29,'Resume 2022'!$B$2)</f>
        <v>0</v>
      </c>
      <c r="V6" s="51">
        <f>SUMIFS('NOV-22'!$O$2:$O$24,'NOV-22'!$E$2:$E$24,$A6,'NOV-22'!$C$2:$C$24,$A$2,'NOV-22'!$K$2:$K$24,'Resume 2022'!$B$2)</f>
        <v>1</v>
      </c>
      <c r="W6" s="83">
        <f>SUMIFS('NOV-22'!$J$2:$J$24,'NOV-22'!$E$2:$E$24,$A6,'NOV-22'!$C$2:$C$24,$A$2,'NOV-22'!$K$2:$K$24,'Resume 2022'!$B$2)</f>
        <v>25300000</v>
      </c>
      <c r="X6" s="51">
        <f>SUMIFS('DIC-22'!$O$2:$O$61,'DIC-22'!$E$2:$E$61,$A6,'DIC-22'!$C$2:$C$61,$A$2,'DIC-22'!$K$2:$K$61,'Resume 2022'!$B$2)</f>
        <v>0</v>
      </c>
      <c r="Y6" s="83">
        <f>SUMIFS('DIC-22'!$J$2:$J$61,'DIC-22'!$E$2:$E$61,$A6,'DIC-22'!$C$2:$C$61,$A$2,'DIC-22'!$K$2:$K$61,'Resume 2022'!$B$2)</f>
        <v>0</v>
      </c>
      <c r="Z6" s="8">
        <f t="shared" ref="Z6:Z11" si="0">+B6+F6+H6+D6+J6+L6+N6+P6+R6+T6+V6</f>
        <v>7.5</v>
      </c>
    </row>
    <row r="7" spans="1:26" x14ac:dyDescent="0.2">
      <c r="A7" s="84" t="s">
        <v>34</v>
      </c>
      <c r="B7" s="184">
        <f>SUMIFS('ENE.-22'!$N$2:$N$21,'ENE.-22'!$D$2:$D$21,$A7,'ENE.-22'!$B$2:$B$21,$A$2,'ENE.-22'!$J$2:$J$21,$B$2)</f>
        <v>0</v>
      </c>
      <c r="C7" s="185">
        <f>SUMIFS('ENE.-22'!$I$2:$I$21,'ENE.-22'!$D$2:$D$21,$A7,'ENE.-22'!$B$2:$B$21,$A$2,'ENE.-22'!$J$2:$J$21,$B$2)</f>
        <v>0</v>
      </c>
      <c r="D7" s="184">
        <f>SUMIFS('FEB.-22'!$N$2:$N$20,'FEB.-22'!$D$2:$D$20,$A7,'FEB.-22'!$B$2:$B$20,$A$2,'FEB.-22'!$J$2:$J$20,$B$2)</f>
        <v>0</v>
      </c>
      <c r="E7" s="185">
        <f>+SUMIFS('FEB.-22'!$I$2:$I$20,'FEB.-22'!$D$2:$D$20,$A7,'FEB.-22'!$B$2:$B$20,$A$2,'FEB.-22'!$J$2:$J$20,$B$2)</f>
        <v>0</v>
      </c>
      <c r="F7" s="184">
        <f>+SUMIFS('MAR-22'!$O$2:$O$47,'MAR-22'!$E$2:$E$47,$A7,'MAR-22'!$C$2:$C$47,$A$2,'MAR-22'!$K$2:$K$47,$B$2)</f>
        <v>0</v>
      </c>
      <c r="G7" s="185">
        <f>+SUMIFS('MAR-22'!$J$2:$J$47,'MAR-22'!$E$2:$E$47,$A7,'MAR-22'!$C$2:$C$47,$A$2,'MAR-22'!$K$2:$K$47,$B$2)</f>
        <v>0</v>
      </c>
      <c r="H7" s="184">
        <f>SUMIFS('ABR-22'!$O$2:$O$34,'ABR-22'!$E$2:$E$34,$A7,'ABR-22'!$C$2:$C$34,$A$2,'ABR-22'!$K$2:$K$34,'Resume 2022'!$B$2)</f>
        <v>1</v>
      </c>
      <c r="I7" s="185">
        <f>SUMIFS('ABR-22'!$J$2:$J$34,'ABR-22'!$E$2:$E$34,$A7,'ABR-22'!$C$2:$C$34,$A$2,'ABR-22'!$K$2:$K$34,$B$2)</f>
        <v>6500000</v>
      </c>
      <c r="J7" s="51">
        <f>SUMIFS('MAY-22'!$O$2:$O$40,'MAY-22'!$E$2:$E$40,$A7,'MAY-22'!$C$2:$C$40,$A$2,'MAY-22'!$K$2:$K$40,'Resume 2022'!$B$2)</f>
        <v>2</v>
      </c>
      <c r="K7" s="83">
        <f>SUMIFS('MAY-22'!$J$2:$J$40,'MAY-22'!$E$2:$E$40,$A7,'MAY-22'!$C$2:$C$40,$A$2,'MAY-22'!$K$2:$K$40,'Resume 2022'!$B$2)</f>
        <v>8560000</v>
      </c>
      <c r="L7" s="184">
        <f>SUMIFS('JUN-22'!$O$2:$O$40,'JUN-22'!$E$2:$E$40,$A7,'JUN-22'!$C$2:$C$40,$A$2,'JUN-22'!$K$2:$K$40,'Resume 2022'!$B$2)</f>
        <v>0</v>
      </c>
      <c r="M7" s="185">
        <f>SUMIFS('JUN-22'!$J$2:$J$40,'JUN-22'!$E$2:$E$40,$A7,'JUN-22'!$C$2:$C$40,$A$2,'JUN-22'!$K$2:$K$40,'Resume 2022'!$B$2)</f>
        <v>0</v>
      </c>
      <c r="N7" s="51">
        <f>SUMIFS('JUL-22'!$O$2:$O$44,'JUL-22'!$E$2:$E$44,$A7,'JUL-22'!$C$2:$C$44,$A$2,'JUL-22'!$K$2:$K$44,'Resume 2022'!$B$2)</f>
        <v>0</v>
      </c>
      <c r="O7" s="83">
        <f>SUMIFS('JUL-22'!$J$2:$J$44,'JUL-22'!$E$2:$E$44,$A7,'JUL-22'!$C$2:$C$44,$A$2,'JUL-22'!$K$2:$K$44,'Resume 2022'!$B$2)</f>
        <v>0</v>
      </c>
      <c r="P7" s="51">
        <f>SUMIFS('AGO-22'!$O$2:$O$19,'AGO-22'!$E$2:$E$19,$A7,'AGO-22'!$C$2:$C$19,$A$2,'AGO-22'!$K$2:$K$19,'Resume 2022'!$B$2)</f>
        <v>0</v>
      </c>
      <c r="Q7" s="83">
        <f>SUMIFS('AGO-22'!$J$2:$J$19,'AGO-22'!$E$2:$E$19,$A7,'AGO-22'!$C$2:$C$19,$A$2,'AGO-22'!$K$2:$K$19,'Resume 2022'!$B$2)</f>
        <v>0</v>
      </c>
      <c r="R7" s="51">
        <f>SUMIFS('SEP-22'!$O$2:$O$44,'SEP-22'!$E$2:$E$44,$A7,'SEP-22'!$C$2:$C$44,$A$2,'SEP-22'!$K$2:$K$44,'Resume 2022'!$B$2)</f>
        <v>0</v>
      </c>
      <c r="S7" s="83">
        <f>SUMIFS('SEP-22'!$J$2:$J$44,'SEP-22'!$E$2:$E$44,$A7,'SEP-22'!$C$2:$C$44,$A$2,'SEP-22'!$K$2:$K$44,'Resume 2022'!$B$2)</f>
        <v>0</v>
      </c>
      <c r="T7" s="51">
        <f>SUMIFS('OCT-22'!$O$2:$O$29,'OCT-22'!$E$2:$E$29,$A7,'OCT-22'!$C$2:$C$29,$A$2,'OCT-22'!$K$2:$K$29,'Resume 2022'!$B$2)</f>
        <v>0</v>
      </c>
      <c r="U7" s="83">
        <f>SUMIFS('OCT-22'!$J$2:$J$29,'OCT-22'!$E$2:$E$29,$A7,'OCT-22'!$C$2:$C$29,$A$2,'OCT-22'!$K$2:$K$29,'Resume 2022'!$B$2)</f>
        <v>0</v>
      </c>
      <c r="V7" s="51">
        <f>SUMIFS('NOV-22'!$O$2:$O$24,'NOV-22'!$E$2:$E$24,$A7,'NOV-22'!$C$2:$C$24,$A$2,'NOV-22'!$K$2:$K$24,'Resume 2022'!$B$2)</f>
        <v>0</v>
      </c>
      <c r="W7" s="83">
        <f>SUMIFS('NOV-22'!$J$2:$J$24,'NOV-22'!$E$2:$E$24,$A7,'NOV-22'!$C$2:$C$24,$A$2,'NOV-22'!$K$2:$K$24,'Resume 2022'!$B$2)</f>
        <v>0</v>
      </c>
      <c r="X7" s="51">
        <f>SUMIFS('DIC-22'!$O$2:$O$61,'DIC-22'!$E$2:$E$61,$A7,'DIC-22'!$C$2:$C$61,$A$2,'DIC-22'!$K$2:$K$61,'Resume 2022'!$B$2)</f>
        <v>0</v>
      </c>
      <c r="Y7" s="83">
        <f>SUMIFS('DIC-22'!$J$2:$J$61,'DIC-22'!$E$2:$E$61,$A7,'DIC-22'!$C$2:$C$61,$A$2,'DIC-22'!$K$2:$K$61,'Resume 2022'!$B$2)</f>
        <v>0</v>
      </c>
      <c r="Z7" s="8">
        <f t="shared" si="0"/>
        <v>3</v>
      </c>
    </row>
    <row r="8" spans="1:26" x14ac:dyDescent="0.2">
      <c r="A8" s="79" t="s">
        <v>31</v>
      </c>
      <c r="B8" s="51">
        <f>SUMIFS('ENE.-22'!$N$2:$N$21,'ENE.-22'!$D$2:$D$21,$A8,'ENE.-22'!$B$2:$B$21,$A$2,'ENE.-22'!$J$2:$J$21,$B$2)</f>
        <v>1</v>
      </c>
      <c r="C8" s="83">
        <f>SUMIFS('ENE.-22'!$I$2:$I$21,'ENE.-22'!$D$2:$D$21,$A8,'ENE.-22'!$B$2:$B$21,$A$2,'ENE.-22'!$J$2:$J$21,$B$2)</f>
        <v>20000000</v>
      </c>
      <c r="D8" s="51">
        <f>SUMIFS('FEB.-22'!$N$2:$N$20,'FEB.-22'!$D$2:$D$20,$A8,'FEB.-22'!$B$2:$B$20,$A$2,'FEB.-22'!$J$2:$J$20,$B$2)</f>
        <v>1</v>
      </c>
      <c r="E8" s="83">
        <f>+SUMIFS('FEB.-22'!$I$2:$I$20,'FEB.-22'!$D$2:$D$20,$A8,'FEB.-22'!$B$2:$B$20,$A$2,'FEB.-22'!$J$2:$J$20,$B$2)</f>
        <v>20746000</v>
      </c>
      <c r="F8" s="51">
        <f>+SUMIFS('MAR-22'!$O$2:$O$47,'MAR-22'!$E$2:$E$47,$A8,'MAR-22'!$C$2:$C$47,$A$2,'MAR-22'!$K$2:$K$47,$B$2)</f>
        <v>1</v>
      </c>
      <c r="G8" s="83">
        <f>+SUMIFS('MAR-22'!$J$2:$J$47,'MAR-22'!$E$2:$E$47,$A8,'MAR-22'!$C$2:$C$47,$A$2,'MAR-22'!$K$2:$K$47,$B$2)</f>
        <v>32000000</v>
      </c>
      <c r="H8" s="184">
        <f>SUMIFS('ABR-22'!$O$2:$O$34,'ABR-22'!$E$2:$E$34,$A8,'ABR-22'!$C$2:$C$34,$A$2,'ABR-22'!$K$2:$K$34,'Resume 2022'!$B$2)</f>
        <v>0</v>
      </c>
      <c r="I8" s="185">
        <f>SUMIFS('ABR-22'!$J$2:$J$34,'ABR-22'!$E$2:$E$34,$A8,'ABR-22'!$C$2:$C$34,$A$2,'ABR-22'!$K$2:$K$34,$B$2)</f>
        <v>0</v>
      </c>
      <c r="J8" s="184">
        <f>SUMIFS('MAY-22'!$O$2:$O$40,'MAY-22'!$E$2:$E$40,$A8,'MAY-22'!$C$2:$C$40,$A$2,'MAY-22'!$K$2:$K$40,'Resume 2022'!$B$2)</f>
        <v>0</v>
      </c>
      <c r="K8" s="185">
        <f>SUMIFS('MAY-22'!$J$2:$J$40,'MAY-22'!$E$2:$E$40,$A8,'MAY-22'!$C$2:$C$40,$A$2,'MAY-22'!$K$2:$K$40,'Resume 2022'!$B$2)</f>
        <v>0</v>
      </c>
      <c r="L8" s="184">
        <f>SUMIFS('JUN-22'!$O$2:$O$40,'JUN-22'!$E$2:$E$40,$A8,'JUN-22'!$C$2:$C$40,$A$2,'JUN-22'!$K$2:$K$40,'Resume 2022'!$B$2)</f>
        <v>0</v>
      </c>
      <c r="M8" s="185">
        <f>SUMIFS('JUN-22'!$J$2:$J$40,'JUN-22'!$E$2:$E$40,$A8,'JUN-22'!$C$2:$C$40,$A$2,'JUN-22'!$K$2:$K$40,'Resume 2022'!$B$2)</f>
        <v>0</v>
      </c>
      <c r="N8" s="51">
        <f>SUMIFS('JUL-22'!$O$2:$O$44,'JUL-22'!$E$2:$E$44,$A8,'JUL-22'!$C$2:$C$44,$A$2,'JUL-22'!$K$2:$K$44,'Resume 2022'!$B$2)</f>
        <v>1.5</v>
      </c>
      <c r="O8" s="83">
        <f>SUMIFS('JUL-22'!$J$2:$J$44,'JUL-22'!$E$2:$E$44,$A8,'JUL-22'!$C$2:$C$44,$A$2,'JUL-22'!$K$2:$K$44,'Resume 2022'!$B$2)</f>
        <v>37800000</v>
      </c>
      <c r="P8" s="51">
        <f>SUMIFS('AGO-22'!$O$2:$O$19,'AGO-22'!$E$2:$E$19,$A8,'AGO-22'!$C$2:$C$19,$A$2,'AGO-22'!$K$2:$K$19,'Resume 2022'!$B$2)</f>
        <v>1</v>
      </c>
      <c r="Q8" s="83">
        <f>SUMIFS('AGO-22'!$J$2:$J$19,'AGO-22'!$E$2:$E$19,$A8,'AGO-22'!$C$2:$C$19,$A$2,'AGO-22'!$K$2:$K$19,'Resume 2022'!$B$2)</f>
        <v>23900000</v>
      </c>
      <c r="R8" s="51">
        <f>SUMIFS('SEP-22'!$O$2:$O$44,'SEP-22'!$E$2:$E$44,$A8,'SEP-22'!$C$2:$C$44,$A$2,'SEP-22'!$K$2:$K$44,'Resume 2022'!$B$2)</f>
        <v>1</v>
      </c>
      <c r="S8" s="83">
        <f>SUMIFS('SEP-22'!$J$2:$J$44,'SEP-22'!$E$2:$E$44,$A8,'SEP-22'!$C$2:$C$44,$A$2,'SEP-22'!$K$2:$K$44,'Resume 2022'!$B$2)</f>
        <v>26000000</v>
      </c>
      <c r="T8" s="51">
        <f>SUMIFS('OCT-22'!$O$2:$O$29,'OCT-22'!$E$2:$E$29,$A8,'OCT-22'!$C$2:$C$29,$A$2,'OCT-22'!$K$2:$K$29,'Resume 2022'!$B$2)</f>
        <v>0</v>
      </c>
      <c r="U8" s="83">
        <f>SUMIFS('OCT-22'!$J$2:$J$29,'OCT-22'!$E$2:$E$29,$A8,'OCT-22'!$C$2:$C$29,$A$2,'OCT-22'!$K$2:$K$29,'Resume 2022'!$B$2)</f>
        <v>0</v>
      </c>
      <c r="V8" s="51">
        <f>SUMIFS('NOV-22'!$O$2:$O$24,'NOV-22'!$E$2:$E$24,$A8,'NOV-22'!$C$2:$C$24,$A$2,'NOV-22'!$K$2:$K$24,'Resume 2022'!$B$2)</f>
        <v>2</v>
      </c>
      <c r="W8" s="83">
        <f>SUMIFS('NOV-22'!$J$2:$J$24,'NOV-22'!$E$2:$E$24,$A8,'NOV-22'!$C$2:$C$24,$A$2,'NOV-22'!$K$2:$K$24,'Resume 2022'!$B$2)</f>
        <v>57380000</v>
      </c>
      <c r="X8" s="51">
        <f>SUMIFS('DIC-22'!$O$2:$O$61,'DIC-22'!$E$2:$E$61,$A8,'DIC-22'!$C$2:$C$61,$A$2,'DIC-22'!$K$2:$K$61,'Resume 2022'!$B$2)</f>
        <v>0</v>
      </c>
      <c r="Y8" s="83">
        <f>SUMIFS('DIC-22'!$J$2:$J$61,'DIC-22'!$E$2:$E$61,$A8,'DIC-22'!$C$2:$C$61,$A$2,'DIC-22'!$K$2:$K$61,'Resume 2022'!$B$2)</f>
        <v>0</v>
      </c>
      <c r="Z8" s="8">
        <f t="shared" si="0"/>
        <v>8.5</v>
      </c>
    </row>
    <row r="9" spans="1:26" x14ac:dyDescent="0.2">
      <c r="A9" s="79" t="s">
        <v>85</v>
      </c>
      <c r="B9" s="184">
        <f>SUMIFS('ENE.-22'!$N$2:$N$21,'ENE.-22'!$D$2:$D$21,$A9,'ENE.-22'!$B$2:$B$21,$A$2,'ENE.-22'!$J$2:$J$21,$B$2)</f>
        <v>0</v>
      </c>
      <c r="C9" s="185">
        <f>SUMIFS('ENE.-22'!$I$2:$I$21,'ENE.-22'!$D$2:$D$21,$A9,'ENE.-22'!$B$2:$B$21,$A$2,'ENE.-22'!$J$2:$J$21,$B$2)</f>
        <v>0</v>
      </c>
      <c r="D9" s="184">
        <f>SUMIFS('FEB.-22'!$N$2:$N$20,'FEB.-22'!$D$2:$D$20,$A9,'FEB.-22'!$B$2:$B$20,$A$2,'FEB.-22'!$J$2:$J$20,$B$2)</f>
        <v>0</v>
      </c>
      <c r="E9" s="185">
        <f>+SUMIFS('FEB.-22'!$I$2:$I$20,'FEB.-22'!$D$2:$D$20,$A9,'FEB.-22'!$B$2:$B$20,$A$2,'FEB.-22'!$J$2:$J$20,$B$2)</f>
        <v>0</v>
      </c>
      <c r="F9" s="184">
        <f>+SUMIFS('MAR-22'!$O$2:$O$47,'MAR-22'!$E$2:$E$47,$A9,'MAR-22'!$C$2:$C$47,$A$2,'MAR-22'!$K$2:$K$47,$B$2)</f>
        <v>0</v>
      </c>
      <c r="G9" s="185">
        <f>+SUMIFS('MAR-22'!$J$2:$J$47,'MAR-22'!$E$2:$E$47,$A9,'MAR-22'!$C$2:$C$47,$A$2,'MAR-22'!$K$2:$K$47,$B$2)</f>
        <v>0</v>
      </c>
      <c r="H9" s="184">
        <f>SUMIFS('ABR-22'!$O$2:$O$34,'ABR-22'!$E$2:$E$34,$A9,'ABR-22'!$C$2:$C$34,$A$2,'ABR-22'!$K$2:$K$34,'Resume 2022'!$B$2)</f>
        <v>0</v>
      </c>
      <c r="I9" s="185">
        <f>SUMIFS('ABR-22'!$J$2:$J$34,'ABR-22'!$E$2:$E$34,$A9,'ABR-22'!$C$2:$C$34,$A$2,'ABR-22'!$K$2:$K$34,$B$2)</f>
        <v>0</v>
      </c>
      <c r="J9" s="184">
        <f>SUMIFS('MAY-22'!$O$2:$O$40,'MAY-22'!$E$2:$E$40,$A9,'MAY-22'!$C$2:$C$40,$A$2,'MAY-22'!$K$2:$K$40,'Resume 2022'!$B$2)</f>
        <v>0</v>
      </c>
      <c r="K9" s="185">
        <f>SUMIFS('MAY-22'!$J$2:$J$40,'MAY-22'!$E$2:$E$40,$A9,'MAY-22'!$C$2:$C$40,$A$2,'MAY-22'!$K$2:$K$40,'Resume 2022'!$B$2)</f>
        <v>0</v>
      </c>
      <c r="L9" s="184">
        <f>SUMIFS('JUN-22'!$O$2:$O$40,'JUN-22'!$E$2:$E$40,$A9,'JUN-22'!$C$2:$C$40,$A$2,'JUN-22'!$K$2:$K$40,'Resume 2022'!$B$2)</f>
        <v>0</v>
      </c>
      <c r="M9" s="185">
        <f>SUMIFS('JUN-22'!$J$2:$J$40,'JUN-22'!$E$2:$E$40,$A9,'JUN-22'!$C$2:$C$40,$A$2,'JUN-22'!$K$2:$K$40,'Resume 2022'!$B$2)</f>
        <v>0</v>
      </c>
      <c r="N9" s="51">
        <f>SUMIFS('JUL-22'!$O$2:$O$44,'JUL-22'!$E$2:$E$44,$A9,'JUL-22'!$C$2:$C$44,$A$2,'JUL-22'!$K$2:$K$44,'Resume 2022'!$B$2)</f>
        <v>0</v>
      </c>
      <c r="O9" s="83">
        <f>SUMIFS('JUL-22'!$J$2:$J$44,'JUL-22'!$E$2:$E$44,$A9,'JUL-22'!$C$2:$C$44,$A$2,'JUL-22'!$K$2:$K$44,'Resume 2022'!$B$2)</f>
        <v>0</v>
      </c>
      <c r="P9" s="51">
        <f>SUMIFS('AGO-22'!$O$2:$O$19,'AGO-22'!$E$2:$E$19,$A9,'AGO-22'!$C$2:$C$19,$A$2,'AGO-22'!$K$2:$K$19,'Resume 2022'!$B$2)</f>
        <v>0</v>
      </c>
      <c r="Q9" s="83">
        <f>SUMIFS('AGO-22'!$J$2:$J$19,'AGO-22'!$E$2:$E$19,$A9,'AGO-22'!$C$2:$C$19,$A$2,'AGO-22'!$K$2:$K$19,'Resume 2022'!$B$2)</f>
        <v>0</v>
      </c>
      <c r="R9" s="51">
        <f>SUMIFS('SEP-22'!$O$2:$O$44,'SEP-22'!$E$2:$E$44,$A9,'SEP-22'!$C$2:$C$44,$A$2,'SEP-22'!$K$2:$K$44,'Resume 2022'!$B$2)</f>
        <v>0</v>
      </c>
      <c r="S9" s="83">
        <f>SUMIFS('SEP-22'!$J$2:$J$44,'SEP-22'!$E$2:$E$44,$A9,'SEP-22'!$C$2:$C$44,$A$2,'SEP-22'!$K$2:$K$44,'Resume 2022'!$B$2)</f>
        <v>0</v>
      </c>
      <c r="T9" s="51">
        <f>SUMIFS('OCT-22'!$O$2:$O$29,'OCT-22'!$E$2:$E$29,$A9,'OCT-22'!$C$2:$C$29,$A$2,'OCT-22'!$K$2:$K$29,'Resume 2022'!$B$2)</f>
        <v>0</v>
      </c>
      <c r="U9" s="83">
        <f>SUMIFS('OCT-22'!$J$2:$J$29,'OCT-22'!$E$2:$E$29,$A9,'OCT-22'!$C$2:$C$29,$A$2,'OCT-22'!$K$2:$K$29,'Resume 2022'!$B$2)</f>
        <v>0</v>
      </c>
      <c r="V9" s="51">
        <f>SUMIFS('NOV-22'!$O$2:$O$24,'NOV-22'!$E$2:$E$24,$A9,'NOV-22'!$C$2:$C$24,$A$2,'NOV-22'!$K$2:$K$24,'Resume 2022'!$B$2)</f>
        <v>0</v>
      </c>
      <c r="W9" s="83">
        <f>SUMIFS('NOV-22'!$J$2:$J$24,'NOV-22'!$E$2:$E$24,$A9,'NOV-22'!$C$2:$C$24,$A$2,'NOV-22'!$K$2:$K$24,'Resume 2022'!$B$2)</f>
        <v>0</v>
      </c>
      <c r="X9" s="51">
        <f>SUMIFS('DIC-22'!$O$2:$O$61,'DIC-22'!$E$2:$E$61,$A9,'DIC-22'!$C$2:$C$61,$A$2,'DIC-22'!$K$2:$K$61,'Resume 2022'!$B$2)</f>
        <v>0</v>
      </c>
      <c r="Y9" s="83">
        <f>SUMIFS('DIC-22'!$J$2:$J$61,'DIC-22'!$E$2:$E$61,$A9,'DIC-22'!$C$2:$C$61,$A$2,'DIC-22'!$K$2:$K$61,'Resume 2022'!$B$2)</f>
        <v>0</v>
      </c>
      <c r="Z9" s="8">
        <f t="shared" si="0"/>
        <v>0</v>
      </c>
    </row>
    <row r="10" spans="1:26" x14ac:dyDescent="0.2">
      <c r="A10" s="79" t="s">
        <v>46</v>
      </c>
      <c r="B10" s="51">
        <f>SUMIFS('ENE.-22'!$N$2:$N$21,'ENE.-22'!$D$2:$D$21,$A10,'ENE.-22'!$B$2:$B$21,$A$2,'ENE.-22'!$J$2:$J$21,$B$2)</f>
        <v>1</v>
      </c>
      <c r="C10" s="83">
        <f>SUMIFS('ENE.-22'!$I$2:$I$21,'ENE.-22'!$D$2:$D$21,$A10,'ENE.-22'!$B$2:$B$21,$A$2,'ENE.-22'!$J$2:$J$21,$B$2)</f>
        <v>101129090</v>
      </c>
      <c r="D10" s="51">
        <f>SUMIFS('FEB.-22'!$N$2:$N$20,'FEB.-22'!$D$2:$D$20,$A10,'FEB.-22'!$B$2:$B$20,$A$2,'FEB.-22'!$J$2:$J$20,$B$2)</f>
        <v>1</v>
      </c>
      <c r="E10" s="83">
        <f>+SUMIFS('FEB.-22'!$I$2:$I$20,'FEB.-22'!$D$2:$D$20,$A10,'FEB.-22'!$B$2:$B$20,$A$2,'FEB.-22'!$J$2:$J$20,$B$2)</f>
        <v>40300000</v>
      </c>
      <c r="F10" s="184">
        <f>+SUMIFS('MAR-22'!$O$2:$O$47,'MAR-22'!$E$2:$E$47,$A10,'MAR-22'!$C$2:$C$47,$A$2,'MAR-22'!$K$2:$K$47,$B$2)</f>
        <v>0</v>
      </c>
      <c r="G10" s="185">
        <f>+SUMIFS('MAR-22'!$J$2:$J$47,'MAR-22'!$E$2:$E$47,$A10,'MAR-22'!$C$2:$C$47,$A$2,'MAR-22'!$K$2:$K$47,$B$2)</f>
        <v>0</v>
      </c>
      <c r="H10" s="184">
        <f>SUMIFS('ABR-22'!$O$2:$O$34,'ABR-22'!$E$2:$E$34,$A10,'ABR-22'!$C$2:$C$34,$A$2,'ABR-22'!$K$2:$K$34,'Resume 2022'!$B$2)</f>
        <v>0</v>
      </c>
      <c r="I10" s="185">
        <f>SUMIFS('ABR-22'!$J$2:$J$34,'ABR-22'!$E$2:$E$34,$A10,'ABR-22'!$C$2:$C$34,$A$2,'ABR-22'!$K$2:$K$34,$B$2)</f>
        <v>0</v>
      </c>
      <c r="J10" s="184">
        <f>SUMIFS('MAY-22'!$O$2:$O$40,'MAY-22'!$E$2:$E$40,$A10,'MAY-22'!$C$2:$C$40,$A$2,'MAY-22'!$K$2:$K$40,'Resume 2022'!$B$2)</f>
        <v>0</v>
      </c>
      <c r="K10" s="185">
        <f>SUMIFS('MAY-22'!$J$2:$J$40,'MAY-22'!$E$2:$E$40,$A10,'MAY-22'!$C$2:$C$40,$A$2,'MAY-22'!$K$2:$K$40,'Resume 2022'!$B$2)</f>
        <v>0</v>
      </c>
      <c r="L10" s="51">
        <f>SUMIFS('JUN-22'!$O$2:$O$40,'JUN-22'!$E$2:$E$40,$A10,'JUN-22'!$C$2:$C$40,$A$2,'JUN-22'!$K$2:$K$40,'Resume 2022'!$B$2)</f>
        <v>2</v>
      </c>
      <c r="M10" s="83">
        <f>SUMIFS('JUN-22'!$J$2:$J$40,'JUN-22'!$E$2:$E$40,$A10,'JUN-22'!$C$2:$C$40,$A$2,'JUN-22'!$K$2:$K$40,'Resume 2022'!$B$2)</f>
        <v>98400000</v>
      </c>
      <c r="N10" s="51">
        <f>SUMIFS('JUL-22'!$O$2:$O$44,'JUL-22'!$E$2:$E$44,$A10,'JUL-22'!$C$2:$C$44,$A$2,'JUL-22'!$K$2:$K$44,'Resume 2022'!$B$2)</f>
        <v>0</v>
      </c>
      <c r="O10" s="83">
        <f>SUMIFS('JUL-22'!$J$2:$J$44,'JUL-22'!$E$2:$E$44,$A10,'JUL-22'!$C$2:$C$44,$A$2,'JUL-22'!$K$2:$K$44,'Resume 2022'!$B$2)</f>
        <v>0</v>
      </c>
      <c r="P10" s="51">
        <f>SUMIFS('AGO-22'!$O$2:$O$19,'AGO-22'!$E$2:$E$19,$A10,'AGO-22'!$C$2:$C$19,$A$2,'AGO-22'!$K$2:$K$19,'Resume 2022'!$B$2)</f>
        <v>1</v>
      </c>
      <c r="Q10" s="83">
        <f>SUMIFS('AGO-22'!$J$2:$J$19,'AGO-22'!$E$2:$E$19,$A10,'AGO-22'!$C$2:$C$19,$A$2,'AGO-22'!$K$2:$K$19,'Resume 2022'!$B$2)</f>
        <v>50000000</v>
      </c>
      <c r="R10" s="51">
        <f>SUMIFS('SEP-22'!$O$2:$O$44,'SEP-22'!$E$2:$E$44,$A10,'SEP-22'!$C$2:$C$44,$A$2,'SEP-22'!$K$2:$K$44,'Resume 2022'!$B$2)</f>
        <v>1</v>
      </c>
      <c r="S10" s="83">
        <f>SUMIFS('SEP-22'!$J$2:$J$44,'SEP-22'!$E$2:$E$44,$A10,'SEP-22'!$C$2:$C$44,$A$2,'SEP-22'!$K$2:$K$44,'Resume 2022'!$B$2)</f>
        <v>50000000</v>
      </c>
      <c r="T10" s="51">
        <f>SUMIFS('OCT-22'!$O$2:$O$29,'OCT-22'!$E$2:$E$29,$A10,'OCT-22'!$C$2:$C$29,$A$2,'OCT-22'!$K$2:$K$29,'Resume 2022'!$B$2)</f>
        <v>0</v>
      </c>
      <c r="U10" s="83">
        <f>SUMIFS('OCT-22'!$J$2:$J$29,'OCT-22'!$E$2:$E$29,$A10,'OCT-22'!$C$2:$C$29,$A$2,'OCT-22'!$K$2:$K$29,'Resume 2022'!$B$2)</f>
        <v>0</v>
      </c>
      <c r="V10" s="51">
        <f>SUMIFS('NOV-22'!$O$2:$O$24,'NOV-22'!$E$2:$E$24,$A10,'NOV-22'!$C$2:$C$24,$A$2,'NOV-22'!$K$2:$K$24,'Resume 2022'!$B$2)</f>
        <v>0</v>
      </c>
      <c r="W10" s="83">
        <f>SUMIFS('NOV-22'!$J$2:$J$24,'NOV-22'!$E$2:$E$24,$A10,'NOV-22'!$C$2:$C$24,$A$2,'NOV-22'!$K$2:$K$24,'Resume 2022'!$B$2)</f>
        <v>0</v>
      </c>
      <c r="X10" s="51">
        <f>SUMIFS('DIC-22'!$O$2:$O$61,'DIC-22'!$E$2:$E$61,$A10,'DIC-22'!$C$2:$C$61,$A$2,'DIC-22'!$K$2:$K$61,'Resume 2022'!$B$2)</f>
        <v>0</v>
      </c>
      <c r="Y10" s="83">
        <f>SUMIFS('DIC-22'!$J$2:$J$61,'DIC-22'!$E$2:$E$61,$A10,'DIC-22'!$C$2:$C$61,$A$2,'DIC-22'!$K$2:$K$61,'Resume 2022'!$B$2)</f>
        <v>0</v>
      </c>
      <c r="Z10" s="8">
        <f t="shared" si="0"/>
        <v>6</v>
      </c>
    </row>
    <row r="11" spans="1:26" x14ac:dyDescent="0.2">
      <c r="A11" s="79" t="s">
        <v>38</v>
      </c>
      <c r="B11" s="51">
        <f>SUMIFS('ENE.-22'!$N$2:$N$21,'ENE.-22'!$D$2:$D$21,$A11,'ENE.-22'!$B$2:$B$21,$A$2,'ENE.-22'!$J$2:$J$21,$B$2)</f>
        <v>8</v>
      </c>
      <c r="C11" s="83">
        <f>SUMIFS('ENE.-22'!$I$2:$I$21,'ENE.-22'!$D$2:$D$21,$A11,'ENE.-22'!$B$2:$B$21,$A$2,'ENE.-22'!$J$2:$J$21,$B$2)</f>
        <v>82800000</v>
      </c>
      <c r="D11" s="51">
        <f>SUMIFS('FEB.-22'!$N$2:$N$20,'FEB.-22'!$D$2:$D$20,$A11,'FEB.-22'!$B$2:$B$20,$A$2,'FEB.-22'!$J$2:$J$20,$B$2)</f>
        <v>7</v>
      </c>
      <c r="E11" s="83">
        <f>+SUMIFS('FEB.-22'!$I$2:$I$20,'FEB.-22'!$D$2:$D$20,$A11,'FEB.-22'!$B$2:$B$20,$A$2,'FEB.-22'!$J$2:$J$20,$B$2)</f>
        <v>72400000</v>
      </c>
      <c r="F11" s="51">
        <f>+SUMIFS('MAR-22'!$O$2:$O$47,'MAR-22'!$E$2:$E$47,$A11,'MAR-22'!$C$2:$C$47,$A$2,'MAR-22'!$K$2:$K$47,$B$2)</f>
        <v>6</v>
      </c>
      <c r="G11" s="83">
        <f>+SUMIFS('MAR-22'!$J$2:$J$47,'MAR-22'!$E$2:$E$47,$A11,'MAR-22'!$C$2:$C$47,$A$2,'MAR-22'!$K$2:$K$47,$B$2)</f>
        <v>72400000</v>
      </c>
      <c r="H11" s="51">
        <f>SUMIFS('ABR-22'!$O$2:$O$34,'ABR-22'!$E$2:$E$34,$A11,'ABR-22'!$C$2:$C$34,$A$2,'ABR-22'!$K$2:$K$34,'Resume 2022'!$B$2)</f>
        <v>9</v>
      </c>
      <c r="I11" s="83">
        <f>SUMIFS('ABR-22'!$J$2:$J$34,'ABR-22'!$E$2:$E$34,$A11,'ABR-22'!$C$2:$C$34,$A$2,'ABR-22'!$K$2:$K$34,$B$2)</f>
        <v>101820000</v>
      </c>
      <c r="J11" s="51">
        <f>SUMIFS('MAY-22'!$O$2:$O$40,'MAY-22'!$E$2:$E$40,$A11,'MAY-22'!$C$2:$C$40,$A$2,'MAY-22'!$K$2:$K$40,'Resume 2022'!$B$2)</f>
        <v>4</v>
      </c>
      <c r="K11" s="83">
        <f>SUMIFS('MAY-22'!$J$2:$J$40,'MAY-22'!$E$2:$E$40,$A11,'MAY-22'!$C$2:$C$40,$A$2,'MAY-22'!$K$2:$K$40,'Resume 2022'!$B$2)</f>
        <v>55530000</v>
      </c>
      <c r="L11" s="51">
        <f>SUMIFS('JUN-22'!$O$2:$O$40,'JUN-22'!$E$2:$E$40,$A11,'JUN-22'!$C$2:$C$40,$A$2,'JUN-22'!$K$2:$K$40,'Resume 2022'!$B$2)</f>
        <v>6</v>
      </c>
      <c r="M11" s="83">
        <f>SUMIFS('JUN-22'!$J$2:$J$40,'JUN-22'!$E$2:$E$40,$A11,'JUN-22'!$C$2:$C$40,$A$2,'JUN-22'!$K$2:$K$40,'Resume 2022'!$B$2)</f>
        <v>65700000</v>
      </c>
      <c r="N11" s="51">
        <f>SUMIFS('JUL-22'!$O$2:$O$44,'JUL-22'!$E$2:$E$44,$A11,'JUL-22'!$C$2:$C$44,$A$2,'JUL-22'!$K$2:$K$44,'Resume 2022'!$B$2)</f>
        <v>3.5</v>
      </c>
      <c r="O11" s="83">
        <f>SUMIFS('JUL-22'!$J$2:$J$44,'JUL-22'!$E$2:$E$44,$A11,'JUL-22'!$C$2:$C$44,$A$2,'JUL-22'!$K$2:$K$44,'Resume 2022'!$B$2)</f>
        <v>48700000</v>
      </c>
      <c r="P11" s="51">
        <f>SUMIFS('AGO-22'!$O$2:$O$19,'AGO-22'!$E$2:$E$19,$A11,'AGO-22'!$C$2:$C$19,$A$2,'AGO-22'!$K$2:$K$19,'Resume 2022'!$B$2)</f>
        <v>2</v>
      </c>
      <c r="Q11" s="83">
        <f>SUMIFS('AGO-22'!$J$2:$J$19,'AGO-22'!$E$2:$E$19,$A11,'AGO-22'!$C$2:$C$19,$A$2,'AGO-22'!$K$2:$K$19,'Resume 2022'!$B$2)</f>
        <v>20500000</v>
      </c>
      <c r="R11" s="51">
        <f>SUMIFS('SEP-22'!$O$2:$O$44,'SEP-22'!$E$2:$E$44,$A11,'SEP-22'!$C$2:$C$44,$A$2,'SEP-22'!$K$2:$K$44,'Resume 2022'!$B$2)</f>
        <v>2</v>
      </c>
      <c r="S11" s="83">
        <f>SUMIFS('SEP-22'!$J$2:$J$44,'SEP-22'!$E$2:$E$44,$A11,'SEP-22'!$C$2:$C$44,$A$2,'SEP-22'!$K$2:$K$44,'Resume 2022'!$B$2)</f>
        <v>25200000</v>
      </c>
      <c r="T11" s="51">
        <f>SUMIFS('OCT-22'!$O$2:$O$29,'OCT-22'!$E$2:$E$29,$A11,'OCT-22'!$C$2:$C$29,$A$2,'OCT-22'!$K$2:$K$29,'Resume 2022'!$B$2)</f>
        <v>5</v>
      </c>
      <c r="U11" s="83">
        <f>SUMIFS('OCT-22'!$J$2:$J$29,'OCT-22'!$E$2:$E$29,$A11,'OCT-22'!$C$2:$C$29,$A$2,'OCT-22'!$K$2:$K$29,'Resume 2022'!$B$2)</f>
        <v>83200000</v>
      </c>
      <c r="V11" s="51">
        <f>SUMIFS('NOV-22'!$O$2:$O$24,'NOV-22'!$E$2:$E$24,$A11,'NOV-22'!$C$2:$C$24,$A$2,'NOV-22'!$K$2:$K$24,'Resume 2022'!$B$2)</f>
        <v>4</v>
      </c>
      <c r="W11" s="83">
        <f>SUMIFS('NOV-22'!$J$2:$J$24,'NOV-22'!$E$2:$E$24,$A11,'NOV-22'!$C$2:$C$24,$A$2,'NOV-22'!$K$2:$K$24,'Resume 2022'!$B$2)</f>
        <v>78000000</v>
      </c>
      <c r="X11" s="51">
        <f>SUMIFS('DIC-22'!$O$2:$O$61,'DIC-22'!$E$2:$E$61,$A11,'DIC-22'!$C$2:$C$61,$A$2,'DIC-22'!$K$2:$K$61,'Resume 2022'!$B$2)</f>
        <v>0</v>
      </c>
      <c r="Y11" s="83">
        <f>SUMIFS('DIC-22'!$J$2:$J$61,'DIC-22'!$E$2:$E$61,$A11,'DIC-22'!$C$2:$C$61,$A$2,'DIC-22'!$K$2:$K$61,'Resume 2022'!$B$2)</f>
        <v>0</v>
      </c>
      <c r="Z11" s="8">
        <f t="shared" si="0"/>
        <v>56.5</v>
      </c>
    </row>
    <row r="12" spans="1:26" ht="15" customHeight="1" x14ac:dyDescent="0.2">
      <c r="A12" s="1"/>
    </row>
    <row r="13" spans="1:26" ht="15" customHeight="1" x14ac:dyDescent="0.2">
      <c r="A13" s="3" t="s">
        <v>157</v>
      </c>
      <c r="B13" s="8">
        <f>SUM(B5:B12)</f>
        <v>11</v>
      </c>
      <c r="C13" s="73">
        <f>SUM(C5:C12)</f>
        <v>222429090</v>
      </c>
      <c r="D13" s="8">
        <f t="shared" ref="D13:Y13" si="1">SUM(D5:D12)</f>
        <v>9</v>
      </c>
      <c r="E13" s="73">
        <f t="shared" si="1"/>
        <v>133446000</v>
      </c>
      <c r="F13" s="8">
        <f t="shared" si="1"/>
        <v>9.5</v>
      </c>
      <c r="G13" s="73">
        <f>SUM(G5:G12)</f>
        <v>178650000</v>
      </c>
      <c r="H13" s="8">
        <f t="shared" si="1"/>
        <v>12</v>
      </c>
      <c r="I13" s="73">
        <f t="shared" si="1"/>
        <v>165310000</v>
      </c>
      <c r="J13" s="8">
        <f t="shared" si="1"/>
        <v>8</v>
      </c>
      <c r="K13" s="73">
        <f t="shared" si="1"/>
        <v>133540000</v>
      </c>
      <c r="L13" s="8">
        <f t="shared" si="1"/>
        <v>12</v>
      </c>
      <c r="M13" s="73">
        <f t="shared" si="1"/>
        <v>252614600</v>
      </c>
      <c r="N13" s="8">
        <f t="shared" si="1"/>
        <v>8</v>
      </c>
      <c r="O13" s="73">
        <f t="shared" si="1"/>
        <v>168400000</v>
      </c>
      <c r="P13" s="8">
        <f t="shared" si="1"/>
        <v>4</v>
      </c>
      <c r="Q13" s="73">
        <f t="shared" si="1"/>
        <v>94400000</v>
      </c>
      <c r="R13" s="8">
        <f t="shared" si="1"/>
        <v>5</v>
      </c>
      <c r="S13" s="73">
        <f t="shared" si="1"/>
        <v>119100000</v>
      </c>
      <c r="T13" s="8">
        <f t="shared" si="1"/>
        <v>5</v>
      </c>
      <c r="U13" s="73">
        <f t="shared" si="1"/>
        <v>83200000</v>
      </c>
      <c r="V13" s="8">
        <f t="shared" si="1"/>
        <v>10</v>
      </c>
      <c r="W13" s="73">
        <f t="shared" si="1"/>
        <v>240580000</v>
      </c>
      <c r="X13" s="8">
        <f t="shared" si="1"/>
        <v>0</v>
      </c>
      <c r="Y13" s="73">
        <f t="shared" si="1"/>
        <v>0</v>
      </c>
    </row>
    <row r="14" spans="1:26" ht="15" customHeight="1" x14ac:dyDescent="0.2">
      <c r="A14" s="3"/>
    </row>
    <row r="15" spans="1:26" ht="15" customHeight="1" x14ac:dyDescent="0.2">
      <c r="A15" s="3"/>
    </row>
    <row r="16" spans="1:26" x14ac:dyDescent="0.2">
      <c r="A16" s="82" t="s">
        <v>22</v>
      </c>
      <c r="B16" s="75"/>
    </row>
    <row r="17" spans="1:26" x14ac:dyDescent="0.2">
      <c r="A17" s="445" t="s">
        <v>83</v>
      </c>
      <c r="B17" s="441" t="s">
        <v>1008</v>
      </c>
      <c r="C17" s="441"/>
      <c r="D17" s="441" t="s">
        <v>1009</v>
      </c>
      <c r="E17" s="441"/>
      <c r="F17" s="441" t="s">
        <v>1010</v>
      </c>
      <c r="G17" s="441"/>
      <c r="H17" s="441" t="s">
        <v>1011</v>
      </c>
      <c r="I17" s="441"/>
      <c r="J17" s="441" t="s">
        <v>1012</v>
      </c>
      <c r="K17" s="441"/>
      <c r="L17" s="441" t="s">
        <v>1013</v>
      </c>
      <c r="M17" s="441"/>
      <c r="N17" s="441" t="s">
        <v>1014</v>
      </c>
      <c r="O17" s="441"/>
      <c r="P17" s="441" t="s">
        <v>1015</v>
      </c>
      <c r="Q17" s="441"/>
      <c r="R17" s="441" t="s">
        <v>1016</v>
      </c>
      <c r="S17" s="441"/>
      <c r="T17" s="441" t="s">
        <v>1017</v>
      </c>
      <c r="U17" s="441"/>
      <c r="V17" s="441" t="s">
        <v>1018</v>
      </c>
      <c r="W17" s="441"/>
      <c r="X17" s="441" t="s">
        <v>1019</v>
      </c>
      <c r="Y17" s="441"/>
    </row>
    <row r="18" spans="1:26" x14ac:dyDescent="0.2">
      <c r="A18" s="446"/>
      <c r="B18" s="81" t="s">
        <v>1020</v>
      </c>
      <c r="C18" s="85" t="s">
        <v>1021</v>
      </c>
      <c r="D18" s="81" t="s">
        <v>1020</v>
      </c>
      <c r="E18" s="85" t="s">
        <v>1021</v>
      </c>
      <c r="F18" s="81" t="s">
        <v>1020</v>
      </c>
      <c r="G18" s="85" t="s">
        <v>1021</v>
      </c>
      <c r="H18" s="81" t="s">
        <v>1020</v>
      </c>
      <c r="I18" s="85" t="s">
        <v>1021</v>
      </c>
      <c r="J18" s="81" t="s">
        <v>1020</v>
      </c>
      <c r="K18" s="85" t="s">
        <v>1021</v>
      </c>
      <c r="L18" s="81" t="s">
        <v>1020</v>
      </c>
      <c r="M18" s="85" t="s">
        <v>1021</v>
      </c>
      <c r="N18" s="81" t="s">
        <v>1020</v>
      </c>
      <c r="O18" s="85" t="s">
        <v>1021</v>
      </c>
      <c r="P18" s="81" t="s">
        <v>1020</v>
      </c>
      <c r="Q18" s="85" t="s">
        <v>1021</v>
      </c>
      <c r="R18" s="81" t="s">
        <v>1020</v>
      </c>
      <c r="S18" s="85" t="s">
        <v>1021</v>
      </c>
      <c r="T18" s="81" t="s">
        <v>1020</v>
      </c>
      <c r="U18" s="85" t="s">
        <v>1021</v>
      </c>
      <c r="V18" s="81" t="s">
        <v>1020</v>
      </c>
      <c r="W18" s="85" t="s">
        <v>1021</v>
      </c>
      <c r="X18" s="81" t="s">
        <v>1020</v>
      </c>
      <c r="Y18" s="85" t="s">
        <v>1021</v>
      </c>
    </row>
    <row r="19" spans="1:26" x14ac:dyDescent="0.2">
      <c r="A19" s="79" t="s">
        <v>24</v>
      </c>
      <c r="B19" s="51">
        <f>SUMIFS('ENE.-22'!$N$2:$N$21,'ENE.-22'!$D$2:$D$21,$A19,'ENE.-22'!$B$2:$B$21,$A$16,'ENE.-22'!$J$2:$J$21,$B$2)</f>
        <v>4</v>
      </c>
      <c r="C19" s="83">
        <f>SUMIFS('ENE.-22'!$I$2:$I$21,'ENE.-22'!$D$2:$D$21,$A19,'ENE.-22'!$B$2:$B$21,$A$16,'ENE.-22'!$J$2:$J$21,$B$2)</f>
        <v>80900000</v>
      </c>
      <c r="D19" s="51">
        <f>SUMIFS('FEB.-22'!$N$2:$N$20,'FEB.-22'!$D$2:$D$20,$A19,'FEB.-22'!$B$2:$B$20,$A$16,'FEB.-22'!$J$2:$J$20,$B$2)</f>
        <v>2</v>
      </c>
      <c r="E19" s="83">
        <f>+SUMIFS('FEB.-22'!$I$2:$I$20,'FEB.-22'!$D$2:$D$20,$A19,'FEB.-22'!$B$2:$B$20,$A$16,'FEB.-22'!$J$2:$J$20,$B$2)</f>
        <v>38000000</v>
      </c>
      <c r="F19" s="51">
        <f>+SUMIFS('MAR-22'!$O$2:$O$47,'MAR-22'!$E$2:$E$47,$A19,'MAR-22'!$C$2:$C$47,$A$16,'MAR-22'!$K$2:$K$47,$B$2)</f>
        <v>2</v>
      </c>
      <c r="G19" s="83">
        <f>+SUMIFS('MAR-22'!$J$2:$J$47,'MAR-22'!$E$2:$E$47,$A19,'MAR-22'!$C$2:$C$47,$A$16,'MAR-22'!$K$2:$K$47,$B$2)</f>
        <v>46500000</v>
      </c>
      <c r="H19" s="184">
        <f>SUMIFS('ABR-22'!$O$2:$O$34,'ABR-22'!$E$2:$E$34,$A19,'ABR-22'!$C$2:$C$34,$A$16,'ABR-22'!$K$2:$K$34,'Resume 2022'!$B$2)</f>
        <v>0</v>
      </c>
      <c r="I19" s="185">
        <f>SUMIFS('ABR-22'!$J$2:$J$34,'ABR-22'!$E$2:$E$34,$A19,'ABR-22'!$C$2:$C$34,$A$16,'ABR-22'!$K$2:$K$34,$B$2)</f>
        <v>0</v>
      </c>
      <c r="J19" s="51">
        <f>SUMIFS('MAY-22'!$O$2:$O$40,'MAY-22'!$E$2:$E$40,$A19,'MAY-22'!$C$2:$C$40,$A$16,'MAY-22'!$K$2:$K$40,'Resume 2022'!$B$2)</f>
        <v>3</v>
      </c>
      <c r="K19" s="83">
        <f>SUMIFS('MAY-22'!$J$2:$J$40,'MAY-22'!$E$2:$E$40,$A19,'MAY-22'!$C$2:$C$40,$A$16,'MAY-22'!$K$2:$K$40,'Resume 2022'!$B$2)</f>
        <v>66250000</v>
      </c>
      <c r="L19" s="51">
        <f>SUMIFS('JUN-22'!$O$2:$O$40,'JUN-22'!$E$2:$E$40,$A19,'JUN-22'!$C$2:$C$40,$A$16,'JUN-22'!$K$2:$K$40,'Resume 2022'!$B$2)</f>
        <v>2</v>
      </c>
      <c r="M19" s="83">
        <f>SUMIFS('JUN-22'!$J$2:$J$40,'JUN-22'!$E$2:$E$40,$A19,'JUN-22'!$C$2:$C$40,$A$16,'JUN-22'!$K$2:$K$40,'Resume 2022'!$B$2)</f>
        <v>42500000</v>
      </c>
      <c r="N19" s="51">
        <f>SUMIFS('JUL-22'!$O$2:$O$44,'JUL-22'!$E$2:$E$44,$A19,'JUL-22'!$C$2:$C$44,$A$16,'JUL-22'!$K$2:$K$44,'Resume 2022'!$B$2)</f>
        <v>3</v>
      </c>
      <c r="O19" s="83">
        <f>SUMIFS('JUL-22'!$J$2:$J$44,'JUL-22'!$E$2:$E$44,$A19,'JUL-22'!$C$2:$C$44,$A$16,'JUL-22'!$K$2:$K$44,'Resume 2022'!$B$2)</f>
        <v>78800000</v>
      </c>
      <c r="P19" s="51">
        <f>SUMIFS('AGO-22'!$O$2:$O$19,'AGO-22'!$E$2:$E$19,$A19,'AGO-22'!$C$2:$C$19,$A$16,'AGO-22'!$K$2:$K$19,'Resume 2022'!$B$2)</f>
        <v>2</v>
      </c>
      <c r="Q19" s="83">
        <f>SUMIFS('AGO-22'!$J$2:$J$19,'AGO-22'!$E$2:$E$19,$A19,'AGO-22'!$C$2:$C$19,$A$16,'AGO-22'!$K$2:$K$19,'Resume 2022'!$B$2)</f>
        <v>48580000</v>
      </c>
      <c r="R19" s="51">
        <f>SUMIFS('SEP-22'!$O$2:$O$44,'SEP-22'!$E$2:$E$44,$A19,'SEP-22'!$C$2:$C$44,$A$16,'SEP-22'!$K$2:$K$44,'Resume 2022'!$B$2)</f>
        <v>1</v>
      </c>
      <c r="S19" s="83">
        <f>SUMIFS('SEP-22'!$J$2:$J$44,'SEP-22'!$E$2:$E$44,$A19,'SEP-22'!$C$2:$C$44,$A$16,'SEP-22'!$K$2:$K$44,'Resume 2022'!$B$2)</f>
        <v>20900000</v>
      </c>
      <c r="T19" s="51">
        <f>SUMIFS('OCT-22'!$O$2:$O$29,'OCT-22'!$E$2:$E$29,$A19,'OCT-22'!$C$2:$C$29,$A$16,'OCT-22'!$K$2:$K$29,'Resume 2022'!$B$2)</f>
        <v>2</v>
      </c>
      <c r="U19" s="83">
        <f>SUMIFS('OCT-22'!$J$2:$J$29,'OCT-22'!$E$2:$E$29,$A19,'OCT-22'!$C$2:$C$29,$A$16,'OCT-22'!$K$2:$K$29,'Resume 2022'!$B$2)</f>
        <v>53700000</v>
      </c>
      <c r="V19" s="51">
        <f>SUMIFS('NOV-22'!$O$2:$O$24,'NOV-22'!$E$2:$E$24,$A19,'NOV-22'!$C$2:$C$24,$A$16,'NOV-22'!$K$2:$K$24,'Resume 2022'!$B$2)</f>
        <v>3</v>
      </c>
      <c r="W19" s="83">
        <f>SUMIFS('NOV-22'!$J$2:$J$24,'NOV-22'!$E$2:$E$24,$A19,'NOV-22'!$C$2:$C$24,$A$16,'NOV-22'!$K$2:$K$24,'Resume 2022'!$B$2)</f>
        <v>77800000</v>
      </c>
      <c r="X19" s="51">
        <f>SUMIFS('DIC-22'!$O$2:$O$61,'DIC-22'!$E$2:$E$61,$A19,'DIC-22'!$C$2:$C$61,$A$16,'DIC-22'!$K$2:$K$61,'Resume 2022'!$B$2)</f>
        <v>0</v>
      </c>
      <c r="Y19" s="83">
        <f>SUMIFS('DIC-22'!$J$2:$J$61,'DIC-22'!$E$2:$E$61,$A19,'DIC-22'!$C$2:$C$61,$A$16,'DIC-22'!$K$2:$K$61,'Resume 2022'!$B$2)</f>
        <v>0</v>
      </c>
      <c r="Z19" s="8">
        <f>+B19+F19+H19+D19+J19+L19+N19+P19+R19+T19+V19</f>
        <v>24</v>
      </c>
    </row>
    <row r="20" spans="1:26" x14ac:dyDescent="0.2">
      <c r="A20" s="79" t="s">
        <v>66</v>
      </c>
      <c r="B20" s="184">
        <f>SUMIFS('ENE.-22'!$N$2:$N$21,'ENE.-22'!$D$2:$D$21,$A20,'ENE.-22'!$B$2:$B$21,$A$16,'ENE.-22'!$J$2:$J$21,$B$2)</f>
        <v>0</v>
      </c>
      <c r="C20" s="185">
        <f>SUMIFS('ENE.-22'!$I$2:$I$21,'ENE.-22'!$D$2:$D$21,$A20,'ENE.-22'!$B$2:$B$21,$A$16,'ENE.-22'!$J$2:$J$21,$B$2)</f>
        <v>0</v>
      </c>
      <c r="D20" s="51">
        <f>SUMIFS('FEB.-22'!$N$2:$N$20,'FEB.-22'!$D$2:$D$20,$A20,'FEB.-22'!$B$2:$B$20,$A$16,'FEB.-22'!$J$2:$J$20,$B$2)</f>
        <v>1</v>
      </c>
      <c r="E20" s="83">
        <f>+SUMIFS('FEB.-22'!$I$2:$I$20,'FEB.-22'!$D$2:$D$20,$A20,'FEB.-22'!$B$2:$B$20,$A$16,'FEB.-22'!$J$2:$J$20,$B$2)</f>
        <v>24500000</v>
      </c>
      <c r="F20" s="184">
        <f>+SUMIFS('MAR-22'!$O$2:$O$47,'MAR-22'!$E$2:$E$47,$A20,'MAR-22'!$C$2:$C$47,$A$16,'MAR-22'!$K$2:$K$47,$B$2)</f>
        <v>0</v>
      </c>
      <c r="G20" s="185">
        <f>+SUMIFS('MAR-22'!$J$2:$J$47,'MAR-22'!$E$2:$E$47,$A20,'MAR-22'!$C$2:$C$47,$A$16,'MAR-22'!$K$2:$K$47,$B$2)</f>
        <v>0</v>
      </c>
      <c r="H20" s="184">
        <f>SUMIFS('ABR-22'!$O$2:$O$34,'ABR-22'!$E$2:$E$34,$A20,'ABR-22'!$C$2:$C$34,$A$16,'ABR-22'!$K$2:$K$34,'Resume 2022'!$B$2)</f>
        <v>0</v>
      </c>
      <c r="I20" s="185">
        <f>SUMIFS('ABR-22'!$J$2:$J$34,'ABR-22'!$E$2:$E$34,$A20,'ABR-22'!$C$2:$C$34,$A$16,'ABR-22'!$K$2:$K$34,$B$2)</f>
        <v>0</v>
      </c>
      <c r="J20" s="184">
        <f>SUMIFS('MAY-22'!$O$2:$O$40,'MAY-22'!$E$2:$E$40,$A20,'MAY-22'!$C$2:$C$40,$A$16,'MAY-22'!$K$2:$K$40,'Resume 2022'!$B$2)</f>
        <v>0</v>
      </c>
      <c r="K20" s="185">
        <f>SUMIFS('MAY-22'!$J$2:$J$40,'MAY-22'!$E$2:$E$40,$A20,'MAY-22'!$C$2:$C$40,$A$16,'MAY-22'!$K$2:$K$40,'Resume 2022'!$B$2)</f>
        <v>0</v>
      </c>
      <c r="L20" s="51">
        <f>SUMIFS('JUN-22'!$O$2:$O$40,'JUN-22'!$E$2:$E$40,$A20,'JUN-22'!$C$2:$C$40,$A$16,'JUN-22'!$K$2:$K$40,'Resume 2022'!$B$2)</f>
        <v>0</v>
      </c>
      <c r="M20" s="83">
        <f>SUMIFS('JUN-22'!$J$2:$J$40,'JUN-22'!$E$2:$E$40,$A20,'JUN-22'!$C$2:$C$40,$A$16,'JUN-22'!$K$2:$K$40,'Resume 2022'!$B$2)</f>
        <v>0</v>
      </c>
      <c r="N20" s="51">
        <f>SUMIFS('JUL-22'!$O$2:$O$44,'JUL-22'!$E$2:$E$44,$A20,'JUL-22'!$C$2:$C$44,$A$16,'JUL-22'!$K$2:$K$44,'Resume 2022'!$B$2)</f>
        <v>0</v>
      </c>
      <c r="O20" s="83">
        <f>SUMIFS('JUL-22'!$J$2:$J$44,'JUL-22'!$E$2:$E$44,$A20,'JUL-22'!$C$2:$C$44,$A$16,'JUL-22'!$K$2:$K$44,'Resume 2022'!$B$2)</f>
        <v>0</v>
      </c>
      <c r="P20" s="51">
        <f>SUMIFS('AGO-22'!$O$2:$O$19,'AGO-22'!$E$2:$E$19,$A20,'AGO-22'!$C$2:$C$19,$A$16,'AGO-22'!$K$2:$K$19,'Resume 2022'!$B$2)</f>
        <v>3</v>
      </c>
      <c r="Q20" s="83">
        <f>SUMIFS('AGO-22'!$J$2:$J$19,'AGO-22'!$E$2:$E$19,$A20,'AGO-22'!$C$2:$C$19,$A$16,'AGO-22'!$K$2:$K$19,'Resume 2022'!$B$2)</f>
        <v>60400000</v>
      </c>
      <c r="R20" s="51">
        <f>SUMIFS('SEP-22'!$O$2:$O$44,'SEP-22'!$E$2:$E$44,$A20,'SEP-22'!$C$2:$C$44,$A$16,'SEP-22'!$K$2:$K$44,'Resume 2022'!$B$2)</f>
        <v>1</v>
      </c>
      <c r="S20" s="83">
        <f>SUMIFS('SEP-22'!$J$2:$J$44,'SEP-22'!$E$2:$E$44,$A20,'SEP-22'!$C$2:$C$44,$A$16,'SEP-22'!$K$2:$K$44,'Resume 2022'!$B$2)</f>
        <v>12874000</v>
      </c>
      <c r="T20" s="51">
        <f>SUMIFS('OCT-22'!$O$2:$O$29,'OCT-22'!$E$2:$E$29,$A20,'OCT-22'!$C$2:$C$29,$A$16,'OCT-22'!$K$2:$K$29,'Resume 2022'!$B$2)</f>
        <v>1</v>
      </c>
      <c r="U20" s="83">
        <f>SUMIFS('OCT-22'!$J$2:$J$29,'OCT-22'!$E$2:$E$29,$A20,'OCT-22'!$C$2:$C$29,$A$16,'OCT-22'!$K$2:$K$29,'Resume 2022'!$B$2)</f>
        <v>19900000</v>
      </c>
      <c r="V20" s="51">
        <f>SUMIFS('NOV-22'!$O$2:$O$24,'NOV-22'!$E$2:$E$24,$A20,'NOV-22'!$C$2:$C$24,$A$16,'NOV-22'!$K$2:$K$24,'Resume 2022'!$B$2)</f>
        <v>1</v>
      </c>
      <c r="W20" s="83">
        <f>SUMIFS('NOV-22'!$J$2:$J$24,'NOV-22'!$E$2:$E$24,$A20,'NOV-22'!$C$2:$C$24,$A$16,'NOV-22'!$K$2:$K$24,'Resume 2022'!$B$2)</f>
        <v>27800000</v>
      </c>
      <c r="X20" s="51">
        <f>SUMIFS('DIC-22'!$O$2:$O$61,'DIC-22'!$E$2:$E$61,$A20,'DIC-22'!$C$2:$C$61,$A$16,'DIC-22'!$K$2:$K$61,'Resume 2022'!$B$2)</f>
        <v>0</v>
      </c>
      <c r="Y20" s="83">
        <f>SUMIFS('DIC-22'!$J$2:$J$61,'DIC-22'!$E$2:$E$61,$A20,'DIC-22'!$C$2:$C$61,$A$16,'DIC-22'!$K$2:$K$61,'Resume 2022'!$B$2)</f>
        <v>0</v>
      </c>
      <c r="Z20" s="8">
        <f t="shared" ref="Z20:Z25" si="2">+B20+F20+H20+D20+J20+L20+N20+P20+R20+T20+V20</f>
        <v>7</v>
      </c>
    </row>
    <row r="21" spans="1:26" x14ac:dyDescent="0.2">
      <c r="A21" s="84" t="s">
        <v>34</v>
      </c>
      <c r="B21" s="184">
        <f>SUMIFS('ENE.-22'!$N$2:$N$21,'ENE.-22'!$D$2:$D$21,$A21,'ENE.-22'!$B$2:$B$21,$A$16,'ENE.-22'!$J$2:$J$21,$B$2)</f>
        <v>0</v>
      </c>
      <c r="C21" s="185">
        <f>SUMIFS('ENE.-22'!$I$2:$I$21,'ENE.-22'!$D$2:$D$21,$A21,'ENE.-22'!$B$2:$B$21,$A$16,'ENE.-22'!$J$2:$J$21,$B$2)</f>
        <v>0</v>
      </c>
      <c r="D21" s="51">
        <f>SUMIFS('FEB.-22'!$N$2:$N$20,'FEB.-22'!$D$2:$D$20,$A21,'FEB.-22'!$B$2:$B$20,$A$16,'FEB.-22'!$J$2:$J$20,$B$2)</f>
        <v>1</v>
      </c>
      <c r="E21" s="83">
        <f>+SUMIFS('FEB.-22'!$I$2:$I$20,'FEB.-22'!$D$2:$D$20,$A21,'FEB.-22'!$B$2:$B$20,$A$16,'FEB.-22'!$J$2:$J$20,$B$2)</f>
        <v>6900000</v>
      </c>
      <c r="F21" s="184">
        <f>+SUMIFS('MAR-22'!$O$2:$O$47,'MAR-22'!$E$2:$E$47,$A21,'MAR-22'!$C$2:$C$47,$A$16,'MAR-22'!$K$2:$K$47,$B$2)</f>
        <v>0</v>
      </c>
      <c r="G21" s="185">
        <f>+SUMIFS('MAR-22'!$J$2:$J$47,'MAR-22'!$E$2:$E$47,$A21,'MAR-22'!$C$2:$C$47,$A$16,'MAR-22'!$K$2:$K$47,$B$2)</f>
        <v>0</v>
      </c>
      <c r="H21" s="184">
        <f>SUMIFS('ABR-22'!$O$2:$O$34,'ABR-22'!$E$2:$E$34,$A21,'ABR-22'!$C$2:$C$34,$A$16,'ABR-22'!$K$2:$K$34,'Resume 2022'!$B$2)</f>
        <v>0</v>
      </c>
      <c r="I21" s="185">
        <f>SUMIFS('ABR-22'!$J$2:$J$34,'ABR-22'!$E$2:$E$34,$A21,'ABR-22'!$C$2:$C$34,$A$16,'ABR-22'!$K$2:$K$34,$B$2)</f>
        <v>0</v>
      </c>
      <c r="J21" s="51">
        <f>SUMIFS('MAY-22'!$O$2:$O$40,'MAY-22'!$E$2:$E$40,$A21,'MAY-22'!$C$2:$C$40,$A$16,'MAY-22'!$K$2:$K$40,'Resume 2022'!$B$2)</f>
        <v>1</v>
      </c>
      <c r="K21" s="83">
        <f>SUMIFS('MAY-22'!$J$2:$J$40,'MAY-22'!$E$2:$E$40,$A21,'MAY-22'!$C$2:$C$40,$A$16,'MAY-22'!$K$2:$K$40,'Resume 2022'!$B$2)</f>
        <v>6600000</v>
      </c>
      <c r="L21" s="184">
        <f>SUMIFS('JUN-22'!$O$2:$O$40,'JUN-22'!$E$2:$E$40,$A21,'JUN-22'!$C$2:$C$40,$A$16,'JUN-22'!$K$2:$K$40,'Resume 2022'!$B$2)</f>
        <v>0</v>
      </c>
      <c r="M21" s="185">
        <f>SUMIFS('JUN-22'!$J$2:$J$40,'JUN-22'!$E$2:$E$40,$A21,'JUN-22'!$C$2:$C$40,$A$16,'JUN-22'!$K$2:$K$40,'Resume 2022'!$B$2)</f>
        <v>0</v>
      </c>
      <c r="N21" s="51">
        <f>SUMIFS('JUL-22'!$O$2:$O$44,'JUL-22'!$E$2:$E$44,$A21,'JUL-22'!$C$2:$C$44,$A$16,'JUL-22'!$K$2:$K$44,'Resume 2022'!$B$2)</f>
        <v>1.5</v>
      </c>
      <c r="O21" s="83">
        <f>SUMIFS('JUL-22'!$J$2:$J$44,'JUL-22'!$E$2:$E$44,$A21,'JUL-22'!$C$2:$C$44,$A$16,'JUL-22'!$K$2:$K$44,'Resume 2022'!$B$2)</f>
        <v>7200000</v>
      </c>
      <c r="P21" s="51">
        <f>SUMIFS('AGO-22'!$O$2:$O$19,'AGO-22'!$E$2:$E$19,$A21,'AGO-22'!$C$2:$C$19,$A$16,'AGO-22'!$K$2:$K$19,'Resume 2022'!$B$2)</f>
        <v>0</v>
      </c>
      <c r="Q21" s="83">
        <f>SUMIFS('AGO-22'!$J$2:$J$19,'AGO-22'!$E$2:$E$19,$A21,'AGO-22'!$C$2:$C$19,$A$16,'AGO-22'!$K$2:$K$19,'Resume 2022'!$B$2)</f>
        <v>0</v>
      </c>
      <c r="R21" s="51">
        <f>SUMIFS('SEP-22'!$O$2:$O$44,'SEP-22'!$E$2:$E$44,$A21,'SEP-22'!$C$2:$C$44,$A$16,'SEP-22'!$K$2:$K$44,'Resume 2022'!$B$2)</f>
        <v>2</v>
      </c>
      <c r="S21" s="83">
        <f>SUMIFS('SEP-22'!$J$2:$J$44,'SEP-22'!$E$2:$E$44,$A21,'SEP-22'!$C$2:$C$44,$A$16,'SEP-22'!$K$2:$K$44,'Resume 2022'!$B$2)</f>
        <v>14000000</v>
      </c>
      <c r="T21" s="51">
        <f>SUMIFS('OCT-22'!$O$2:$O$29,'OCT-22'!$E$2:$E$29,$A21,'OCT-22'!$C$2:$C$29,$A$16,'OCT-22'!$K$2:$K$29,'Resume 2022'!$B$2)</f>
        <v>1</v>
      </c>
      <c r="U21" s="83">
        <f>SUMIFS('OCT-22'!$J$2:$J$29,'OCT-22'!$E$2:$E$29,$A21,'OCT-22'!$C$2:$C$29,$A$16,'OCT-22'!$K$2:$K$29,'Resume 2022'!$B$2)</f>
        <v>6700000</v>
      </c>
      <c r="V21" s="51">
        <f>SUMIFS('NOV-22'!$O$2:$O$24,'NOV-22'!$E$2:$E$24,$A21,'NOV-22'!$C$2:$C$24,$A$16,'NOV-22'!$K$2:$K$24,'Resume 2022'!$B$2)</f>
        <v>0</v>
      </c>
      <c r="W21" s="83">
        <f>SUMIFS('NOV-22'!$J$2:$J$24,'NOV-22'!$E$2:$E$24,$A21,'NOV-22'!$C$2:$C$24,$A$16,'NOV-22'!$K$2:$K$24,'Resume 2022'!$B$2)</f>
        <v>0</v>
      </c>
      <c r="X21" s="51">
        <f>SUMIFS('DIC-22'!$O$2:$O$61,'DIC-22'!$E$2:$E$61,$A21,'DIC-22'!$C$2:$C$61,$A$16,'DIC-22'!$K$2:$K$61,'Resume 2022'!$B$2)</f>
        <v>0</v>
      </c>
      <c r="Y21" s="83">
        <f>SUMIFS('DIC-22'!$J$2:$J$61,'DIC-22'!$E$2:$E$61,$A21,'DIC-22'!$C$2:$C$61,$A$16,'DIC-22'!$K$2:$K$61,'Resume 2022'!$B$2)</f>
        <v>0</v>
      </c>
      <c r="Z21" s="8">
        <f t="shared" si="2"/>
        <v>6.5</v>
      </c>
    </row>
    <row r="22" spans="1:26" x14ac:dyDescent="0.2">
      <c r="A22" s="79" t="s">
        <v>31</v>
      </c>
      <c r="B22" s="184">
        <f>SUMIFS('ENE.-22'!$N$2:$N$21,'ENE.-22'!$D$2:$D$21,$A22,'ENE.-22'!$B$2:$B$21,$A$16,'ENE.-22'!$J$2:$J$21,$B$2)</f>
        <v>0</v>
      </c>
      <c r="C22" s="185">
        <f>SUMIFS('ENE.-22'!$I$2:$I$21,'ENE.-22'!$D$2:$D$21,$A22,'ENE.-22'!$B$2:$B$21,$A$16,'ENE.-22'!$J$2:$J$21,$B$2)</f>
        <v>0</v>
      </c>
      <c r="D22" s="51">
        <f>SUMIFS('FEB.-22'!$N$2:$N$20,'FEB.-22'!$D$2:$D$20,$A22,'FEB.-22'!$B$2:$B$20,$A$16,'FEB.-22'!$J$2:$J$20,$B$2)</f>
        <v>1</v>
      </c>
      <c r="E22" s="83">
        <f>+SUMIFS('FEB.-22'!$I$2:$I$20,'FEB.-22'!$D$2:$D$20,$A22,'FEB.-22'!$B$2:$B$20,$A$16,'FEB.-22'!$J$2:$J$20,$B$2)</f>
        <v>22400000</v>
      </c>
      <c r="F22" s="184">
        <f>+SUMIFS('MAR-22'!$O$2:$O$47,'MAR-22'!$E$2:$E$47,$A22,'MAR-22'!$C$2:$C$47,$A$16,'MAR-22'!$K$2:$K$47,$B$2)</f>
        <v>0.5</v>
      </c>
      <c r="G22" s="185">
        <f>+SUMIFS('MAR-22'!$J$2:$J$47,'MAR-22'!$E$2:$E$47,$A22,'MAR-22'!$C$2:$C$47,$A$16,'MAR-22'!$K$2:$K$47,$B$2)</f>
        <v>0</v>
      </c>
      <c r="H22" s="184">
        <f>SUMIFS('ABR-22'!$O$2:$O$34,'ABR-22'!$E$2:$E$34,$A22,'ABR-22'!$C$2:$C$34,$A$16,'ABR-22'!$K$2:$K$34,'Resume 2022'!$B$2)</f>
        <v>0</v>
      </c>
      <c r="I22" s="185">
        <f>SUMIFS('ABR-22'!$J$2:$J$34,'ABR-22'!$E$2:$E$34,$A22,'ABR-22'!$C$2:$C$34,$A$16,'ABR-22'!$K$2:$K$34,$B$2)</f>
        <v>0</v>
      </c>
      <c r="J22" s="51">
        <f>SUMIFS('MAY-22'!$O$2:$O$40,'MAY-22'!$E$2:$E$40,$A22,'MAY-22'!$C$2:$C$40,$A$16,'MAY-22'!$K$2:$K$40,'Resume 2022'!$B$2)</f>
        <v>3</v>
      </c>
      <c r="K22" s="83">
        <f>SUMIFS('MAY-22'!$J$2:$J$40,'MAY-22'!$E$2:$E$40,$A22,'MAY-22'!$C$2:$C$40,$A$16,'MAY-22'!$K$2:$K$40,'Resume 2022'!$B$2)</f>
        <v>108400000</v>
      </c>
      <c r="L22" s="51">
        <f>SUMIFS('JUN-22'!$O$2:$O$40,'JUN-22'!$E$2:$E$40,$A22,'JUN-22'!$C$2:$C$40,$A$16,'JUN-22'!$K$2:$K$40,'Resume 2022'!$B$2)</f>
        <v>2</v>
      </c>
      <c r="M22" s="83">
        <f>SUMIFS('JUN-22'!$J$2:$J$40,'JUN-22'!$E$2:$E$40,$A22,'JUN-22'!$C$2:$C$40,$A$16,'JUN-22'!$K$2:$K$40,'Resume 2022'!$B$2)</f>
        <v>34500000</v>
      </c>
      <c r="N22" s="51">
        <f>SUMIFS('JUL-22'!$O$2:$O$44,'JUL-22'!$E$2:$E$44,$A22,'JUL-22'!$C$2:$C$44,$A$16,'JUL-22'!$K$2:$K$44,'Resume 2022'!$B$2)</f>
        <v>2.5</v>
      </c>
      <c r="O22" s="83">
        <f>SUMIFS('JUL-22'!$J$2:$J$44,'JUL-22'!$E$2:$E$44,$A22,'JUL-22'!$C$2:$C$44,$A$16,'JUL-22'!$K$2:$K$44,'Resume 2022'!$B$2)</f>
        <v>36000000</v>
      </c>
      <c r="P22" s="51">
        <f>SUMIFS('AGO-22'!$O$2:$O$19,'AGO-22'!$E$2:$E$19,$A22,'AGO-22'!$C$2:$C$19,$A$16,'AGO-22'!$K$2:$K$19,'Resume 2022'!$B$2)</f>
        <v>3</v>
      </c>
      <c r="Q22" s="83">
        <f>SUMIFS('AGO-22'!$J$2:$J$19,'AGO-22'!$E$2:$E$19,$A22,'AGO-22'!$C$2:$C$19,$A$16,'AGO-22'!$K$2:$K$19,'Resume 2022'!$B$2)</f>
        <v>167960000</v>
      </c>
      <c r="R22" s="51">
        <f>SUMIFS('SEP-22'!$O$2:$O$44,'SEP-22'!$E$2:$E$44,$A22,'SEP-22'!$C$2:$C$44,$A$16,'SEP-22'!$K$2:$K$44,'Resume 2022'!$B$2)</f>
        <v>0</v>
      </c>
      <c r="S22" s="83">
        <f>SUMIFS('SEP-22'!$J$2:$J$44,'SEP-22'!$E$2:$E$44,$A22,'SEP-22'!$C$2:$C$44,$A$16,'SEP-22'!$K$2:$K$44,'Resume 2022'!$B$2)</f>
        <v>0</v>
      </c>
      <c r="T22" s="51">
        <f>SUMIFS('OCT-22'!$O$2:$O$29,'OCT-22'!$E$2:$E$29,$A22,'OCT-22'!$C$2:$C$29,$A$16,'OCT-22'!$K$2:$K$29,'Resume 2022'!$B$2)</f>
        <v>1</v>
      </c>
      <c r="U22" s="83">
        <f>SUMIFS('OCT-22'!$J$2:$J$29,'OCT-22'!$E$2:$E$29,$A22,'OCT-22'!$C$2:$C$29,$A$16,'OCT-22'!$K$2:$K$29,'Resume 2022'!$B$2)</f>
        <v>28000000</v>
      </c>
      <c r="V22" s="51">
        <f>SUMIFS('NOV-22'!$O$2:$O$24,'NOV-22'!$E$2:$E$24,$A22,'NOV-22'!$C$2:$C$24,$A$16,'NOV-22'!$K$2:$K$24,'Resume 2022'!$B$2)</f>
        <v>2</v>
      </c>
      <c r="W22" s="83">
        <f>SUMIFS('NOV-22'!$J$2:$J$24,'NOV-22'!$E$2:$E$24,$A22,'NOV-22'!$C$2:$C$24,$A$16,'NOV-22'!$K$2:$K$24,'Resume 2022'!$B$2)</f>
        <v>74300000</v>
      </c>
      <c r="X22" s="51">
        <f>SUMIFS('DIC-22'!$O$2:$O$61,'DIC-22'!$E$2:$E$61,$A22,'DIC-22'!$C$2:$C$61,$A$16,'DIC-22'!$K$2:$K$61,'Resume 2022'!$B$2)</f>
        <v>0</v>
      </c>
      <c r="Y22" s="83">
        <f>SUMIFS('DIC-22'!$J$2:$J$61,'DIC-22'!$E$2:$E$61,$A22,'DIC-22'!$C$2:$C$61,$A$16,'DIC-22'!$K$2:$K$61,'Resume 2022'!$B$2)</f>
        <v>0</v>
      </c>
      <c r="Z22" s="8">
        <f t="shared" si="2"/>
        <v>15</v>
      </c>
    </row>
    <row r="23" spans="1:26" x14ac:dyDescent="0.2">
      <c r="A23" s="79" t="s">
        <v>85</v>
      </c>
      <c r="B23" s="184">
        <f>SUMIFS('ENE.-22'!$N$2:$N$21,'ENE.-22'!$D$2:$D$21,$A23,'ENE.-22'!$B$2:$B$21,$A$16,'ENE.-22'!$J$2:$J$21,$B$2)</f>
        <v>0</v>
      </c>
      <c r="C23" s="185">
        <f>SUMIFS('ENE.-22'!$I$2:$I$21,'ENE.-22'!$D$2:$D$21,$A23,'ENE.-22'!$B$2:$B$21,$A$16,'ENE.-22'!$J$2:$J$21,$B$2)</f>
        <v>0</v>
      </c>
      <c r="D23" s="184">
        <f>SUMIFS('FEB.-22'!$N$2:$N$20,'FEB.-22'!$D$2:$D$20,$A23,'FEB.-22'!$B$2:$B$20,$A$16,'FEB.-22'!$J$2:$J$20,$B$2)</f>
        <v>0</v>
      </c>
      <c r="E23" s="185">
        <f>+SUMIFS('FEB.-22'!$I$2:$I$20,'FEB.-22'!$D$2:$D$20,$A23,'FEB.-22'!$B$2:$B$20,$A$16,'FEB.-22'!$J$2:$J$20,$B$2)</f>
        <v>0</v>
      </c>
      <c r="F23" s="51">
        <f>+SUMIFS('MAR-22'!$O$2:$O$47,'MAR-22'!$E$2:$E$47,$A23,'MAR-22'!$C$2:$C$47,$A$16,'MAR-22'!$K$2:$K$47,$B$2)</f>
        <v>1</v>
      </c>
      <c r="G23" s="83">
        <f>+SUMIFS('MAR-22'!$J$2:$J$47,'MAR-22'!$E$2:$E$47,$A23,'MAR-22'!$C$2:$C$47,$A$16,'MAR-22'!$K$2:$K$47,$B$2)</f>
        <v>130000000</v>
      </c>
      <c r="H23" s="184">
        <f>SUMIFS('ABR-22'!$O$2:$O$34,'ABR-22'!$E$2:$E$34,$A23,'ABR-22'!$C$2:$C$34,$A$16,'ABR-22'!$K$2:$K$34,'Resume 2022'!$B$2)</f>
        <v>0</v>
      </c>
      <c r="I23" s="185">
        <f>SUMIFS('ABR-22'!$J$2:$J$34,'ABR-22'!$E$2:$E$34,$A23,'ABR-22'!$C$2:$C$34,$A$16,'ABR-22'!$K$2:$K$34,$B$2)</f>
        <v>0</v>
      </c>
      <c r="J23" s="184">
        <f>SUMIFS('MAY-22'!$O$2:$O$40,'MAY-22'!$E$2:$E$40,$A23,'MAY-22'!$C$2:$C$40,$A$16,'MAY-22'!$K$2:$K$40,'Resume 2022'!$B$2)</f>
        <v>0</v>
      </c>
      <c r="K23" s="185">
        <f>SUMIFS('MAY-22'!$J$2:$J$40,'MAY-22'!$E$2:$E$40,$A23,'MAY-22'!$C$2:$C$40,$A$16,'MAY-22'!$K$2:$K$40,'Resume 2022'!$B$2)</f>
        <v>0</v>
      </c>
      <c r="L23" s="184">
        <f>SUMIFS('JUN-22'!$O$2:$O$40,'JUN-22'!$E$2:$E$40,$A23,'JUN-22'!$C$2:$C$40,$A$16,'JUN-22'!$K$2:$K$40,'Resume 2022'!$B$2)</f>
        <v>0</v>
      </c>
      <c r="M23" s="185">
        <f>SUMIFS('JUN-22'!$J$2:$J$40,'JUN-22'!$E$2:$E$40,$A23,'JUN-22'!$C$2:$C$40,$A$16,'JUN-22'!$K$2:$K$40,'Resume 2022'!$B$2)</f>
        <v>0</v>
      </c>
      <c r="N23" s="51">
        <f>SUMIFS('JUL-22'!$O$2:$O$44,'JUL-22'!$E$2:$E$44,$A23,'JUL-22'!$C$2:$C$44,$A$16,'JUL-22'!$K$2:$K$44,'Resume 2022'!$B$2)</f>
        <v>0</v>
      </c>
      <c r="O23" s="83">
        <f>SUMIFS('JUL-22'!$J$2:$J$44,'JUL-22'!$E$2:$E$44,$A23,'JUL-22'!$C$2:$C$44,$A$16,'JUL-22'!$K$2:$K$44,'Resume 2022'!$B$2)</f>
        <v>0</v>
      </c>
      <c r="P23" s="51">
        <f>SUMIFS('AGO-22'!$O$2:$O$19,'AGO-22'!$E$2:$E$19,$A23,'AGO-22'!$C$2:$C$19,$A$16,'AGO-22'!$K$2:$K$19,'Resume 2022'!$B$2)</f>
        <v>0</v>
      </c>
      <c r="Q23" s="83">
        <f>SUMIFS('AGO-22'!$J$2:$J$19,'AGO-22'!$E$2:$E$19,$A23,'AGO-22'!$C$2:$C$19,$A$16,'AGO-22'!$K$2:$K$19,'Resume 2022'!$B$2)</f>
        <v>0</v>
      </c>
      <c r="R23" s="51">
        <f>SUMIFS('SEP-22'!$O$2:$O$44,'SEP-22'!$E$2:$E$44,$A23,'SEP-22'!$C$2:$C$44,$A$16,'SEP-22'!$K$2:$K$44,'Resume 2022'!$B$2)</f>
        <v>0</v>
      </c>
      <c r="S23" s="83">
        <f>SUMIFS('SEP-22'!$J$2:$J$44,'SEP-22'!$E$2:$E$44,$A23,'SEP-22'!$C$2:$C$44,$A$16,'SEP-22'!$K$2:$K$44,'Resume 2022'!$B$2)</f>
        <v>0</v>
      </c>
      <c r="T23" s="51">
        <f>SUMIFS('OCT-22'!$O$2:$O$29,'OCT-22'!$E$2:$E$29,$A23,'OCT-22'!$C$2:$C$29,$A$16,'OCT-22'!$K$2:$K$29,'Resume 2022'!$B$2)</f>
        <v>0</v>
      </c>
      <c r="U23" s="83">
        <f>SUMIFS('OCT-22'!$J$2:$J$29,'OCT-22'!$E$2:$E$29,$A23,'OCT-22'!$C$2:$C$29,$A$16,'OCT-22'!$K$2:$K$29,'Resume 2022'!$B$2)</f>
        <v>0</v>
      </c>
      <c r="V23" s="51">
        <f>SUMIFS('NOV-22'!$O$2:$O$24,'NOV-22'!$E$2:$E$24,$A23,'NOV-22'!$C$2:$C$24,$A$16,'NOV-22'!$K$2:$K$24,'Resume 2022'!$B$2)</f>
        <v>0</v>
      </c>
      <c r="W23" s="83">
        <f>SUMIFS('NOV-22'!$J$2:$J$24,'NOV-22'!$E$2:$E$24,$A23,'NOV-22'!$C$2:$C$24,$A$16,'NOV-22'!$K$2:$K$24,'Resume 2022'!$B$2)</f>
        <v>0</v>
      </c>
      <c r="X23" s="51">
        <f>SUMIFS('DIC-22'!$O$2:$O$61,'DIC-22'!$E$2:$E$61,$A23,'DIC-22'!$C$2:$C$61,$A$16,'DIC-22'!$K$2:$K$61,'Resume 2022'!$B$2)</f>
        <v>0</v>
      </c>
      <c r="Y23" s="83">
        <f>SUMIFS('DIC-22'!$J$2:$J$61,'DIC-22'!$E$2:$E$61,$A23,'DIC-22'!$C$2:$C$61,$A$16,'DIC-22'!$K$2:$K$61,'Resume 2022'!$B$2)</f>
        <v>0</v>
      </c>
      <c r="Z23" s="8">
        <f t="shared" si="2"/>
        <v>1</v>
      </c>
    </row>
    <row r="24" spans="1:26" x14ac:dyDescent="0.2">
      <c r="A24" s="79" t="s">
        <v>46</v>
      </c>
      <c r="B24" s="184">
        <f>SUMIFS('ENE.-22'!$N$2:$N$21,'ENE.-22'!$D$2:$D$21,$A24,'ENE.-22'!$B$2:$B$21,$A$16,'ENE.-22'!$J$2:$J$21,$B$2)</f>
        <v>0</v>
      </c>
      <c r="C24" s="185">
        <f>SUMIFS('ENE.-22'!$I$2:$I$21,'ENE.-22'!$D$2:$D$21,$A24,'ENE.-22'!$B$2:$B$21,$A$16,'ENE.-22'!$J$2:$J$21,$B$2)</f>
        <v>0</v>
      </c>
      <c r="D24" s="184">
        <f>SUMIFS('FEB.-22'!$N$2:$N$20,'FEB.-22'!$D$2:$D$20,$A24,'FEB.-22'!$B$2:$B$20,$A$16,'FEB.-22'!$J$2:$J$20,$B$2)</f>
        <v>0</v>
      </c>
      <c r="E24" s="185">
        <f>+SUMIFS('FEB.-22'!$I$2:$I$20,'FEB.-22'!$D$2:$D$20,$A24,'FEB.-22'!$B$2:$B$20,$A$16,'FEB.-22'!$J$2:$J$20,$B$2)</f>
        <v>0</v>
      </c>
      <c r="F24" s="51">
        <f>+SUMIFS('MAR-22'!$O$2:$O$47,'MAR-22'!$E$2:$E$47,$A24,'MAR-22'!$C$2:$C$47,$A$16,'MAR-22'!$K$2:$K$47,$B$2)</f>
        <v>1</v>
      </c>
      <c r="G24" s="83">
        <f>+SUMIFS('MAR-22'!$J$2:$J$47,'MAR-22'!$E$2:$E$47,$A24,'MAR-22'!$C$2:$C$47,$A$16,'MAR-22'!$K$2:$K$47,$B$2)</f>
        <v>188843650</v>
      </c>
      <c r="H24" s="51">
        <f>SUMIFS('ABR-22'!$O$2:$O$34,'ABR-22'!$E$2:$E$34,$A24,'ABR-22'!$C$2:$C$34,$A$16,'ABR-22'!$K$2:$K$34,'Resume 2022'!$B$2)</f>
        <v>1</v>
      </c>
      <c r="I24" s="83">
        <f>SUMIFS('ABR-22'!$J$2:$J$34,'ABR-22'!$E$2:$E$34,$A24,'ABR-22'!$C$2:$C$34,$A$16,'ABR-22'!$K$2:$K$34,$B$2)</f>
        <v>42500000</v>
      </c>
      <c r="J24" s="184">
        <f>SUMIFS('MAY-22'!$O$2:$O$40,'MAY-22'!$E$2:$E$40,$A24,'MAY-22'!$C$2:$C$40,$A$16,'MAY-22'!$K$2:$K$40,'Resume 2022'!$B$2)</f>
        <v>0</v>
      </c>
      <c r="K24" s="185">
        <f>SUMIFS('MAY-22'!$J$2:$J$40,'MAY-22'!$E$2:$E$40,$A24,'MAY-22'!$C$2:$C$40,$A$16,'MAY-22'!$K$2:$K$40,'Resume 2022'!$B$2)</f>
        <v>0</v>
      </c>
      <c r="L24" s="51">
        <f>SUMIFS('JUN-22'!$O$2:$O$40,'JUN-22'!$E$2:$E$40,$A24,'JUN-22'!$C$2:$C$40,$A$16,'JUN-22'!$K$2:$K$40,'Resume 2022'!$B$2)</f>
        <v>1</v>
      </c>
      <c r="M24" s="83">
        <f>SUMIFS('JUN-22'!$J$2:$J$40,'JUN-22'!$E$2:$E$40,$A24,'JUN-22'!$C$2:$C$40,$A$16,'JUN-22'!$K$2:$K$40,'Resume 2022'!$B$2)</f>
        <v>0</v>
      </c>
      <c r="N24" s="51">
        <f>SUMIFS('JUL-22'!$O$2:$O$44,'JUL-22'!$E$2:$E$44,$A24,'JUL-22'!$C$2:$C$44,$A$16,'JUL-22'!$K$2:$K$44,'Resume 2022'!$B$2)</f>
        <v>0</v>
      </c>
      <c r="O24" s="83">
        <f>SUMIFS('JUL-22'!$J$2:$J$44,'JUL-22'!$E$2:$E$44,$A24,'JUL-22'!$C$2:$C$44,$A$16,'JUL-22'!$K$2:$K$44,'Resume 2022'!$B$2)</f>
        <v>0</v>
      </c>
      <c r="P24" s="51">
        <f>SUMIFS('AGO-22'!$O$2:$O$19,'AGO-22'!$E$2:$E$19,$A24,'AGO-22'!$C$2:$C$19,$A$16,'AGO-22'!$K$2:$K$19,'Resume 2022'!$B$2)</f>
        <v>0</v>
      </c>
      <c r="Q24" s="83">
        <f>SUMIFS('AGO-22'!$J$2:$J$19,'AGO-22'!$E$2:$E$19,$A24,'AGO-22'!$C$2:$C$19,$A$16,'AGO-22'!$K$2:$K$19,'Resume 2022'!$B$2)</f>
        <v>0</v>
      </c>
      <c r="R24" s="51">
        <f>SUMIFS('SEP-22'!$O$2:$O$44,'SEP-22'!$E$2:$E$44,$A24,'SEP-22'!$C$2:$C$44,$A$16,'SEP-22'!$K$2:$K$44,'Resume 2022'!$B$2)</f>
        <v>1</v>
      </c>
      <c r="S24" s="83">
        <f>SUMIFS('SEP-22'!$J$2:$J$44,'SEP-22'!$E$2:$E$44,$A24,'SEP-22'!$C$2:$C$44,$A$16,'SEP-22'!$K$2:$K$44,'Resume 2022'!$B$2)</f>
        <v>188843650</v>
      </c>
      <c r="T24" s="51">
        <f>SUMIFS('OCT-22'!$O$2:$O$29,'OCT-22'!$E$2:$E$29,$A24,'OCT-22'!$C$2:$C$29,$A$16,'OCT-22'!$K$2:$K$29,'Resume 2022'!$B$2)</f>
        <v>0</v>
      </c>
      <c r="U24" s="83">
        <f>SUMIFS('OCT-22'!$J$2:$J$29,'OCT-22'!$E$2:$E$29,$A24,'OCT-22'!$C$2:$C$29,$A$16,'OCT-22'!$K$2:$K$29,'Resume 2022'!$B$2)</f>
        <v>0</v>
      </c>
      <c r="V24" s="51">
        <f>SUMIFS('NOV-22'!$O$2:$O$24,'NOV-22'!$E$2:$E$24,$A24,'NOV-22'!$C$2:$C$24,$A$16,'NOV-22'!$K$2:$K$24,'Resume 2022'!$B$2)</f>
        <v>1</v>
      </c>
      <c r="W24" s="83">
        <f>SUMIFS('NOV-22'!$J$2:$J$24,'NOV-22'!$E$2:$E$24,$A24,'NOV-22'!$C$2:$C$24,$A$16,'NOV-22'!$K$2:$K$24,'Resume 2022'!$B$2)</f>
        <v>78000000</v>
      </c>
      <c r="X24" s="51">
        <f>SUMIFS('DIC-22'!$O$2:$O$61,'DIC-22'!$E$2:$E$61,$A24,'DIC-22'!$C$2:$C$61,$A$16,'DIC-22'!$K$2:$K$61,'Resume 2022'!$B$2)</f>
        <v>0</v>
      </c>
      <c r="Y24" s="83">
        <f>SUMIFS('DIC-22'!$J$2:$J$61,'DIC-22'!$E$2:$E$61,$A24,'DIC-22'!$C$2:$C$61,$A$16,'DIC-22'!$K$2:$K$61,'Resume 2022'!$B$2)</f>
        <v>0</v>
      </c>
      <c r="Z24" s="8">
        <f t="shared" si="2"/>
        <v>5</v>
      </c>
    </row>
    <row r="25" spans="1:26" x14ac:dyDescent="0.2">
      <c r="A25" s="79" t="s">
        <v>38</v>
      </c>
      <c r="B25" s="51">
        <f>SUMIFS('ENE.-22'!$N$2:$N$21,'ENE.-22'!$D$2:$D$21,$A25,'ENE.-22'!$B$2:$B$21,$A$16,'ENE.-22'!$J$2:$J$21,$B$2)</f>
        <v>5</v>
      </c>
      <c r="C25" s="83">
        <f>SUMIFS('ENE.-22'!$I$2:$I$21,'ENE.-22'!$D$2:$D$21,$A25,'ENE.-22'!$B$2:$B$21,$A$16,'ENE.-22'!$J$2:$J$21,$B$2)</f>
        <v>90500000</v>
      </c>
      <c r="D25" s="51">
        <f>SUMIFS('FEB.-22'!$N$2:$N$20,'FEB.-22'!$D$2:$D$20,$A25,'FEB.-22'!$B$2:$B$20,$A$16,'FEB.-22'!$J$2:$J$20,$B$2)</f>
        <v>5</v>
      </c>
      <c r="E25" s="83">
        <f>+SUMIFS('FEB.-22'!$I$2:$I$20,'FEB.-22'!$D$2:$D$20,$A25,'FEB.-22'!$B$2:$B$20,$A$16,'FEB.-22'!$J$2:$J$20,$B$2)</f>
        <v>87800000</v>
      </c>
      <c r="F25" s="51">
        <f>+SUMIFS('MAR-22'!$O$2:$O$47,'MAR-22'!$E$2:$E$47,$A25,'MAR-22'!$C$2:$C$47,$A$16,'MAR-22'!$K$2:$K$47,$B$2)</f>
        <v>9</v>
      </c>
      <c r="G25" s="83">
        <f>+SUMIFS('MAR-22'!$J$2:$J$47,'MAR-22'!$E$2:$E$47,$A25,'MAR-22'!$C$2:$C$47,$A$16,'MAR-22'!$K$2:$K$47,$B$2)</f>
        <v>166300000</v>
      </c>
      <c r="H25" s="51">
        <f>SUMIFS('ABR-22'!$O$2:$O$34,'ABR-22'!$E$2:$E$34,$A25,'ABR-22'!$C$2:$C$34,$A$16,'ABR-22'!$K$2:$K$34,'Resume 2022'!$B$2)</f>
        <v>7</v>
      </c>
      <c r="I25" s="83">
        <f>SUMIFS('ABR-22'!$J$2:$J$34,'ABR-22'!$E$2:$E$34,$A25,'ABR-22'!$C$2:$C$34,$A$16,'ABR-22'!$K$2:$K$34,$B$2)</f>
        <v>106000000</v>
      </c>
      <c r="J25" s="51">
        <f>SUMIFS('MAY-22'!$O$2:$O$40,'MAY-22'!$E$2:$E$40,$A25,'MAY-22'!$C$2:$C$40,$A$16,'MAY-22'!$K$2:$K$40,'Resume 2022'!$B$2)</f>
        <v>5</v>
      </c>
      <c r="K25" s="83">
        <f>SUMIFS('MAY-22'!$J$2:$J$40,'MAY-22'!$E$2:$E$40,$A25,'MAY-22'!$C$2:$C$40,$A$16,'MAY-22'!$K$2:$K$40,'Resume 2022'!$B$2)</f>
        <v>110330000</v>
      </c>
      <c r="L25" s="51">
        <f>SUMIFS('JUN-22'!$O$2:$O$40,'JUN-22'!$E$2:$E$40,$A25,'JUN-22'!$C$2:$C$40,$A$16,'JUN-22'!$K$2:$K$40,'Resume 2022'!$B$2)</f>
        <v>3</v>
      </c>
      <c r="M25" s="83">
        <f>SUMIFS('JUN-22'!$J$2:$J$40,'JUN-22'!$E$2:$E$40,$A25,'JUN-22'!$C$2:$C$40,$A$16,'JUN-22'!$K$2:$K$40,'Resume 2022'!$B$2)</f>
        <v>65800000</v>
      </c>
      <c r="N25" s="51">
        <f>SUMIFS('JUL-22'!$O$2:$O$44,'JUL-22'!$E$2:$E$44,$A25,'JUL-22'!$C$2:$C$44,$A$16,'JUL-22'!$K$2:$K$44,'Resume 2022'!$B$2)</f>
        <v>2</v>
      </c>
      <c r="O25" s="83">
        <f>SUMIFS('JUL-22'!$J$2:$J$44,'JUL-22'!$E$2:$E$44,$A25,'JUL-22'!$C$2:$C$44,$A$16,'JUL-22'!$K$2:$K$44,'Resume 2022'!$B$2)</f>
        <v>60900000</v>
      </c>
      <c r="P25" s="51">
        <f>SUMIFS('AGO-22'!$O$2:$O$19,'AGO-22'!$E$2:$E$19,$A25,'AGO-22'!$C$2:$C$19,$A$16,'AGO-22'!$K$2:$K$19,'Resume 2022'!$B$2)</f>
        <v>6</v>
      </c>
      <c r="Q25" s="83">
        <f>SUMIFS('AGO-22'!$J$2:$J$19,'AGO-22'!$E$2:$E$19,$A25,'AGO-22'!$C$2:$C$19,$A$16,'AGO-22'!$K$2:$K$19,'Resume 2022'!$B$2)</f>
        <v>57300000</v>
      </c>
      <c r="R25" s="51">
        <f>SUMIFS('SEP-22'!$O$2:$O$44,'SEP-22'!$E$2:$E$44,$A25,'SEP-22'!$C$2:$C$44,$A$16,'SEP-22'!$K$2:$K$44,'Resume 2022'!$B$2)</f>
        <v>9</v>
      </c>
      <c r="S25" s="83">
        <f>SUMIFS('SEP-22'!$J$2:$J$44,'SEP-22'!$E$2:$E$44,$A25,'SEP-22'!$C$2:$C$44,$A$16,'SEP-22'!$K$2:$K$44,'Resume 2022'!$B$2)</f>
        <v>153300000</v>
      </c>
      <c r="T25" s="51">
        <f>SUMIFS('OCT-22'!$O$2:$O$29,'OCT-22'!$E$2:$E$29,$A25,'OCT-22'!$C$2:$C$29,$A$16,'OCT-22'!$K$2:$K$29,'Resume 2022'!$B$2)</f>
        <v>2</v>
      </c>
      <c r="U25" s="83">
        <f>SUMIFS('OCT-22'!$J$2:$J$29,'OCT-22'!$E$2:$E$29,$A25,'OCT-22'!$C$2:$C$29,$A$16,'OCT-22'!$K$2:$K$29,'Resume 2022'!$B$2)</f>
        <v>39700000</v>
      </c>
      <c r="V25" s="51">
        <f>SUMIFS('NOV-22'!$O$2:$O$24,'NOV-22'!$E$2:$E$24,$A25,'NOV-22'!$C$2:$C$24,$A$16,'NOV-22'!$K$2:$K$24,'Resume 2022'!$B$2)</f>
        <v>4</v>
      </c>
      <c r="W25" s="83">
        <f>SUMIFS('NOV-22'!$J$2:$J$24,'NOV-22'!$E$2:$E$24,$A25,'NOV-22'!$C$2:$C$24,$A$16,'NOV-22'!$K$2:$K$24,'Resume 2022'!$B$2)</f>
        <v>101500000</v>
      </c>
      <c r="X25" s="51">
        <f>SUMIFS('DIC-22'!$O$2:$O$61,'DIC-22'!$E$2:$E$61,$A25,'DIC-22'!$C$2:$C$61,$A$16,'DIC-22'!$K$2:$K$61,'Resume 2022'!$B$2)</f>
        <v>0</v>
      </c>
      <c r="Y25" s="83">
        <f>SUMIFS('DIC-22'!$J$2:$J$61,'DIC-22'!$E$2:$E$61,$A25,'DIC-22'!$C$2:$C$61,$A$16,'DIC-22'!$K$2:$K$61,'Resume 2022'!$B$2)</f>
        <v>0</v>
      </c>
      <c r="Z25" s="8">
        <f t="shared" si="2"/>
        <v>57</v>
      </c>
    </row>
    <row r="26" spans="1:26" ht="15" customHeight="1" x14ac:dyDescent="0.2">
      <c r="A26" s="1"/>
    </row>
    <row r="27" spans="1:26" ht="15" customHeight="1" x14ac:dyDescent="0.2">
      <c r="A27" s="3" t="s">
        <v>157</v>
      </c>
      <c r="B27" s="8">
        <f>SUM(B19:B26)</f>
        <v>9</v>
      </c>
      <c r="C27" s="73">
        <f>SUM(C19:C26)</f>
        <v>171400000</v>
      </c>
      <c r="D27" s="8">
        <f t="shared" ref="D27:Y27" si="3">SUM(D19:D26)</f>
        <v>10</v>
      </c>
      <c r="E27" s="73">
        <f t="shared" si="3"/>
        <v>179600000</v>
      </c>
      <c r="F27" s="8">
        <f t="shared" si="3"/>
        <v>13.5</v>
      </c>
      <c r="G27" s="73">
        <f t="shared" si="3"/>
        <v>531643650</v>
      </c>
      <c r="H27" s="8">
        <f t="shared" si="3"/>
        <v>8</v>
      </c>
      <c r="I27" s="73">
        <f t="shared" si="3"/>
        <v>148500000</v>
      </c>
      <c r="J27" s="8">
        <f t="shared" si="3"/>
        <v>12</v>
      </c>
      <c r="K27" s="73">
        <f t="shared" si="3"/>
        <v>291580000</v>
      </c>
      <c r="L27" s="8">
        <f t="shared" si="3"/>
        <v>8</v>
      </c>
      <c r="M27" s="73">
        <f t="shared" si="3"/>
        <v>142800000</v>
      </c>
      <c r="N27" s="8">
        <f t="shared" si="3"/>
        <v>9</v>
      </c>
      <c r="O27" s="73">
        <f t="shared" si="3"/>
        <v>182900000</v>
      </c>
      <c r="P27" s="8">
        <f t="shared" si="3"/>
        <v>14</v>
      </c>
      <c r="Q27" s="73">
        <f t="shared" si="3"/>
        <v>334240000</v>
      </c>
      <c r="R27" s="8">
        <f t="shared" si="3"/>
        <v>14</v>
      </c>
      <c r="S27" s="73">
        <f t="shared" si="3"/>
        <v>389917650</v>
      </c>
      <c r="T27" s="8">
        <f t="shared" si="3"/>
        <v>7</v>
      </c>
      <c r="U27" s="73">
        <f t="shared" si="3"/>
        <v>148000000</v>
      </c>
      <c r="V27" s="8">
        <f t="shared" si="3"/>
        <v>11</v>
      </c>
      <c r="W27" s="73">
        <f t="shared" si="3"/>
        <v>359400000</v>
      </c>
      <c r="X27" s="8">
        <f t="shared" si="3"/>
        <v>0</v>
      </c>
      <c r="Y27" s="73">
        <f t="shared" si="3"/>
        <v>0</v>
      </c>
    </row>
    <row r="28" spans="1:26" ht="15" customHeight="1" x14ac:dyDescent="0.2">
      <c r="A28" s="3"/>
    </row>
    <row r="29" spans="1:26" ht="15" customHeight="1" x14ac:dyDescent="0.2">
      <c r="A29" s="3"/>
    </row>
    <row r="30" spans="1:26" ht="15" customHeight="1" x14ac:dyDescent="0.2">
      <c r="A30" s="82" t="s">
        <v>1022</v>
      </c>
      <c r="B30" s="75"/>
    </row>
    <row r="31" spans="1:26" ht="15" customHeight="1" x14ac:dyDescent="0.2">
      <c r="A31" s="445" t="s">
        <v>83</v>
      </c>
      <c r="B31" s="441" t="s">
        <v>1008</v>
      </c>
      <c r="C31" s="441"/>
      <c r="D31" s="441" t="s">
        <v>1009</v>
      </c>
      <c r="E31" s="441"/>
      <c r="F31" s="441" t="s">
        <v>1010</v>
      </c>
      <c r="G31" s="441"/>
      <c r="H31" s="441" t="s">
        <v>1011</v>
      </c>
      <c r="I31" s="441"/>
      <c r="J31" s="441" t="s">
        <v>1012</v>
      </c>
      <c r="K31" s="441"/>
      <c r="L31" s="441" t="s">
        <v>1013</v>
      </c>
      <c r="M31" s="441"/>
      <c r="N31" s="441" t="s">
        <v>1014</v>
      </c>
      <c r="O31" s="441"/>
      <c r="P31" s="441" t="s">
        <v>1015</v>
      </c>
      <c r="Q31" s="441"/>
      <c r="R31" s="441" t="s">
        <v>1016</v>
      </c>
      <c r="S31" s="441"/>
      <c r="T31" s="441" t="s">
        <v>1017</v>
      </c>
      <c r="U31" s="441"/>
      <c r="V31" s="441" t="s">
        <v>1018</v>
      </c>
      <c r="W31" s="441"/>
      <c r="X31" s="441" t="s">
        <v>1019</v>
      </c>
      <c r="Y31" s="441"/>
    </row>
    <row r="32" spans="1:26" ht="15" customHeight="1" x14ac:dyDescent="0.2">
      <c r="A32" s="446"/>
      <c r="B32" s="81" t="s">
        <v>1020</v>
      </c>
      <c r="C32" s="85" t="s">
        <v>1021</v>
      </c>
      <c r="D32" s="81" t="s">
        <v>1020</v>
      </c>
      <c r="E32" s="85" t="s">
        <v>1021</v>
      </c>
      <c r="F32" s="81" t="s">
        <v>1020</v>
      </c>
      <c r="G32" s="85" t="s">
        <v>1021</v>
      </c>
      <c r="H32" s="81" t="s">
        <v>1020</v>
      </c>
      <c r="I32" s="85" t="s">
        <v>1021</v>
      </c>
      <c r="J32" s="81" t="s">
        <v>1020</v>
      </c>
      <c r="K32" s="85" t="s">
        <v>1021</v>
      </c>
      <c r="L32" s="81" t="s">
        <v>1020</v>
      </c>
      <c r="M32" s="85" t="s">
        <v>1021</v>
      </c>
      <c r="N32" s="81" t="s">
        <v>1020</v>
      </c>
      <c r="O32" s="85" t="s">
        <v>1021</v>
      </c>
      <c r="P32" s="81" t="s">
        <v>1020</v>
      </c>
      <c r="Q32" s="85" t="s">
        <v>1021</v>
      </c>
      <c r="R32" s="81" t="s">
        <v>1020</v>
      </c>
      <c r="S32" s="85" t="s">
        <v>1021</v>
      </c>
      <c r="T32" s="81" t="s">
        <v>1020</v>
      </c>
      <c r="U32" s="85" t="s">
        <v>1021</v>
      </c>
      <c r="V32" s="81" t="s">
        <v>1020</v>
      </c>
      <c r="W32" s="85" t="s">
        <v>1021</v>
      </c>
      <c r="X32" s="81" t="s">
        <v>1020</v>
      </c>
      <c r="Y32" s="85" t="s">
        <v>1021</v>
      </c>
    </row>
    <row r="33" spans="1:26" ht="15" customHeight="1" x14ac:dyDescent="0.2">
      <c r="A33" s="79" t="s">
        <v>24</v>
      </c>
      <c r="B33" s="51">
        <f t="shared" ref="B33:Y33" si="4">+B5+B19</f>
        <v>4</v>
      </c>
      <c r="C33" s="83">
        <f t="shared" si="4"/>
        <v>80900000</v>
      </c>
      <c r="D33" s="51">
        <f t="shared" si="4"/>
        <v>2</v>
      </c>
      <c r="E33" s="83">
        <f t="shared" si="4"/>
        <v>38000000</v>
      </c>
      <c r="F33" s="51">
        <f t="shared" si="4"/>
        <v>3</v>
      </c>
      <c r="G33" s="83">
        <f t="shared" si="4"/>
        <v>73500000</v>
      </c>
      <c r="H33" s="51">
        <f t="shared" si="4"/>
        <v>1</v>
      </c>
      <c r="I33" s="83">
        <f t="shared" si="4"/>
        <v>19000000</v>
      </c>
      <c r="J33" s="51">
        <f t="shared" si="4"/>
        <v>4</v>
      </c>
      <c r="K33" s="83">
        <f t="shared" si="4"/>
        <v>92750000</v>
      </c>
      <c r="L33" s="51">
        <f t="shared" si="4"/>
        <v>4</v>
      </c>
      <c r="M33" s="83">
        <f t="shared" si="4"/>
        <v>88300000</v>
      </c>
      <c r="N33" s="51">
        <f t="shared" si="4"/>
        <v>6</v>
      </c>
      <c r="O33" s="83">
        <f t="shared" si="4"/>
        <v>160700000</v>
      </c>
      <c r="P33" s="51">
        <f t="shared" si="4"/>
        <v>2</v>
      </c>
      <c r="Q33" s="83">
        <f t="shared" si="4"/>
        <v>48580000</v>
      </c>
      <c r="R33" s="51">
        <f t="shared" si="4"/>
        <v>2</v>
      </c>
      <c r="S33" s="83">
        <f t="shared" si="4"/>
        <v>38800000</v>
      </c>
      <c r="T33" s="51">
        <f t="shared" si="4"/>
        <v>2</v>
      </c>
      <c r="U33" s="83">
        <f t="shared" si="4"/>
        <v>53700000</v>
      </c>
      <c r="V33" s="51">
        <f t="shared" si="4"/>
        <v>6</v>
      </c>
      <c r="W33" s="83">
        <f t="shared" si="4"/>
        <v>157700000</v>
      </c>
      <c r="X33" s="51">
        <f t="shared" si="4"/>
        <v>0</v>
      </c>
      <c r="Y33" s="83">
        <f t="shared" si="4"/>
        <v>0</v>
      </c>
      <c r="Z33" s="8">
        <f>+B33+F33+H33+D33+J33+L33+N33+P33+R33+T33+V33</f>
        <v>36</v>
      </c>
    </row>
    <row r="34" spans="1:26" ht="15" customHeight="1" x14ac:dyDescent="0.2">
      <c r="A34" s="79" t="s">
        <v>66</v>
      </c>
      <c r="B34" s="51">
        <f t="shared" ref="B34:Y34" si="5">+B6+B20</f>
        <v>1</v>
      </c>
      <c r="C34" s="83">
        <f t="shared" si="5"/>
        <v>18500000</v>
      </c>
      <c r="D34" s="51">
        <f t="shared" si="5"/>
        <v>1</v>
      </c>
      <c r="E34" s="83">
        <f t="shared" si="5"/>
        <v>24500000</v>
      </c>
      <c r="F34" s="51">
        <f t="shared" si="5"/>
        <v>1.5</v>
      </c>
      <c r="G34" s="83">
        <f t="shared" si="5"/>
        <v>47250000</v>
      </c>
      <c r="H34" s="51">
        <f t="shared" si="5"/>
        <v>1</v>
      </c>
      <c r="I34" s="83">
        <f t="shared" si="5"/>
        <v>37990000</v>
      </c>
      <c r="J34" s="51">
        <f t="shared" si="5"/>
        <v>1</v>
      </c>
      <c r="K34" s="83">
        <f t="shared" si="5"/>
        <v>42950000</v>
      </c>
      <c r="L34" s="51">
        <f t="shared" si="5"/>
        <v>2</v>
      </c>
      <c r="M34" s="83">
        <f t="shared" si="5"/>
        <v>42714600</v>
      </c>
      <c r="N34" s="51">
        <f t="shared" si="5"/>
        <v>0</v>
      </c>
      <c r="O34" s="83">
        <f t="shared" si="5"/>
        <v>0</v>
      </c>
      <c r="P34" s="51">
        <f t="shared" si="5"/>
        <v>3</v>
      </c>
      <c r="Q34" s="83">
        <f t="shared" si="5"/>
        <v>60400000</v>
      </c>
      <c r="R34" s="51">
        <f t="shared" si="5"/>
        <v>1</v>
      </c>
      <c r="S34" s="83">
        <f t="shared" si="5"/>
        <v>12874000</v>
      </c>
      <c r="T34" s="51">
        <f t="shared" si="5"/>
        <v>1</v>
      </c>
      <c r="U34" s="83">
        <f t="shared" si="5"/>
        <v>19900000</v>
      </c>
      <c r="V34" s="51">
        <f t="shared" si="5"/>
        <v>2</v>
      </c>
      <c r="W34" s="83">
        <f t="shared" si="5"/>
        <v>53100000</v>
      </c>
      <c r="X34" s="51">
        <f t="shared" si="5"/>
        <v>0</v>
      </c>
      <c r="Y34" s="83">
        <f t="shared" si="5"/>
        <v>0</v>
      </c>
      <c r="Z34" s="8">
        <f t="shared" ref="Z34:Z39" si="6">+B34+F34+H34+D34+J34+L34+N34+P34+R34+T34+V34</f>
        <v>14.5</v>
      </c>
    </row>
    <row r="35" spans="1:26" ht="15" customHeight="1" x14ac:dyDescent="0.2">
      <c r="A35" s="84" t="s">
        <v>34</v>
      </c>
      <c r="B35" s="184">
        <f t="shared" ref="B35:Y35" si="7">+B7+B21</f>
        <v>0</v>
      </c>
      <c r="C35" s="185">
        <f t="shared" si="7"/>
        <v>0</v>
      </c>
      <c r="D35" s="51">
        <f t="shared" si="7"/>
        <v>1</v>
      </c>
      <c r="E35" s="83">
        <f t="shared" si="7"/>
        <v>6900000</v>
      </c>
      <c r="F35" s="184">
        <f t="shared" si="7"/>
        <v>0</v>
      </c>
      <c r="G35" s="185">
        <f t="shared" si="7"/>
        <v>0</v>
      </c>
      <c r="H35" s="51">
        <f t="shared" si="7"/>
        <v>1</v>
      </c>
      <c r="I35" s="83">
        <f t="shared" si="7"/>
        <v>6500000</v>
      </c>
      <c r="J35" s="51">
        <f t="shared" si="7"/>
        <v>3</v>
      </c>
      <c r="K35" s="83">
        <f t="shared" si="7"/>
        <v>15160000</v>
      </c>
      <c r="L35" s="184">
        <f t="shared" si="7"/>
        <v>0</v>
      </c>
      <c r="M35" s="185">
        <f t="shared" si="7"/>
        <v>0</v>
      </c>
      <c r="N35" s="51">
        <f t="shared" si="7"/>
        <v>1.5</v>
      </c>
      <c r="O35" s="83">
        <f t="shared" si="7"/>
        <v>7200000</v>
      </c>
      <c r="P35" s="51">
        <f t="shared" si="7"/>
        <v>0</v>
      </c>
      <c r="Q35" s="83">
        <f t="shared" si="7"/>
        <v>0</v>
      </c>
      <c r="R35" s="51">
        <f t="shared" si="7"/>
        <v>2</v>
      </c>
      <c r="S35" s="83">
        <f t="shared" si="7"/>
        <v>14000000</v>
      </c>
      <c r="T35" s="51">
        <f t="shared" si="7"/>
        <v>1</v>
      </c>
      <c r="U35" s="83">
        <f t="shared" si="7"/>
        <v>6700000</v>
      </c>
      <c r="V35" s="51">
        <f t="shared" si="7"/>
        <v>0</v>
      </c>
      <c r="W35" s="83">
        <f t="shared" si="7"/>
        <v>0</v>
      </c>
      <c r="X35" s="51">
        <f t="shared" si="7"/>
        <v>0</v>
      </c>
      <c r="Y35" s="83">
        <f t="shared" si="7"/>
        <v>0</v>
      </c>
      <c r="Z35" s="8">
        <f t="shared" si="6"/>
        <v>9.5</v>
      </c>
    </row>
    <row r="36" spans="1:26" ht="15" customHeight="1" x14ac:dyDescent="0.2">
      <c r="A36" s="79" t="s">
        <v>31</v>
      </c>
      <c r="B36" s="51">
        <f t="shared" ref="B36:Y36" si="8">+B8+B22</f>
        <v>1</v>
      </c>
      <c r="C36" s="83">
        <f t="shared" si="8"/>
        <v>20000000</v>
      </c>
      <c r="D36" s="51">
        <f t="shared" si="8"/>
        <v>2</v>
      </c>
      <c r="E36" s="83">
        <f t="shared" si="8"/>
        <v>43146000</v>
      </c>
      <c r="F36" s="51">
        <f t="shared" si="8"/>
        <v>1.5</v>
      </c>
      <c r="G36" s="83">
        <f t="shared" si="8"/>
        <v>32000000</v>
      </c>
      <c r="H36" s="184">
        <f t="shared" si="8"/>
        <v>0</v>
      </c>
      <c r="I36" s="185">
        <f t="shared" si="8"/>
        <v>0</v>
      </c>
      <c r="J36" s="51">
        <f t="shared" si="8"/>
        <v>3</v>
      </c>
      <c r="K36" s="83">
        <f t="shared" si="8"/>
        <v>108400000</v>
      </c>
      <c r="L36" s="51">
        <f t="shared" si="8"/>
        <v>2</v>
      </c>
      <c r="M36" s="83">
        <f t="shared" si="8"/>
        <v>34500000</v>
      </c>
      <c r="N36" s="51">
        <f t="shared" si="8"/>
        <v>4</v>
      </c>
      <c r="O36" s="83">
        <f t="shared" si="8"/>
        <v>73800000</v>
      </c>
      <c r="P36" s="51">
        <f t="shared" si="8"/>
        <v>4</v>
      </c>
      <c r="Q36" s="83">
        <f t="shared" si="8"/>
        <v>191860000</v>
      </c>
      <c r="R36" s="51">
        <f t="shared" si="8"/>
        <v>1</v>
      </c>
      <c r="S36" s="83">
        <f t="shared" si="8"/>
        <v>26000000</v>
      </c>
      <c r="T36" s="51">
        <f t="shared" si="8"/>
        <v>1</v>
      </c>
      <c r="U36" s="83">
        <f t="shared" si="8"/>
        <v>28000000</v>
      </c>
      <c r="V36" s="51">
        <f t="shared" si="8"/>
        <v>4</v>
      </c>
      <c r="W36" s="83">
        <f t="shared" si="8"/>
        <v>131680000</v>
      </c>
      <c r="X36" s="51">
        <f t="shared" si="8"/>
        <v>0</v>
      </c>
      <c r="Y36" s="83">
        <f t="shared" si="8"/>
        <v>0</v>
      </c>
      <c r="Z36" s="8">
        <f t="shared" si="6"/>
        <v>23.5</v>
      </c>
    </row>
    <row r="37" spans="1:26" ht="15" customHeight="1" x14ac:dyDescent="0.2">
      <c r="A37" s="79" t="s">
        <v>85</v>
      </c>
      <c r="B37" s="184">
        <f t="shared" ref="B37:Y37" si="9">+B9+B23</f>
        <v>0</v>
      </c>
      <c r="C37" s="185">
        <f t="shared" si="9"/>
        <v>0</v>
      </c>
      <c r="D37" s="184">
        <f t="shared" si="9"/>
        <v>0</v>
      </c>
      <c r="E37" s="185">
        <f t="shared" si="9"/>
        <v>0</v>
      </c>
      <c r="F37" s="51">
        <f t="shared" si="9"/>
        <v>1</v>
      </c>
      <c r="G37" s="83">
        <f t="shared" si="9"/>
        <v>130000000</v>
      </c>
      <c r="H37" s="184">
        <f t="shared" si="9"/>
        <v>0</v>
      </c>
      <c r="I37" s="185">
        <f t="shared" si="9"/>
        <v>0</v>
      </c>
      <c r="J37" s="184">
        <f t="shared" si="9"/>
        <v>0</v>
      </c>
      <c r="K37" s="185">
        <f t="shared" si="9"/>
        <v>0</v>
      </c>
      <c r="L37" s="184">
        <f t="shared" si="9"/>
        <v>0</v>
      </c>
      <c r="M37" s="185">
        <f t="shared" si="9"/>
        <v>0</v>
      </c>
      <c r="N37" s="51">
        <f t="shared" si="9"/>
        <v>0</v>
      </c>
      <c r="O37" s="83">
        <f t="shared" si="9"/>
        <v>0</v>
      </c>
      <c r="P37" s="51">
        <f t="shared" si="9"/>
        <v>0</v>
      </c>
      <c r="Q37" s="83">
        <f t="shared" si="9"/>
        <v>0</v>
      </c>
      <c r="R37" s="51">
        <f t="shared" si="9"/>
        <v>0</v>
      </c>
      <c r="S37" s="83">
        <f t="shared" si="9"/>
        <v>0</v>
      </c>
      <c r="T37" s="51">
        <f t="shared" si="9"/>
        <v>0</v>
      </c>
      <c r="U37" s="83">
        <f t="shared" si="9"/>
        <v>0</v>
      </c>
      <c r="V37" s="51">
        <f t="shared" si="9"/>
        <v>0</v>
      </c>
      <c r="W37" s="83">
        <f t="shared" si="9"/>
        <v>0</v>
      </c>
      <c r="X37" s="51">
        <f t="shared" si="9"/>
        <v>0</v>
      </c>
      <c r="Y37" s="83">
        <f t="shared" si="9"/>
        <v>0</v>
      </c>
      <c r="Z37" s="8">
        <f t="shared" si="6"/>
        <v>1</v>
      </c>
    </row>
    <row r="38" spans="1:26" ht="15" customHeight="1" x14ac:dyDescent="0.2">
      <c r="A38" s="79" t="s">
        <v>46</v>
      </c>
      <c r="B38" s="51">
        <f t="shared" ref="B38:Y38" si="10">+B10+B24</f>
        <v>1</v>
      </c>
      <c r="C38" s="83">
        <f t="shared" si="10"/>
        <v>101129090</v>
      </c>
      <c r="D38" s="51">
        <f t="shared" si="10"/>
        <v>1</v>
      </c>
      <c r="E38" s="83">
        <f t="shared" si="10"/>
        <v>40300000</v>
      </c>
      <c r="F38" s="51">
        <f t="shared" si="10"/>
        <v>1</v>
      </c>
      <c r="G38" s="83">
        <f t="shared" si="10"/>
        <v>188843650</v>
      </c>
      <c r="H38" s="51">
        <f t="shared" si="10"/>
        <v>1</v>
      </c>
      <c r="I38" s="83">
        <f t="shared" si="10"/>
        <v>42500000</v>
      </c>
      <c r="J38" s="184">
        <f t="shared" si="10"/>
        <v>0</v>
      </c>
      <c r="K38" s="185">
        <f t="shared" si="10"/>
        <v>0</v>
      </c>
      <c r="L38" s="51">
        <f t="shared" si="10"/>
        <v>3</v>
      </c>
      <c r="M38" s="83">
        <f t="shared" si="10"/>
        <v>98400000</v>
      </c>
      <c r="N38" s="51">
        <f t="shared" si="10"/>
        <v>0</v>
      </c>
      <c r="O38" s="83">
        <f t="shared" si="10"/>
        <v>0</v>
      </c>
      <c r="P38" s="51">
        <f t="shared" si="10"/>
        <v>1</v>
      </c>
      <c r="Q38" s="83">
        <f t="shared" si="10"/>
        <v>50000000</v>
      </c>
      <c r="R38" s="51">
        <f t="shared" si="10"/>
        <v>2</v>
      </c>
      <c r="S38" s="83">
        <f t="shared" si="10"/>
        <v>238843650</v>
      </c>
      <c r="T38" s="51">
        <f t="shared" si="10"/>
        <v>0</v>
      </c>
      <c r="U38" s="83">
        <f t="shared" si="10"/>
        <v>0</v>
      </c>
      <c r="V38" s="51">
        <f t="shared" si="10"/>
        <v>1</v>
      </c>
      <c r="W38" s="83">
        <f t="shared" si="10"/>
        <v>78000000</v>
      </c>
      <c r="X38" s="51">
        <f t="shared" si="10"/>
        <v>0</v>
      </c>
      <c r="Y38" s="83">
        <f t="shared" si="10"/>
        <v>0</v>
      </c>
      <c r="Z38" s="8">
        <f t="shared" si="6"/>
        <v>11</v>
      </c>
    </row>
    <row r="39" spans="1:26" ht="15" customHeight="1" x14ac:dyDescent="0.2">
      <c r="A39" s="79" t="s">
        <v>38</v>
      </c>
      <c r="B39" s="51">
        <f t="shared" ref="B39:Y39" si="11">+B11+B25</f>
        <v>13</v>
      </c>
      <c r="C39" s="83">
        <f t="shared" si="11"/>
        <v>173300000</v>
      </c>
      <c r="D39" s="51">
        <f t="shared" si="11"/>
        <v>12</v>
      </c>
      <c r="E39" s="83">
        <f t="shared" si="11"/>
        <v>160200000</v>
      </c>
      <c r="F39" s="51">
        <f t="shared" si="11"/>
        <v>15</v>
      </c>
      <c r="G39" s="83">
        <f t="shared" si="11"/>
        <v>238700000</v>
      </c>
      <c r="H39" s="51">
        <f t="shared" si="11"/>
        <v>16</v>
      </c>
      <c r="I39" s="83">
        <f t="shared" si="11"/>
        <v>207820000</v>
      </c>
      <c r="J39" s="51">
        <f t="shared" si="11"/>
        <v>9</v>
      </c>
      <c r="K39" s="83">
        <f t="shared" si="11"/>
        <v>165860000</v>
      </c>
      <c r="L39" s="51">
        <f t="shared" si="11"/>
        <v>9</v>
      </c>
      <c r="M39" s="83">
        <f t="shared" si="11"/>
        <v>131500000</v>
      </c>
      <c r="N39" s="51">
        <f t="shared" si="11"/>
        <v>5.5</v>
      </c>
      <c r="O39" s="83">
        <f t="shared" si="11"/>
        <v>109600000</v>
      </c>
      <c r="P39" s="51">
        <f t="shared" si="11"/>
        <v>8</v>
      </c>
      <c r="Q39" s="83">
        <f t="shared" si="11"/>
        <v>77800000</v>
      </c>
      <c r="R39" s="51">
        <f t="shared" si="11"/>
        <v>11</v>
      </c>
      <c r="S39" s="83">
        <f t="shared" si="11"/>
        <v>178500000</v>
      </c>
      <c r="T39" s="51">
        <f t="shared" si="11"/>
        <v>7</v>
      </c>
      <c r="U39" s="83">
        <f t="shared" si="11"/>
        <v>122900000</v>
      </c>
      <c r="V39" s="51">
        <f t="shared" si="11"/>
        <v>8</v>
      </c>
      <c r="W39" s="83">
        <f t="shared" si="11"/>
        <v>179500000</v>
      </c>
      <c r="X39" s="51">
        <f t="shared" si="11"/>
        <v>0</v>
      </c>
      <c r="Y39" s="83">
        <f t="shared" si="11"/>
        <v>0</v>
      </c>
      <c r="Z39" s="8">
        <f t="shared" si="6"/>
        <v>113.5</v>
      </c>
    </row>
    <row r="40" spans="1:26" ht="15" customHeight="1" x14ac:dyDescent="0.2">
      <c r="A40" s="1"/>
    </row>
    <row r="41" spans="1:26" ht="15" customHeight="1" x14ac:dyDescent="0.2">
      <c r="A41" s="3" t="s">
        <v>157</v>
      </c>
      <c r="B41" s="8">
        <f>SUM(B33:B40)</f>
        <v>20</v>
      </c>
      <c r="C41" s="73">
        <f>SUM(C33:C40)</f>
        <v>393829090</v>
      </c>
      <c r="D41" s="8">
        <f t="shared" ref="D41:Y41" si="12">SUM(D33:D40)</f>
        <v>19</v>
      </c>
      <c r="E41" s="73">
        <f t="shared" si="12"/>
        <v>313046000</v>
      </c>
      <c r="F41" s="8">
        <f t="shared" si="12"/>
        <v>23</v>
      </c>
      <c r="G41" s="73">
        <f t="shared" si="12"/>
        <v>710293650</v>
      </c>
      <c r="H41" s="8">
        <f t="shared" si="12"/>
        <v>20</v>
      </c>
      <c r="I41" s="73">
        <f t="shared" si="12"/>
        <v>313810000</v>
      </c>
      <c r="J41" s="8">
        <f t="shared" si="12"/>
        <v>20</v>
      </c>
      <c r="K41" s="73">
        <f t="shared" si="12"/>
        <v>425120000</v>
      </c>
      <c r="L41" s="8">
        <f t="shared" si="12"/>
        <v>20</v>
      </c>
      <c r="M41" s="73">
        <f t="shared" si="12"/>
        <v>395414600</v>
      </c>
      <c r="N41" s="8">
        <f t="shared" si="12"/>
        <v>17</v>
      </c>
      <c r="O41" s="73">
        <f t="shared" si="12"/>
        <v>351300000</v>
      </c>
      <c r="P41" s="8">
        <f t="shared" si="12"/>
        <v>18</v>
      </c>
      <c r="Q41" s="73">
        <f t="shared" si="12"/>
        <v>428640000</v>
      </c>
      <c r="R41" s="8">
        <f t="shared" si="12"/>
        <v>19</v>
      </c>
      <c r="S41" s="73">
        <f t="shared" si="12"/>
        <v>509017650</v>
      </c>
      <c r="T41" s="8">
        <f t="shared" si="12"/>
        <v>12</v>
      </c>
      <c r="U41" s="73">
        <f t="shared" si="12"/>
        <v>231200000</v>
      </c>
      <c r="V41" s="8">
        <f t="shared" si="12"/>
        <v>21</v>
      </c>
      <c r="W41" s="73">
        <f t="shared" si="12"/>
        <v>599980000</v>
      </c>
      <c r="X41" s="8">
        <f t="shared" si="12"/>
        <v>0</v>
      </c>
      <c r="Y41" s="73">
        <f t="shared" si="12"/>
        <v>0</v>
      </c>
      <c r="Z41" s="8">
        <f>SUM(Z33:Z39)</f>
        <v>209</v>
      </c>
    </row>
    <row r="42" spans="1:26" ht="15" customHeight="1" x14ac:dyDescent="0.2">
      <c r="A42" s="3"/>
    </row>
    <row r="43" spans="1:26" ht="15" customHeight="1" x14ac:dyDescent="0.2">
      <c r="A43" s="3"/>
    </row>
    <row r="44" spans="1:26" ht="15" customHeight="1" x14ac:dyDescent="0.2">
      <c r="A44" s="3"/>
    </row>
    <row r="45" spans="1:26" ht="15" customHeight="1" x14ac:dyDescent="0.2">
      <c r="A45" s="3"/>
    </row>
    <row r="46" spans="1:26" ht="15" customHeight="1" x14ac:dyDescent="0.2">
      <c r="A46" s="3"/>
    </row>
    <row r="47" spans="1:26" ht="15" customHeight="1" x14ac:dyDescent="0.2">
      <c r="A47" s="3"/>
    </row>
    <row r="48" spans="1:26" ht="15" customHeight="1" x14ac:dyDescent="0.2">
      <c r="A48" s="3"/>
    </row>
    <row r="49" spans="1:1" ht="15" customHeight="1" x14ac:dyDescent="0.2">
      <c r="A49" s="3"/>
    </row>
    <row r="50" spans="1:1" ht="15" customHeight="1" x14ac:dyDescent="0.2">
      <c r="A50" s="3"/>
    </row>
    <row r="51" spans="1:1" ht="15" customHeight="1" x14ac:dyDescent="0.2">
      <c r="A51" s="3"/>
    </row>
    <row r="52" spans="1:1" ht="15" customHeight="1" x14ac:dyDescent="0.2">
      <c r="A52" s="3"/>
    </row>
    <row r="53" spans="1:1" ht="15" customHeight="1" x14ac:dyDescent="0.2">
      <c r="A53" s="3"/>
    </row>
    <row r="54" spans="1:1" ht="15" customHeight="1" x14ac:dyDescent="0.2">
      <c r="A54" s="3"/>
    </row>
    <row r="55" spans="1:1" ht="15" customHeight="1" x14ac:dyDescent="0.2">
      <c r="A55" s="3"/>
    </row>
    <row r="56" spans="1:1" ht="15" customHeight="1" x14ac:dyDescent="0.2">
      <c r="A56" s="3"/>
    </row>
    <row r="57" spans="1:1" ht="15" customHeight="1" x14ac:dyDescent="0.2">
      <c r="A57" s="3"/>
    </row>
    <row r="58" spans="1:1" ht="15" customHeight="1" x14ac:dyDescent="0.2">
      <c r="A58" s="3"/>
    </row>
    <row r="59" spans="1:1" ht="15" customHeight="1" x14ac:dyDescent="0.2">
      <c r="A59" s="3"/>
    </row>
    <row r="60" spans="1:1" ht="15" customHeight="1" x14ac:dyDescent="0.2">
      <c r="A60" s="3"/>
    </row>
    <row r="61" spans="1:1" ht="15" customHeight="1" x14ac:dyDescent="0.2">
      <c r="A61" s="3"/>
    </row>
    <row r="62" spans="1:1" ht="15" customHeight="1" x14ac:dyDescent="0.2">
      <c r="A62" s="3"/>
    </row>
    <row r="63" spans="1:1" ht="15" customHeight="1" x14ac:dyDescent="0.2">
      <c r="A63" s="3"/>
    </row>
    <row r="64" spans="1:1" ht="15" customHeight="1" x14ac:dyDescent="0.2">
      <c r="A64" s="3"/>
    </row>
    <row r="65" spans="1:25" ht="15" customHeight="1" x14ac:dyDescent="0.2">
      <c r="A65" s="3"/>
    </row>
    <row r="66" spans="1:25" ht="15" customHeight="1" x14ac:dyDescent="0.2">
      <c r="A66" s="3"/>
    </row>
    <row r="67" spans="1:25" ht="15" customHeight="1" x14ac:dyDescent="0.2">
      <c r="A67" s="3"/>
    </row>
    <row r="68" spans="1:25" ht="15" customHeight="1" x14ac:dyDescent="0.2">
      <c r="A68" s="3"/>
    </row>
    <row r="69" spans="1:25" ht="15" customHeight="1" x14ac:dyDescent="0.2">
      <c r="A69" s="3"/>
    </row>
    <row r="70" spans="1:25" ht="15" customHeight="1" x14ac:dyDescent="0.2">
      <c r="A70" s="3"/>
    </row>
    <row r="71" spans="1:25" ht="15" customHeight="1" x14ac:dyDescent="0.2">
      <c r="A71" s="3"/>
    </row>
    <row r="72" spans="1:25" ht="15" customHeight="1" x14ac:dyDescent="0.2"/>
    <row r="73" spans="1:25" ht="15" customHeight="1" x14ac:dyDescent="0.2"/>
    <row r="74" spans="1:25" ht="15" customHeight="1" x14ac:dyDescent="0.2"/>
    <row r="75" spans="1:25" ht="15" customHeight="1" x14ac:dyDescent="0.2">
      <c r="A75" s="82" t="s">
        <v>1023</v>
      </c>
    </row>
    <row r="76" spans="1:25" x14ac:dyDescent="0.2">
      <c r="A76" s="81" t="s">
        <v>86</v>
      </c>
      <c r="B76" s="441" t="s">
        <v>1008</v>
      </c>
      <c r="C76" s="441"/>
      <c r="D76" s="441" t="s">
        <v>1009</v>
      </c>
      <c r="E76" s="441"/>
      <c r="F76" s="441" t="s">
        <v>1010</v>
      </c>
      <c r="G76" s="441"/>
      <c r="H76" s="441" t="s">
        <v>1011</v>
      </c>
      <c r="I76" s="441"/>
      <c r="J76" s="441" t="s">
        <v>1012</v>
      </c>
      <c r="K76" s="441"/>
      <c r="L76" s="441" t="s">
        <v>1013</v>
      </c>
      <c r="M76" s="441"/>
      <c r="N76" s="441" t="s">
        <v>1014</v>
      </c>
      <c r="O76" s="441"/>
      <c r="P76" s="441" t="s">
        <v>1015</v>
      </c>
      <c r="Q76" s="441"/>
      <c r="R76" s="441" t="s">
        <v>1016</v>
      </c>
      <c r="S76" s="441"/>
      <c r="T76" s="441" t="s">
        <v>1017</v>
      </c>
      <c r="U76" s="441"/>
      <c r="V76" s="441" t="s">
        <v>1018</v>
      </c>
      <c r="W76" s="441"/>
      <c r="X76" s="441" t="s">
        <v>1019</v>
      </c>
      <c r="Y76" s="441"/>
    </row>
    <row r="77" spans="1:25" ht="15" customHeight="1" x14ac:dyDescent="0.2">
      <c r="A77" s="80" t="s">
        <v>1024</v>
      </c>
      <c r="B77" s="444">
        <f>+'ENE.-22'!B48</f>
        <v>144</v>
      </c>
      <c r="C77" s="444"/>
      <c r="D77" s="444">
        <f>+'FEB.-22'!B48</f>
        <v>94</v>
      </c>
      <c r="E77" s="444"/>
      <c r="F77" s="444">
        <f>+'MAR-22'!$C$168</f>
        <v>272</v>
      </c>
      <c r="G77" s="444"/>
      <c r="H77" s="444">
        <f>+'ABR-22'!$C$164</f>
        <v>260</v>
      </c>
      <c r="I77" s="444"/>
      <c r="J77" s="444">
        <f>+'MAY-22'!$C$185</f>
        <v>216</v>
      </c>
      <c r="K77" s="444"/>
      <c r="L77" s="444">
        <f>+'JUN-22'!$C$198</f>
        <v>266</v>
      </c>
      <c r="M77" s="444"/>
      <c r="N77" s="444">
        <f>+'JUL-22'!$C$210</f>
        <v>158</v>
      </c>
      <c r="O77" s="444"/>
      <c r="P77" s="444">
        <f>+'AGO-22'!$C$107</f>
        <v>105</v>
      </c>
      <c r="Q77" s="444"/>
      <c r="R77" s="444">
        <f>+'SEP-22'!$C$132</f>
        <v>134</v>
      </c>
      <c r="S77" s="444"/>
      <c r="T77" s="444">
        <f>+'OCT-22'!$C$149</f>
        <v>244</v>
      </c>
      <c r="U77" s="444"/>
      <c r="V77" s="444">
        <f>+'NOV-22'!$C$109</f>
        <v>0</v>
      </c>
      <c r="W77" s="444"/>
      <c r="X77" s="444">
        <f>+'DIC-22'!$C$147</f>
        <v>0</v>
      </c>
      <c r="Y77" s="444"/>
    </row>
    <row r="78" spans="1:25" ht="15" customHeight="1" x14ac:dyDescent="0.2">
      <c r="A78" s="80" t="s">
        <v>88</v>
      </c>
      <c r="B78" s="444">
        <f>+'ENE.-22'!C48</f>
        <v>462</v>
      </c>
      <c r="C78" s="444"/>
      <c r="D78" s="444">
        <f>+'FEB.-22'!C48</f>
        <v>411</v>
      </c>
      <c r="E78" s="444"/>
      <c r="F78" s="444">
        <f>+'MAR-22'!$D$168</f>
        <v>652</v>
      </c>
      <c r="G78" s="444"/>
      <c r="H78" s="444">
        <f>+'ABR-22'!$D$164</f>
        <v>631</v>
      </c>
      <c r="I78" s="444"/>
      <c r="J78" s="444">
        <f>+'MAY-22'!$D$185</f>
        <v>231</v>
      </c>
      <c r="K78" s="444"/>
      <c r="L78" s="444">
        <f>+'JUN-22'!$D$198</f>
        <v>724</v>
      </c>
      <c r="M78" s="444"/>
      <c r="N78" s="444">
        <f>+'JUL-22'!$D$210</f>
        <v>306</v>
      </c>
      <c r="O78" s="444"/>
      <c r="P78" s="444">
        <f>+'AGO-22'!$D$107</f>
        <v>513</v>
      </c>
      <c r="Q78" s="444"/>
      <c r="R78" s="444">
        <f>+'SEP-22'!$D$132</f>
        <v>506</v>
      </c>
      <c r="S78" s="444"/>
      <c r="T78" s="444">
        <f>+'OCT-22'!$D$149</f>
        <v>649</v>
      </c>
      <c r="U78" s="444"/>
      <c r="V78" s="444">
        <f>+'NOV-22'!$D$109</f>
        <v>0</v>
      </c>
      <c r="W78" s="444"/>
      <c r="X78" s="444">
        <f>+'DIC-22'!$D$147</f>
        <v>0</v>
      </c>
      <c r="Y78" s="444"/>
    </row>
    <row r="79" spans="1:25" ht="15" customHeight="1" x14ac:dyDescent="0.2">
      <c r="A79" s="80" t="s">
        <v>89</v>
      </c>
      <c r="B79" s="444">
        <f>+'ENE.-22'!D48</f>
        <v>67</v>
      </c>
      <c r="C79" s="444"/>
      <c r="D79" s="444">
        <f>+'FEB.-22'!D48</f>
        <v>135</v>
      </c>
      <c r="E79" s="444"/>
      <c r="F79" s="444">
        <f>+'MAR-22'!$E$168</f>
        <v>135</v>
      </c>
      <c r="G79" s="444"/>
      <c r="H79" s="444">
        <f>+'ABR-22'!$E$164</f>
        <v>70</v>
      </c>
      <c r="I79" s="444"/>
      <c r="J79" s="444">
        <f>+'MAY-22'!$E$185</f>
        <v>63</v>
      </c>
      <c r="K79" s="444"/>
      <c r="L79" s="444">
        <f>+'JUN-22'!$E$198</f>
        <v>67</v>
      </c>
      <c r="M79" s="444"/>
      <c r="N79" s="444">
        <f>+'JUL-22'!$E$210</f>
        <v>56</v>
      </c>
      <c r="O79" s="444"/>
      <c r="P79" s="444">
        <f>+'AGO-22'!$E$107</f>
        <v>15</v>
      </c>
      <c r="Q79" s="444"/>
      <c r="R79" s="444">
        <f>+'SEP-22'!$E$132</f>
        <v>48</v>
      </c>
      <c r="S79" s="444"/>
      <c r="T79" s="444">
        <f>+'OCT-22'!$E$149</f>
        <v>91</v>
      </c>
      <c r="U79" s="444"/>
      <c r="V79" s="444">
        <f>+'NOV-22'!$E$109</f>
        <v>0</v>
      </c>
      <c r="W79" s="444"/>
      <c r="X79" s="444">
        <f>+'DIC-22'!$E$147</f>
        <v>0</v>
      </c>
      <c r="Y79" s="444"/>
    </row>
    <row r="80" spans="1:25" ht="15" customHeight="1" x14ac:dyDescent="0.2">
      <c r="A80" s="80" t="s">
        <v>90</v>
      </c>
      <c r="B80" s="444">
        <f>+'ENE.-22'!E48</f>
        <v>0</v>
      </c>
      <c r="C80" s="444"/>
      <c r="D80" s="444">
        <f>+'FEB.-22'!E48</f>
        <v>0</v>
      </c>
      <c r="E80" s="444"/>
      <c r="F80" s="444">
        <f>+'MAR-22'!$F$168</f>
        <v>0</v>
      </c>
      <c r="G80" s="444"/>
      <c r="H80" s="444">
        <f>+'ABR-22'!$F$164</f>
        <v>0</v>
      </c>
      <c r="I80" s="444"/>
      <c r="J80" s="444">
        <f>+'MAY-22'!$F$185</f>
        <v>87</v>
      </c>
      <c r="K80" s="444"/>
      <c r="L80" s="444">
        <f>+'JUN-22'!$F$198</f>
        <v>73</v>
      </c>
      <c r="M80" s="444"/>
      <c r="N80" s="444">
        <f>+'JUL-22'!$F$210</f>
        <v>118</v>
      </c>
      <c r="O80" s="444"/>
      <c r="P80" s="444">
        <f>+'AGO-22'!$F$107</f>
        <v>113</v>
      </c>
      <c r="Q80" s="444"/>
      <c r="R80" s="444">
        <f>+'SEP-22'!$F$132</f>
        <v>0</v>
      </c>
      <c r="S80" s="444"/>
      <c r="T80" s="444">
        <f>+'OCT-22'!$F$149</f>
        <v>0</v>
      </c>
      <c r="U80" s="444"/>
      <c r="V80" s="444">
        <f>+'NOV-22'!$F$109</f>
        <v>0</v>
      </c>
      <c r="W80" s="444"/>
      <c r="X80" s="444">
        <f>+'DIC-22'!$F$147</f>
        <v>0</v>
      </c>
      <c r="Y80" s="444"/>
    </row>
    <row r="81" spans="1:25" ht="15" customHeight="1" x14ac:dyDescent="0.2">
      <c r="B81"/>
      <c r="C81"/>
      <c r="D81"/>
      <c r="E81"/>
      <c r="F81"/>
      <c r="G81"/>
      <c r="H81"/>
      <c r="I81"/>
      <c r="J81"/>
      <c r="K81"/>
      <c r="L81"/>
      <c r="M81"/>
      <c r="N81"/>
      <c r="O81"/>
      <c r="P81"/>
      <c r="Q81"/>
      <c r="R81"/>
      <c r="S81"/>
      <c r="T81"/>
      <c r="U81"/>
      <c r="V81"/>
      <c r="W81"/>
      <c r="X81"/>
      <c r="Y81"/>
    </row>
    <row r="82" spans="1:25" ht="15" customHeight="1" x14ac:dyDescent="0.2">
      <c r="A82" s="3" t="s">
        <v>1025</v>
      </c>
      <c r="B82" s="348">
        <f>+'ENE.-22'!F48</f>
        <v>673</v>
      </c>
      <c r="C82" s="348"/>
      <c r="D82" s="348">
        <f>+'FEB.-22'!F48</f>
        <v>640</v>
      </c>
      <c r="E82" s="348"/>
      <c r="F82" s="348">
        <f>+'MAR-22'!$G$168</f>
        <v>1059</v>
      </c>
      <c r="G82" s="348"/>
      <c r="H82" s="348">
        <f>+'ABR-22'!$G$164</f>
        <v>961</v>
      </c>
      <c r="I82" s="348"/>
      <c r="J82" s="348">
        <f>+'MAY-22'!$G$185</f>
        <v>596</v>
      </c>
      <c r="K82" s="348"/>
      <c r="L82" s="348">
        <f>+'JUN-22'!$G$198</f>
        <v>1130</v>
      </c>
      <c r="M82" s="348"/>
      <c r="N82" s="348">
        <f>+'JUL-22'!$G$210</f>
        <v>638</v>
      </c>
      <c r="O82" s="348"/>
      <c r="P82" s="348">
        <f>+'AGO-22'!$G$107</f>
        <v>746</v>
      </c>
      <c r="Q82" s="348"/>
      <c r="R82" s="348">
        <f>+'SEP-22'!$G$132</f>
        <v>688</v>
      </c>
      <c r="S82" s="348"/>
      <c r="T82" s="348">
        <f>+'OCT-22'!$G$149</f>
        <v>984</v>
      </c>
      <c r="U82" s="348"/>
      <c r="V82" s="348">
        <f>+'NOV-22'!$G$109</f>
        <v>0</v>
      </c>
      <c r="W82" s="348"/>
      <c r="X82" s="348">
        <f>+'DIC-22'!$G$147</f>
        <v>0</v>
      </c>
      <c r="Y82" s="348"/>
    </row>
    <row r="83" spans="1:25" ht="15" customHeight="1" x14ac:dyDescent="0.2">
      <c r="A83" s="3"/>
      <c r="C83" s="8"/>
      <c r="E83" s="8"/>
      <c r="G83" s="8"/>
      <c r="I83" s="8"/>
      <c r="K83" s="8"/>
      <c r="M83" s="8"/>
      <c r="O83" s="8"/>
      <c r="Q83" s="8"/>
      <c r="S83" s="8"/>
      <c r="U83" s="8"/>
      <c r="W83" s="8"/>
      <c r="Y83" s="8"/>
    </row>
    <row r="84" spans="1:25" ht="15" customHeight="1" x14ac:dyDescent="0.2">
      <c r="A84" s="3"/>
      <c r="C84" s="8"/>
      <c r="E84" s="8"/>
      <c r="G84" s="8"/>
      <c r="I84" s="8"/>
      <c r="K84" s="8"/>
      <c r="M84" s="8"/>
      <c r="O84" s="8"/>
      <c r="Q84" s="8"/>
      <c r="S84" s="8"/>
      <c r="U84" s="8"/>
      <c r="W84" s="8"/>
      <c r="Y84" s="8"/>
    </row>
    <row r="85" spans="1:25" ht="15" customHeight="1" x14ac:dyDescent="0.2">
      <c r="A85" s="3"/>
      <c r="C85" s="8"/>
      <c r="E85" s="8"/>
      <c r="G85" s="8"/>
      <c r="I85" s="8"/>
      <c r="K85" s="8"/>
      <c r="M85" s="8"/>
      <c r="O85" s="8"/>
      <c r="Q85" s="8"/>
      <c r="S85" s="8"/>
      <c r="U85" s="8"/>
      <c r="W85" s="8"/>
      <c r="Y85" s="8"/>
    </row>
    <row r="86" spans="1:25" ht="15" customHeight="1" x14ac:dyDescent="0.2">
      <c r="A86" s="3"/>
      <c r="C86" s="8"/>
      <c r="E86" s="8"/>
      <c r="G86" s="8"/>
      <c r="I86" s="8"/>
      <c r="K86" s="8"/>
      <c r="M86" s="8"/>
      <c r="O86" s="8"/>
      <c r="Q86" s="8"/>
      <c r="S86" s="8"/>
      <c r="U86" s="8"/>
      <c r="W86" s="8"/>
      <c r="Y86" s="8"/>
    </row>
    <row r="87" spans="1:25" ht="15" customHeight="1" x14ac:dyDescent="0.2">
      <c r="A87" s="3"/>
      <c r="C87" s="8"/>
      <c r="E87" s="8"/>
      <c r="G87" s="8"/>
      <c r="I87" s="8"/>
      <c r="K87" s="8"/>
      <c r="M87" s="8"/>
      <c r="O87" s="8"/>
      <c r="Q87" s="8"/>
      <c r="S87" s="8"/>
      <c r="U87" s="8"/>
      <c r="W87" s="8"/>
      <c r="Y87" s="8"/>
    </row>
    <row r="88" spans="1:25" ht="15" customHeight="1" x14ac:dyDescent="0.2">
      <c r="A88" s="3"/>
      <c r="C88" s="8"/>
      <c r="E88" s="8"/>
      <c r="G88" s="8"/>
      <c r="I88" s="8"/>
      <c r="K88" s="8"/>
      <c r="M88" s="8"/>
      <c r="O88" s="8"/>
      <c r="Q88" s="8"/>
      <c r="S88" s="8"/>
      <c r="U88" s="8"/>
      <c r="W88" s="8"/>
      <c r="Y88" s="8"/>
    </row>
    <row r="89" spans="1:25" ht="15" customHeight="1" x14ac:dyDescent="0.2">
      <c r="A89" s="3"/>
      <c r="C89" s="8"/>
      <c r="E89" s="8"/>
      <c r="G89" s="8"/>
      <c r="I89" s="8"/>
      <c r="K89" s="8"/>
      <c r="M89" s="8"/>
      <c r="O89" s="8"/>
      <c r="Q89" s="8"/>
      <c r="S89" s="8"/>
      <c r="U89" s="8"/>
      <c r="W89" s="8"/>
      <c r="Y89" s="8"/>
    </row>
    <row r="90" spans="1:25" ht="15" customHeight="1" x14ac:dyDescent="0.2">
      <c r="A90" s="3"/>
      <c r="C90" s="8"/>
      <c r="E90" s="8"/>
      <c r="G90" s="8"/>
      <c r="I90" s="8"/>
      <c r="K90" s="8"/>
      <c r="M90" s="8"/>
      <c r="O90" s="8"/>
      <c r="Q90" s="8"/>
      <c r="S90" s="8"/>
      <c r="U90" s="8"/>
      <c r="W90" s="8"/>
      <c r="Y90" s="8"/>
    </row>
    <row r="91" spans="1:25" ht="15" customHeight="1" x14ac:dyDescent="0.2">
      <c r="A91" s="3"/>
      <c r="C91" s="8"/>
      <c r="E91" s="8"/>
      <c r="G91" s="8"/>
      <c r="I91" s="8"/>
      <c r="K91" s="8"/>
      <c r="M91" s="8"/>
      <c r="O91" s="8"/>
      <c r="Q91" s="8"/>
      <c r="S91" s="8"/>
      <c r="U91" s="8"/>
      <c r="W91" s="8"/>
      <c r="Y91" s="8"/>
    </row>
    <row r="92" spans="1:25" ht="15" customHeight="1" x14ac:dyDescent="0.2">
      <c r="A92" s="3"/>
      <c r="C92" s="8"/>
      <c r="E92" s="8"/>
      <c r="G92" s="8"/>
      <c r="I92" s="8"/>
      <c r="K92" s="8"/>
      <c r="M92" s="8"/>
      <c r="O92" s="8"/>
      <c r="Q92" s="8"/>
      <c r="S92" s="8"/>
      <c r="U92" s="8"/>
      <c r="W92" s="8"/>
      <c r="Y92" s="8"/>
    </row>
    <row r="93" spans="1:25" ht="15" customHeight="1" x14ac:dyDescent="0.2">
      <c r="A93" s="3"/>
      <c r="C93" s="8"/>
      <c r="E93" s="8"/>
      <c r="G93" s="8"/>
      <c r="I93" s="8"/>
      <c r="K93" s="8"/>
      <c r="M93" s="8"/>
      <c r="O93" s="8"/>
      <c r="Q93" s="8"/>
      <c r="S93" s="8"/>
      <c r="U93" s="8"/>
      <c r="W93" s="8"/>
      <c r="Y93" s="8"/>
    </row>
    <row r="94" spans="1:25" ht="15" customHeight="1" x14ac:dyDescent="0.2">
      <c r="A94" s="3"/>
      <c r="C94" s="8"/>
      <c r="E94" s="8"/>
      <c r="G94" s="8"/>
      <c r="I94" s="8"/>
      <c r="K94" s="8"/>
      <c r="M94" s="8"/>
      <c r="O94" s="8"/>
      <c r="Q94" s="8"/>
      <c r="S94" s="8"/>
      <c r="U94" s="8"/>
      <c r="W94" s="8"/>
      <c r="Y94" s="8"/>
    </row>
    <row r="95" spans="1:25" ht="15" customHeight="1" x14ac:dyDescent="0.2">
      <c r="A95" s="3"/>
      <c r="C95" s="8"/>
      <c r="E95" s="8"/>
      <c r="G95" s="8"/>
      <c r="I95" s="8"/>
      <c r="K95" s="8"/>
      <c r="M95" s="8"/>
      <c r="O95" s="8"/>
      <c r="Q95" s="8"/>
      <c r="S95" s="8"/>
      <c r="U95" s="8"/>
      <c r="W95" s="8"/>
      <c r="Y95" s="8"/>
    </row>
    <row r="96" spans="1:25" ht="15" customHeight="1" x14ac:dyDescent="0.2">
      <c r="A96" s="3"/>
      <c r="C96" s="8"/>
      <c r="E96" s="8"/>
      <c r="G96" s="8"/>
      <c r="I96" s="8"/>
      <c r="K96" s="8"/>
      <c r="M96" s="8"/>
      <c r="O96" s="8"/>
      <c r="Q96" s="8"/>
      <c r="S96" s="8"/>
      <c r="U96" s="8"/>
      <c r="W96" s="8"/>
      <c r="Y96" s="8"/>
    </row>
    <row r="97" spans="1:25" ht="15" customHeight="1" x14ac:dyDescent="0.2">
      <c r="A97" s="3"/>
      <c r="C97" s="8"/>
      <c r="E97" s="8"/>
      <c r="G97" s="8"/>
      <c r="I97" s="8"/>
      <c r="K97" s="8"/>
      <c r="M97" s="8"/>
      <c r="O97" s="8"/>
      <c r="Q97" s="8"/>
      <c r="S97" s="8"/>
      <c r="U97" s="8"/>
      <c r="W97" s="8"/>
      <c r="Y97" s="8"/>
    </row>
    <row r="98" spans="1:25" ht="15" customHeight="1" x14ac:dyDescent="0.2">
      <c r="A98" s="3"/>
      <c r="C98" s="8"/>
      <c r="E98" s="8"/>
      <c r="G98" s="8"/>
      <c r="I98" s="8"/>
      <c r="K98" s="8"/>
      <c r="M98" s="8"/>
      <c r="O98" s="8"/>
      <c r="Q98" s="8"/>
      <c r="S98" s="8"/>
      <c r="U98" s="8"/>
      <c r="W98" s="8"/>
      <c r="Y98" s="8"/>
    </row>
    <row r="99" spans="1:25" ht="15" customHeight="1" x14ac:dyDescent="0.2">
      <c r="A99" s="3"/>
      <c r="C99" s="8"/>
      <c r="E99" s="8"/>
      <c r="G99" s="8"/>
      <c r="I99" s="8"/>
      <c r="K99" s="8"/>
      <c r="M99" s="8"/>
      <c r="O99" s="8"/>
      <c r="Q99" s="8"/>
      <c r="S99" s="8"/>
      <c r="U99" s="8"/>
      <c r="W99" s="8"/>
      <c r="Y99" s="8"/>
    </row>
    <row r="100" spans="1:25" ht="15" customHeight="1" x14ac:dyDescent="0.2">
      <c r="A100" s="3"/>
      <c r="C100" s="8"/>
      <c r="E100" s="8"/>
      <c r="G100" s="8"/>
      <c r="I100" s="8"/>
      <c r="K100" s="8"/>
      <c r="M100" s="8"/>
      <c r="O100" s="8"/>
      <c r="Q100" s="8"/>
      <c r="S100" s="8"/>
      <c r="U100" s="8"/>
      <c r="W100" s="8"/>
      <c r="Y100" s="8"/>
    </row>
    <row r="101" spans="1:25" ht="15" customHeight="1" x14ac:dyDescent="0.2">
      <c r="A101" s="3"/>
      <c r="C101" s="8"/>
      <c r="E101" s="8"/>
      <c r="G101" s="8"/>
      <c r="I101" s="8"/>
      <c r="K101" s="8"/>
      <c r="M101" s="8"/>
      <c r="O101" s="8"/>
      <c r="Q101" s="8"/>
      <c r="S101" s="8"/>
      <c r="U101" s="8"/>
      <c r="W101" s="8"/>
      <c r="Y101" s="8"/>
    </row>
    <row r="102" spans="1:25" ht="15" customHeight="1" x14ac:dyDescent="0.2">
      <c r="A102" s="3"/>
      <c r="C102" s="8"/>
      <c r="E102" s="8"/>
      <c r="G102" s="8"/>
      <c r="I102" s="8"/>
      <c r="K102" s="8"/>
      <c r="M102" s="8"/>
      <c r="O102" s="8"/>
      <c r="Q102" s="8"/>
      <c r="S102" s="8"/>
      <c r="U102" s="8"/>
      <c r="W102" s="8"/>
      <c r="Y102" s="8"/>
    </row>
    <row r="103" spans="1:25" ht="15" customHeight="1" x14ac:dyDescent="0.2">
      <c r="A103" s="3"/>
      <c r="C103" s="8"/>
      <c r="E103" s="8"/>
      <c r="G103" s="8"/>
      <c r="I103" s="8"/>
      <c r="K103" s="8"/>
      <c r="M103" s="8"/>
      <c r="O103" s="8"/>
      <c r="Q103" s="8"/>
      <c r="S103" s="8"/>
      <c r="U103" s="8"/>
      <c r="W103" s="8"/>
      <c r="Y103" s="8"/>
    </row>
    <row r="104" spans="1:25" ht="15" customHeight="1" x14ac:dyDescent="0.2">
      <c r="A104" s="3"/>
      <c r="C104" s="8"/>
      <c r="E104" s="8"/>
      <c r="G104" s="8"/>
      <c r="I104" s="8"/>
      <c r="K104" s="8"/>
      <c r="M104" s="8"/>
      <c r="O104" s="8"/>
      <c r="Q104" s="8"/>
      <c r="S104" s="8"/>
      <c r="U104" s="8"/>
      <c r="W104" s="8"/>
      <c r="Y104" s="8"/>
    </row>
    <row r="105" spans="1:25" ht="15" customHeight="1" x14ac:dyDescent="0.2">
      <c r="A105" s="3"/>
      <c r="C105" s="8"/>
      <c r="E105" s="8"/>
      <c r="G105" s="8"/>
      <c r="I105" s="8"/>
      <c r="K105" s="8"/>
      <c r="M105" s="8"/>
      <c r="O105" s="8"/>
      <c r="Q105" s="8"/>
      <c r="S105" s="8"/>
      <c r="U105" s="8"/>
      <c r="W105" s="8"/>
      <c r="Y105" s="8"/>
    </row>
    <row r="106" spans="1:25" ht="15" customHeight="1" x14ac:dyDescent="0.2">
      <c r="A106" s="3"/>
      <c r="C106" s="8"/>
      <c r="E106" s="8"/>
      <c r="G106" s="8"/>
      <c r="I106" s="8"/>
      <c r="K106" s="8"/>
      <c r="M106" s="8"/>
      <c r="O106" s="8"/>
      <c r="Q106" s="8"/>
      <c r="S106" s="8"/>
      <c r="U106" s="8"/>
      <c r="W106" s="8"/>
      <c r="Y106" s="8"/>
    </row>
    <row r="107" spans="1:25" ht="15" customHeight="1" x14ac:dyDescent="0.2">
      <c r="A107" s="3"/>
      <c r="C107" s="8"/>
      <c r="E107" s="8"/>
      <c r="G107" s="8"/>
      <c r="I107" s="8"/>
      <c r="K107" s="8"/>
      <c r="M107" s="8"/>
      <c r="O107" s="8"/>
      <c r="Q107" s="8"/>
      <c r="S107" s="8"/>
      <c r="U107" s="8"/>
      <c r="W107" s="8"/>
      <c r="Y107" s="8"/>
    </row>
    <row r="108" spans="1:25" ht="15" customHeight="1" x14ac:dyDescent="0.2">
      <c r="A108" s="3"/>
      <c r="C108" s="8"/>
      <c r="E108" s="8"/>
      <c r="G108" s="8"/>
      <c r="I108" s="8"/>
      <c r="K108" s="8"/>
      <c r="M108" s="8"/>
      <c r="O108" s="8"/>
      <c r="Q108" s="8"/>
      <c r="S108" s="8"/>
      <c r="U108" s="8"/>
      <c r="W108" s="8"/>
      <c r="Y108" s="8"/>
    </row>
    <row r="109" spans="1:25" ht="15" customHeight="1" x14ac:dyDescent="0.2">
      <c r="A109" s="3"/>
      <c r="C109" s="8"/>
      <c r="E109" s="8"/>
      <c r="G109" s="8"/>
      <c r="I109" s="8"/>
      <c r="K109" s="8"/>
      <c r="M109" s="8"/>
      <c r="O109" s="8"/>
      <c r="Q109" s="8"/>
      <c r="S109" s="8"/>
      <c r="U109" s="8"/>
      <c r="W109" s="8"/>
      <c r="Y109" s="8"/>
    </row>
    <row r="110" spans="1:25" ht="15" customHeight="1" x14ac:dyDescent="0.2">
      <c r="A110" s="3"/>
      <c r="C110" s="8"/>
      <c r="E110" s="8"/>
      <c r="G110" s="8"/>
      <c r="I110" s="8"/>
      <c r="K110" s="8"/>
      <c r="M110" s="8"/>
      <c r="O110" s="8"/>
      <c r="Q110" s="8"/>
      <c r="S110" s="8"/>
      <c r="U110" s="8"/>
      <c r="W110" s="8"/>
      <c r="Y110" s="8"/>
    </row>
    <row r="111" spans="1:25" ht="15" customHeight="1" x14ac:dyDescent="0.2"/>
    <row r="112" spans="1:25" ht="15" customHeight="1" x14ac:dyDescent="0.2"/>
    <row r="113" spans="1:25" ht="15" customHeight="1" x14ac:dyDescent="0.2"/>
    <row r="114" spans="1:25" ht="15" customHeight="1" x14ac:dyDescent="0.2"/>
    <row r="115" spans="1:25" ht="15" customHeight="1" x14ac:dyDescent="0.2">
      <c r="A115" s="77"/>
    </row>
    <row r="116" spans="1:25" ht="15" customHeight="1" x14ac:dyDescent="0.2">
      <c r="A116" s="442" t="s">
        <v>207</v>
      </c>
    </row>
    <row r="117" spans="1:25" x14ac:dyDescent="0.2">
      <c r="A117" s="443"/>
      <c r="B117" s="441" t="s">
        <v>1008</v>
      </c>
      <c r="C117" s="441"/>
      <c r="D117" s="441" t="s">
        <v>1009</v>
      </c>
      <c r="E117" s="441"/>
      <c r="F117" s="441" t="s">
        <v>1010</v>
      </c>
      <c r="G117" s="441"/>
      <c r="H117" s="441" t="s">
        <v>1011</v>
      </c>
      <c r="I117" s="441"/>
      <c r="J117" s="441" t="s">
        <v>1012</v>
      </c>
      <c r="K117" s="441"/>
      <c r="L117" s="441" t="s">
        <v>1013</v>
      </c>
      <c r="M117" s="441"/>
      <c r="N117" s="441" t="s">
        <v>1014</v>
      </c>
      <c r="O117" s="441"/>
      <c r="P117" s="441" t="s">
        <v>1015</v>
      </c>
      <c r="Q117" s="441"/>
      <c r="R117" s="441" t="s">
        <v>1016</v>
      </c>
      <c r="S117" s="441"/>
      <c r="T117" s="441" t="s">
        <v>1017</v>
      </c>
      <c r="U117" s="441"/>
      <c r="V117" s="441" t="s">
        <v>1018</v>
      </c>
      <c r="W117" s="441"/>
      <c r="X117" s="441" t="s">
        <v>1019</v>
      </c>
      <c r="Y117" s="441"/>
    </row>
    <row r="118" spans="1:25" ht="15" customHeight="1" x14ac:dyDescent="0.2">
      <c r="A118" s="78" t="s">
        <v>1026</v>
      </c>
      <c r="B118" s="439" t="s">
        <v>128</v>
      </c>
      <c r="C118" s="440"/>
      <c r="D118" s="439" t="s">
        <v>128</v>
      </c>
      <c r="E118" s="440"/>
      <c r="F118" s="439">
        <f>+'MAR-22'!$A130</f>
        <v>0</v>
      </c>
      <c r="G118" s="440"/>
      <c r="H118" s="439">
        <f>+'ABR-22'!$A126</f>
        <v>1</v>
      </c>
      <c r="I118" s="440"/>
      <c r="J118" s="439">
        <f>+'MAY-22'!$A147</f>
        <v>0</v>
      </c>
      <c r="K118" s="440"/>
      <c r="L118" s="439">
        <f>+'JUN-22'!$A160</f>
        <v>0</v>
      </c>
      <c r="M118" s="440"/>
      <c r="N118" s="439">
        <f>+'JUL-22'!$A172</f>
        <v>0</v>
      </c>
      <c r="O118" s="440"/>
      <c r="P118" s="439">
        <f>+'AGO-22'!$A69</f>
        <v>0</v>
      </c>
      <c r="Q118" s="440"/>
      <c r="R118" s="439">
        <f>+'SEP-22'!$A94</f>
        <v>0</v>
      </c>
      <c r="S118" s="440"/>
      <c r="T118" s="439">
        <f>+'OCT-22'!$A111</f>
        <v>0</v>
      </c>
      <c r="U118" s="440"/>
      <c r="V118" s="439">
        <f>+'NOV-22'!$A71</f>
        <v>0</v>
      </c>
      <c r="W118" s="440"/>
      <c r="X118" s="439">
        <f>+'DIC-22'!$A109</f>
        <v>0</v>
      </c>
      <c r="Y118" s="440"/>
    </row>
    <row r="119" spans="1:25" x14ac:dyDescent="0.2">
      <c r="A119" s="78" t="s">
        <v>1027</v>
      </c>
      <c r="B119" s="439" t="s">
        <v>128</v>
      </c>
      <c r="C119" s="440"/>
      <c r="D119" s="439" t="s">
        <v>128</v>
      </c>
      <c r="E119" s="440"/>
      <c r="F119" s="439">
        <f>+'MAR-22'!$A131</f>
        <v>21</v>
      </c>
      <c r="G119" s="440"/>
      <c r="H119" s="439">
        <f>+'ABR-22'!$A127</f>
        <v>6</v>
      </c>
      <c r="I119" s="440"/>
      <c r="J119" s="439">
        <f>+'MAY-22'!$A148</f>
        <v>3</v>
      </c>
      <c r="K119" s="440"/>
      <c r="L119" s="439">
        <f>+'JUN-22'!$A161</f>
        <v>4</v>
      </c>
      <c r="M119" s="440"/>
      <c r="N119" s="439">
        <f>+'JUL-22'!$A173</f>
        <v>5</v>
      </c>
      <c r="O119" s="440"/>
      <c r="P119" s="439">
        <f>+'AGO-22'!$A70</f>
        <v>0</v>
      </c>
      <c r="Q119" s="440"/>
      <c r="R119" s="439">
        <f>+'SEP-22'!$A95</f>
        <v>0</v>
      </c>
      <c r="S119" s="440"/>
      <c r="T119" s="439">
        <f>+'OCT-22'!$A112</f>
        <v>0</v>
      </c>
      <c r="U119" s="440"/>
      <c r="V119" s="439">
        <f>+'NOV-22'!$A72</f>
        <v>0</v>
      </c>
      <c r="W119" s="440"/>
      <c r="X119" s="439">
        <f>+'DIC-22'!$A110</f>
        <v>0</v>
      </c>
      <c r="Y119" s="440"/>
    </row>
    <row r="120" spans="1:25" x14ac:dyDescent="0.2">
      <c r="A120" s="78" t="s">
        <v>1028</v>
      </c>
      <c r="B120" s="439" t="s">
        <v>128</v>
      </c>
      <c r="C120" s="440"/>
      <c r="D120" s="439" t="s">
        <v>128</v>
      </c>
      <c r="E120" s="440"/>
      <c r="F120" s="439">
        <f>+'MAR-22'!$A132</f>
        <v>18</v>
      </c>
      <c r="G120" s="440"/>
      <c r="H120" s="439">
        <f>+'ABR-22'!$A128</f>
        <v>20</v>
      </c>
      <c r="I120" s="440"/>
      <c r="J120" s="439">
        <f>+'MAY-22'!$A149</f>
        <v>15</v>
      </c>
      <c r="K120" s="440"/>
      <c r="L120" s="439">
        <f>+'JUN-22'!$A162</f>
        <v>7</v>
      </c>
      <c r="M120" s="440"/>
      <c r="N120" s="439">
        <f>+'JUL-22'!$A174</f>
        <v>8</v>
      </c>
      <c r="O120" s="440"/>
      <c r="P120" s="439">
        <f>+'AGO-22'!$A71</f>
        <v>0</v>
      </c>
      <c r="Q120" s="440"/>
      <c r="R120" s="439">
        <f>+'SEP-22'!$A96</f>
        <v>0</v>
      </c>
      <c r="S120" s="440"/>
      <c r="T120" s="439">
        <f>+'OCT-22'!$A113</f>
        <v>0</v>
      </c>
      <c r="U120" s="440"/>
      <c r="V120" s="439">
        <f>+'NOV-22'!$A73</f>
        <v>0</v>
      </c>
      <c r="W120" s="440"/>
      <c r="X120" s="439">
        <f>+'DIC-22'!$A111</f>
        <v>0</v>
      </c>
      <c r="Y120" s="440"/>
    </row>
    <row r="121" spans="1:25" x14ac:dyDescent="0.2">
      <c r="A121" s="78" t="s">
        <v>1029</v>
      </c>
      <c r="B121" s="439" t="s">
        <v>128</v>
      </c>
      <c r="C121" s="440"/>
      <c r="D121" s="439" t="s">
        <v>128</v>
      </c>
      <c r="E121" s="440"/>
      <c r="F121" s="439">
        <f>+'MAR-22'!$A133</f>
        <v>6</v>
      </c>
      <c r="G121" s="440"/>
      <c r="H121" s="439">
        <f>+'ABR-22'!$A129</f>
        <v>23</v>
      </c>
      <c r="I121" s="440"/>
      <c r="J121" s="439">
        <f>+'MAY-22'!$A150</f>
        <v>23</v>
      </c>
      <c r="K121" s="440"/>
      <c r="L121" s="439">
        <f>+'JUN-22'!$A163</f>
        <v>39</v>
      </c>
      <c r="M121" s="440"/>
      <c r="N121" s="439">
        <f>+'JUL-22'!$A175</f>
        <v>21</v>
      </c>
      <c r="O121" s="440"/>
      <c r="P121" s="439">
        <f>+'AGO-22'!$A72</f>
        <v>0</v>
      </c>
      <c r="Q121" s="440"/>
      <c r="R121" s="439">
        <f>+'SEP-22'!$A97</f>
        <v>0</v>
      </c>
      <c r="S121" s="440"/>
      <c r="T121" s="439">
        <f>+'OCT-22'!$A114</f>
        <v>7</v>
      </c>
      <c r="U121" s="440"/>
      <c r="V121" s="439">
        <f>+'NOV-22'!$A74</f>
        <v>0</v>
      </c>
      <c r="W121" s="440"/>
      <c r="X121" s="439">
        <f>+'DIC-22'!$A112</f>
        <v>0</v>
      </c>
      <c r="Y121" s="440"/>
    </row>
    <row r="122" spans="1:25" x14ac:dyDescent="0.2">
      <c r="A122" s="78" t="s">
        <v>1030</v>
      </c>
      <c r="B122" s="439" t="s">
        <v>128</v>
      </c>
      <c r="C122" s="440"/>
      <c r="D122" s="439" t="s">
        <v>128</v>
      </c>
      <c r="E122" s="440"/>
      <c r="F122" s="439">
        <f>+'MAR-22'!$A134</f>
        <v>4</v>
      </c>
      <c r="G122" s="440"/>
      <c r="H122" s="439">
        <f>+'ABR-22'!$A130</f>
        <v>3</v>
      </c>
      <c r="I122" s="440"/>
      <c r="J122" s="439">
        <f>+'MAY-22'!$A151</f>
        <v>18</v>
      </c>
      <c r="K122" s="440"/>
      <c r="L122" s="439">
        <f>+'JUN-22'!$A164</f>
        <v>4</v>
      </c>
      <c r="M122" s="440"/>
      <c r="N122" s="439">
        <f>+'JUL-22'!$A176</f>
        <v>17</v>
      </c>
      <c r="O122" s="440"/>
      <c r="P122" s="439">
        <f>+'AGO-22'!$A73</f>
        <v>0</v>
      </c>
      <c r="Q122" s="440"/>
      <c r="R122" s="439">
        <f>+'SEP-22'!$A98</f>
        <v>0</v>
      </c>
      <c r="S122" s="440"/>
      <c r="T122" s="439">
        <f>+'OCT-22'!$A115</f>
        <v>1</v>
      </c>
      <c r="U122" s="440"/>
      <c r="V122" s="439">
        <f>+'NOV-22'!$A75</f>
        <v>0</v>
      </c>
      <c r="W122" s="440"/>
      <c r="X122" s="439">
        <f>+'DIC-22'!$A113</f>
        <v>0</v>
      </c>
      <c r="Y122" s="440"/>
    </row>
    <row r="123" spans="1:25" x14ac:dyDescent="0.2">
      <c r="A123" s="78" t="s">
        <v>1031</v>
      </c>
      <c r="B123" s="439" t="s">
        <v>128</v>
      </c>
      <c r="C123" s="440"/>
      <c r="D123" s="439" t="s">
        <v>128</v>
      </c>
      <c r="E123" s="440"/>
      <c r="F123" s="439">
        <f>+'MAR-22'!$A135</f>
        <v>0</v>
      </c>
      <c r="G123" s="440"/>
      <c r="H123" s="439">
        <f>+'ABR-22'!$A131</f>
        <v>1</v>
      </c>
      <c r="I123" s="440"/>
      <c r="J123" s="439">
        <f>+'MAY-22'!$A152</f>
        <v>10</v>
      </c>
      <c r="K123" s="440"/>
      <c r="L123" s="439">
        <f>+'JUN-22'!$A165</f>
        <v>2</v>
      </c>
      <c r="M123" s="440"/>
      <c r="N123" s="439">
        <f>+'JUL-22'!$A177</f>
        <v>8</v>
      </c>
      <c r="O123" s="440"/>
      <c r="P123" s="439">
        <f>+'AGO-22'!$A74</f>
        <v>0</v>
      </c>
      <c r="Q123" s="440"/>
      <c r="R123" s="439">
        <f>+'SEP-22'!$A99</f>
        <v>0</v>
      </c>
      <c r="S123" s="440"/>
      <c r="T123" s="439">
        <f>+'OCT-22'!$A116</f>
        <v>2</v>
      </c>
      <c r="U123" s="440"/>
      <c r="V123" s="439">
        <f>+'NOV-22'!$A76</f>
        <v>0</v>
      </c>
      <c r="W123" s="440"/>
      <c r="X123" s="439">
        <f>+'DIC-22'!$A114</f>
        <v>0</v>
      </c>
      <c r="Y123" s="440"/>
    </row>
    <row r="124" spans="1:25" x14ac:dyDescent="0.2">
      <c r="A124" s="78" t="s">
        <v>1032</v>
      </c>
      <c r="B124" s="439" t="s">
        <v>128</v>
      </c>
      <c r="C124" s="440"/>
      <c r="D124" s="439" t="s">
        <v>128</v>
      </c>
      <c r="E124" s="440"/>
      <c r="F124" s="439">
        <f>+'MAR-22'!$A136</f>
        <v>0</v>
      </c>
      <c r="G124" s="440"/>
      <c r="H124" s="439">
        <f>+'ABR-22'!$A132</f>
        <v>0</v>
      </c>
      <c r="I124" s="440"/>
      <c r="J124" s="439">
        <f>+'MAY-22'!$A153</f>
        <v>8</v>
      </c>
      <c r="K124" s="440"/>
      <c r="L124" s="439">
        <f>+'JUN-22'!$A166</f>
        <v>4</v>
      </c>
      <c r="M124" s="440"/>
      <c r="N124" s="439">
        <f>+'JUL-22'!$A178</f>
        <v>5</v>
      </c>
      <c r="O124" s="440"/>
      <c r="P124" s="439">
        <f>+'AGO-22'!$A75</f>
        <v>0</v>
      </c>
      <c r="Q124" s="440"/>
      <c r="R124" s="439">
        <f>+'SEP-22'!$A100</f>
        <v>0</v>
      </c>
      <c r="S124" s="440"/>
      <c r="T124" s="439">
        <f>+'OCT-22'!$A117</f>
        <v>5</v>
      </c>
      <c r="U124" s="440"/>
      <c r="V124" s="439">
        <f>+'NOV-22'!$A77</f>
        <v>0</v>
      </c>
      <c r="W124" s="440"/>
      <c r="X124" s="439">
        <f>+'DIC-22'!$A115</f>
        <v>0</v>
      </c>
      <c r="Y124" s="440"/>
    </row>
    <row r="125" spans="1:25" x14ac:dyDescent="0.2">
      <c r="A125" s="89" t="s">
        <v>1033</v>
      </c>
      <c r="B125" s="439" t="s">
        <v>128</v>
      </c>
      <c r="C125" s="440"/>
      <c r="D125" s="439" t="s">
        <v>128</v>
      </c>
      <c r="E125" s="440"/>
      <c r="F125" s="439">
        <f>+'MAR-22'!$A137</f>
        <v>0</v>
      </c>
      <c r="G125" s="440"/>
      <c r="H125" s="439">
        <f>+'ABR-22'!$A133</f>
        <v>0</v>
      </c>
      <c r="I125" s="440"/>
      <c r="J125" s="439">
        <f>+'MAY-22'!$A154</f>
        <v>0</v>
      </c>
      <c r="K125" s="440"/>
      <c r="L125" s="439">
        <f>+'JUN-22'!$A167</f>
        <v>0</v>
      </c>
      <c r="M125" s="440"/>
      <c r="N125" s="439">
        <f>+'JUL-22'!$A179</f>
        <v>0</v>
      </c>
      <c r="O125" s="440"/>
      <c r="P125" s="439">
        <f>+'AGO-22'!$A76</f>
        <v>0</v>
      </c>
      <c r="Q125" s="440"/>
      <c r="R125" s="439">
        <f>+'SEP-22'!$A101</f>
        <v>0</v>
      </c>
      <c r="S125" s="440"/>
      <c r="T125" s="439">
        <f>+'OCT-22'!$A118</f>
        <v>0</v>
      </c>
      <c r="U125" s="440"/>
      <c r="V125" s="439">
        <f>+'NOV-22'!$A78</f>
        <v>0</v>
      </c>
      <c r="W125" s="440"/>
      <c r="X125" s="439">
        <f>+'DIC-22'!$A116</f>
        <v>0</v>
      </c>
      <c r="Y125" s="440"/>
    </row>
    <row r="126" spans="1:25" x14ac:dyDescent="0.2">
      <c r="A126" s="78" t="s">
        <v>1034</v>
      </c>
      <c r="B126" s="439" t="s">
        <v>128</v>
      </c>
      <c r="C126" s="440"/>
      <c r="D126" s="439" t="s">
        <v>128</v>
      </c>
      <c r="E126" s="440"/>
      <c r="F126" s="439">
        <f>+'MAR-22'!$A138</f>
        <v>0</v>
      </c>
      <c r="G126" s="440"/>
      <c r="H126" s="439">
        <f>+'ABR-22'!$A134</f>
        <v>0</v>
      </c>
      <c r="I126" s="440"/>
      <c r="J126" s="439">
        <f>+'MAY-22'!$A155</f>
        <v>0</v>
      </c>
      <c r="K126" s="440"/>
      <c r="L126" s="439">
        <f>+'JUN-22'!$A168</f>
        <v>0</v>
      </c>
      <c r="M126" s="440"/>
      <c r="N126" s="439">
        <f>+'JUL-22'!$A180</f>
        <v>0</v>
      </c>
      <c r="O126" s="440"/>
      <c r="P126" s="439">
        <f>+'AGO-22'!$A77</f>
        <v>0</v>
      </c>
      <c r="Q126" s="440"/>
      <c r="R126" s="439">
        <f>+'SEP-22'!$A102</f>
        <v>0</v>
      </c>
      <c r="S126" s="440"/>
      <c r="T126" s="439">
        <f>+'OCT-22'!$A119</f>
        <v>0</v>
      </c>
      <c r="U126" s="440"/>
      <c r="V126" s="439">
        <f>+'NOV-22'!$A79</f>
        <v>0</v>
      </c>
      <c r="W126" s="440"/>
      <c r="X126" s="439">
        <f>+'DIC-22'!$A117</f>
        <v>0</v>
      </c>
      <c r="Y126" s="440"/>
    </row>
    <row r="127" spans="1:25" x14ac:dyDescent="0.2">
      <c r="A127" s="78" t="s">
        <v>1035</v>
      </c>
      <c r="B127" s="439" t="s">
        <v>128</v>
      </c>
      <c r="C127" s="440"/>
      <c r="D127" s="439" t="s">
        <v>128</v>
      </c>
      <c r="E127" s="440"/>
      <c r="F127" s="439">
        <f>+'MAR-22'!$A139</f>
        <v>1</v>
      </c>
      <c r="G127" s="440"/>
      <c r="H127" s="439">
        <f>+'ABR-22'!$A135</f>
        <v>0</v>
      </c>
      <c r="I127" s="440"/>
      <c r="J127" s="439">
        <f>+'MAY-22'!$A156</f>
        <v>1</v>
      </c>
      <c r="K127" s="440"/>
      <c r="L127" s="439">
        <f>+'JUN-22'!$A169</f>
        <v>0</v>
      </c>
      <c r="M127" s="440"/>
      <c r="N127" s="439">
        <f>+'JUL-22'!$A181</f>
        <v>0</v>
      </c>
      <c r="O127" s="440"/>
      <c r="P127" s="439">
        <f>+'AGO-22'!$A78</f>
        <v>0</v>
      </c>
      <c r="Q127" s="440"/>
      <c r="R127" s="439">
        <f>+'SEP-22'!$A103</f>
        <v>0</v>
      </c>
      <c r="S127" s="440"/>
      <c r="T127" s="439">
        <f>+'OCT-22'!$A120</f>
        <v>0</v>
      </c>
      <c r="U127" s="440"/>
      <c r="V127" s="439">
        <f>+'NOV-22'!$A80</f>
        <v>0</v>
      </c>
      <c r="W127" s="440"/>
      <c r="X127" s="439">
        <f>+'DIC-22'!$A118</f>
        <v>0</v>
      </c>
      <c r="Y127" s="440"/>
    </row>
    <row r="128" spans="1:25" x14ac:dyDescent="0.2">
      <c r="A128" s="78" t="s">
        <v>1036</v>
      </c>
      <c r="B128" s="439" t="s">
        <v>128</v>
      </c>
      <c r="C128" s="440"/>
      <c r="D128" s="439" t="s">
        <v>128</v>
      </c>
      <c r="E128" s="440"/>
      <c r="F128" s="439">
        <f>+'MAR-22'!$A140</f>
        <v>0</v>
      </c>
      <c r="G128" s="440"/>
      <c r="H128" s="439">
        <f>+'ABR-22'!$A136</f>
        <v>0</v>
      </c>
      <c r="I128" s="440"/>
      <c r="J128" s="439">
        <f>+'MAY-22'!$A157</f>
        <v>0</v>
      </c>
      <c r="K128" s="440"/>
      <c r="L128" s="439">
        <f>+'JUN-22'!$A170</f>
        <v>0</v>
      </c>
      <c r="M128" s="440"/>
      <c r="N128" s="439">
        <f>+'JUL-22'!$A182</f>
        <v>0</v>
      </c>
      <c r="O128" s="440"/>
      <c r="P128" s="439">
        <f>+'AGO-22'!$A79</f>
        <v>0</v>
      </c>
      <c r="Q128" s="440"/>
      <c r="R128" s="439">
        <f>+'SEP-22'!$A104</f>
        <v>0</v>
      </c>
      <c r="S128" s="440"/>
      <c r="T128" s="439">
        <f>+'OCT-22'!$A121</f>
        <v>0</v>
      </c>
      <c r="U128" s="440"/>
      <c r="V128" s="439">
        <f>+'NOV-22'!$A81</f>
        <v>0</v>
      </c>
      <c r="W128" s="440"/>
      <c r="X128" s="439">
        <f>+'DIC-22'!$A119</f>
        <v>0</v>
      </c>
      <c r="Y128" s="440"/>
    </row>
    <row r="163" spans="1:25" x14ac:dyDescent="0.2">
      <c r="A163" s="74" t="s">
        <v>225</v>
      </c>
      <c r="B163" s="441" t="s">
        <v>1008</v>
      </c>
      <c r="C163" s="441"/>
      <c r="D163" s="441" t="s">
        <v>1009</v>
      </c>
      <c r="E163" s="441"/>
      <c r="F163" s="441" t="s">
        <v>1010</v>
      </c>
      <c r="G163" s="441"/>
      <c r="H163" s="441" t="s">
        <v>1011</v>
      </c>
      <c r="I163" s="441"/>
      <c r="J163" s="441" t="s">
        <v>1012</v>
      </c>
      <c r="K163" s="441"/>
      <c r="L163" s="441" t="s">
        <v>1013</v>
      </c>
      <c r="M163" s="441"/>
      <c r="N163" s="441" t="s">
        <v>1014</v>
      </c>
      <c r="O163" s="441"/>
      <c r="P163" s="441" t="s">
        <v>1015</v>
      </c>
      <c r="Q163" s="441"/>
      <c r="R163" s="441" t="s">
        <v>1016</v>
      </c>
      <c r="S163" s="441"/>
      <c r="T163" s="441" t="s">
        <v>1017</v>
      </c>
      <c r="U163" s="441"/>
      <c r="V163" s="441" t="s">
        <v>1018</v>
      </c>
      <c r="W163" s="441"/>
      <c r="X163" s="441" t="s">
        <v>1019</v>
      </c>
      <c r="Y163" s="441"/>
    </row>
    <row r="164" spans="1:25" x14ac:dyDescent="0.2">
      <c r="A164" s="86" t="s">
        <v>226</v>
      </c>
      <c r="B164" s="439" t="s">
        <v>128</v>
      </c>
      <c r="C164" s="440"/>
      <c r="D164" s="439" t="s">
        <v>128</v>
      </c>
      <c r="E164" s="440"/>
      <c r="F164" s="439">
        <f>+'MAR-22'!$A147</f>
        <v>23</v>
      </c>
      <c r="G164" s="440"/>
      <c r="H164" s="439">
        <f>+'ABR-22'!$A143</f>
        <v>4</v>
      </c>
      <c r="I164" s="440"/>
      <c r="J164" s="439">
        <f>+'MAY-22'!$A164</f>
        <v>13</v>
      </c>
      <c r="K164" s="440"/>
      <c r="L164" s="439">
        <f>+'JUN-22'!$A177</f>
        <v>10</v>
      </c>
      <c r="M164" s="440"/>
      <c r="N164" s="439">
        <f>+'JUL-22'!$A189</f>
        <v>6</v>
      </c>
      <c r="O164" s="440"/>
      <c r="P164" s="439">
        <f>+'AGO-22'!$A86</f>
        <v>0</v>
      </c>
      <c r="Q164" s="440"/>
      <c r="R164" s="439">
        <f>+'SEP-22'!$A111</f>
        <v>0</v>
      </c>
      <c r="S164" s="440"/>
      <c r="T164" s="439">
        <f>+'OCT-22'!$A128</f>
        <v>0</v>
      </c>
      <c r="U164" s="440"/>
      <c r="V164" s="439">
        <f>+'NOV-22'!$A88</f>
        <v>0</v>
      </c>
      <c r="W164" s="440"/>
      <c r="X164" s="439">
        <f>+'DIC-22'!$A126</f>
        <v>0</v>
      </c>
      <c r="Y164" s="440"/>
    </row>
    <row r="165" spans="1:25" x14ac:dyDescent="0.2">
      <c r="A165" s="86" t="s">
        <v>227</v>
      </c>
      <c r="B165" s="439" t="s">
        <v>128</v>
      </c>
      <c r="C165" s="440"/>
      <c r="D165" s="439" t="s">
        <v>128</v>
      </c>
      <c r="E165" s="440"/>
      <c r="F165" s="439">
        <f>+'MAR-22'!$A148</f>
        <v>11</v>
      </c>
      <c r="G165" s="440"/>
      <c r="H165" s="439">
        <f>+'ABR-22'!$A144</f>
        <v>15</v>
      </c>
      <c r="I165" s="440"/>
      <c r="J165" s="439">
        <f>+'MAY-22'!$A165</f>
        <v>5</v>
      </c>
      <c r="K165" s="440"/>
      <c r="L165" s="439">
        <f>+'JUN-22'!$A178</f>
        <v>5</v>
      </c>
      <c r="M165" s="440"/>
      <c r="N165" s="439">
        <f>+'JUL-22'!$A190</f>
        <v>4</v>
      </c>
      <c r="O165" s="440"/>
      <c r="P165" s="439">
        <f>+'AGO-22'!$A87</f>
        <v>0</v>
      </c>
      <c r="Q165" s="440"/>
      <c r="R165" s="439">
        <f>+'SEP-22'!$A112</f>
        <v>0</v>
      </c>
      <c r="S165" s="440"/>
      <c r="T165" s="439">
        <f>+'OCT-22'!$A129</f>
        <v>2</v>
      </c>
      <c r="U165" s="440"/>
      <c r="V165" s="439">
        <f>+'NOV-22'!$A89</f>
        <v>0</v>
      </c>
      <c r="W165" s="440"/>
      <c r="X165" s="439">
        <f>+'DIC-22'!$A127</f>
        <v>0</v>
      </c>
      <c r="Y165" s="440"/>
    </row>
    <row r="166" spans="1:25" x14ac:dyDescent="0.2">
      <c r="A166" s="86" t="s">
        <v>228</v>
      </c>
      <c r="B166" s="439" t="s">
        <v>128</v>
      </c>
      <c r="C166" s="440"/>
      <c r="D166" s="439" t="s">
        <v>128</v>
      </c>
      <c r="E166" s="440"/>
      <c r="F166" s="439">
        <f>+'MAR-22'!$A149</f>
        <v>1</v>
      </c>
      <c r="G166" s="440"/>
      <c r="H166" s="439">
        <f>+'ABR-22'!$A145</f>
        <v>0</v>
      </c>
      <c r="I166" s="440"/>
      <c r="J166" s="439">
        <f>+'MAY-22'!$A166</f>
        <v>0</v>
      </c>
      <c r="K166" s="440"/>
      <c r="L166" s="439">
        <f>+'JUN-22'!$A179</f>
        <v>0</v>
      </c>
      <c r="M166" s="440"/>
      <c r="N166" s="439">
        <f>+'JUL-22'!$A191</f>
        <v>0</v>
      </c>
      <c r="O166" s="440"/>
      <c r="P166" s="439">
        <f>+'AGO-22'!$A88</f>
        <v>0</v>
      </c>
      <c r="Q166" s="440"/>
      <c r="R166" s="439">
        <f>+'SEP-22'!$A113</f>
        <v>0</v>
      </c>
      <c r="S166" s="440"/>
      <c r="T166" s="439">
        <f>+'OCT-22'!$A130</f>
        <v>0</v>
      </c>
      <c r="U166" s="440"/>
      <c r="V166" s="439">
        <f>+'NOV-22'!$A90</f>
        <v>0</v>
      </c>
      <c r="W166" s="440"/>
      <c r="X166" s="439">
        <f>+'DIC-22'!$A128</f>
        <v>0</v>
      </c>
      <c r="Y166" s="440"/>
    </row>
    <row r="167" spans="1:25" x14ac:dyDescent="0.2">
      <c r="A167" s="86" t="s">
        <v>230</v>
      </c>
      <c r="B167" s="439" t="s">
        <v>128</v>
      </c>
      <c r="C167" s="440"/>
      <c r="D167" s="439" t="s">
        <v>128</v>
      </c>
      <c r="E167" s="440"/>
      <c r="F167" s="439">
        <f>+'MAR-22'!$A150</f>
        <v>0</v>
      </c>
      <c r="G167" s="440"/>
      <c r="H167" s="439">
        <f>+'ABR-22'!$A146</f>
        <v>0</v>
      </c>
      <c r="I167" s="440"/>
      <c r="J167" s="439">
        <f>+'MAY-22'!$A167</f>
        <v>0</v>
      </c>
      <c r="K167" s="440"/>
      <c r="L167" s="439">
        <f>+'JUN-22'!$A180</f>
        <v>0</v>
      </c>
      <c r="M167" s="440"/>
      <c r="N167" s="439">
        <f>+'JUL-22'!$A192</f>
        <v>0</v>
      </c>
      <c r="O167" s="440"/>
      <c r="P167" s="439">
        <f>+'AGO-22'!$A89</f>
        <v>0</v>
      </c>
      <c r="Q167" s="440"/>
      <c r="R167" s="439">
        <f>+'SEP-22'!$A114</f>
        <v>0</v>
      </c>
      <c r="S167" s="440"/>
      <c r="T167" s="439">
        <f>+'OCT-22'!$A131</f>
        <v>0</v>
      </c>
      <c r="U167" s="440"/>
      <c r="V167" s="439">
        <f>+'NOV-22'!$A91</f>
        <v>0</v>
      </c>
      <c r="W167" s="440"/>
      <c r="X167" s="439">
        <f>+'DIC-22'!$A129</f>
        <v>0</v>
      </c>
      <c r="Y167" s="440"/>
    </row>
    <row r="168" spans="1:25" x14ac:dyDescent="0.2">
      <c r="A168" s="86" t="s">
        <v>231</v>
      </c>
      <c r="B168" s="439" t="s">
        <v>128</v>
      </c>
      <c r="C168" s="440"/>
      <c r="D168" s="439" t="s">
        <v>128</v>
      </c>
      <c r="E168" s="440"/>
      <c r="F168" s="439">
        <f>+'MAR-22'!$A151</f>
        <v>10</v>
      </c>
      <c r="G168" s="440"/>
      <c r="H168" s="439">
        <f>+'ABR-22'!$A147</f>
        <v>21</v>
      </c>
      <c r="I168" s="440"/>
      <c r="J168" s="439">
        <f>+'MAY-22'!$A168</f>
        <v>28</v>
      </c>
      <c r="K168" s="440"/>
      <c r="L168" s="439">
        <f>+'JUN-22'!$A181</f>
        <v>42</v>
      </c>
      <c r="M168" s="440"/>
      <c r="N168" s="439">
        <f>+'JUL-22'!$A193</f>
        <v>37</v>
      </c>
      <c r="O168" s="440"/>
      <c r="P168" s="439">
        <f>+'AGO-22'!$A90</f>
        <v>0</v>
      </c>
      <c r="Q168" s="440"/>
      <c r="R168" s="439">
        <f>+'SEP-22'!$A115</f>
        <v>0</v>
      </c>
      <c r="S168" s="440"/>
      <c r="T168" s="439">
        <f>+'OCT-22'!$A132</f>
        <v>10</v>
      </c>
      <c r="U168" s="440"/>
      <c r="V168" s="439">
        <f>+'NOV-22'!$A92</f>
        <v>0</v>
      </c>
      <c r="W168" s="440"/>
      <c r="X168" s="439">
        <f>+'DIC-22'!$A130</f>
        <v>0</v>
      </c>
      <c r="Y168" s="440"/>
    </row>
    <row r="169" spans="1:25" x14ac:dyDescent="0.2">
      <c r="A169" s="86" t="s">
        <v>233</v>
      </c>
      <c r="B169" s="439" t="s">
        <v>128</v>
      </c>
      <c r="C169" s="440"/>
      <c r="D169" s="439" t="s">
        <v>128</v>
      </c>
      <c r="E169" s="440"/>
      <c r="F169" s="439">
        <f>+'MAR-22'!$A152</f>
        <v>0</v>
      </c>
      <c r="G169" s="440"/>
      <c r="H169" s="439">
        <f>+'ABR-22'!$A148</f>
        <v>0</v>
      </c>
      <c r="I169" s="440"/>
      <c r="J169" s="439">
        <f>+'MAY-22'!$A169</f>
        <v>1</v>
      </c>
      <c r="K169" s="440"/>
      <c r="L169" s="439">
        <f>+'JUN-22'!$A182</f>
        <v>1</v>
      </c>
      <c r="M169" s="440"/>
      <c r="N169" s="439">
        <f>+'JUL-22'!$A194</f>
        <v>0</v>
      </c>
      <c r="O169" s="440"/>
      <c r="P169" s="439">
        <f>+'AGO-22'!$A91</f>
        <v>0</v>
      </c>
      <c r="Q169" s="440"/>
      <c r="R169" s="439">
        <f>+'SEP-22'!$A116</f>
        <v>0</v>
      </c>
      <c r="S169" s="440"/>
      <c r="T169" s="439">
        <f>+'OCT-22'!$A133</f>
        <v>0</v>
      </c>
      <c r="U169" s="440"/>
      <c r="V169" s="439">
        <f>+'NOV-22'!$A93</f>
        <v>0</v>
      </c>
      <c r="W169" s="440"/>
      <c r="X169" s="439">
        <f>+'DIC-22'!$A131</f>
        <v>0</v>
      </c>
      <c r="Y169" s="440"/>
    </row>
    <row r="170" spans="1:25" x14ac:dyDescent="0.2">
      <c r="A170" s="86" t="s">
        <v>234</v>
      </c>
      <c r="B170" s="439" t="s">
        <v>128</v>
      </c>
      <c r="C170" s="440"/>
      <c r="D170" s="439" t="s">
        <v>128</v>
      </c>
      <c r="E170" s="440"/>
      <c r="F170" s="439">
        <f>+'MAR-22'!$A153</f>
        <v>3</v>
      </c>
      <c r="G170" s="440"/>
      <c r="H170" s="439">
        <f>+'ABR-22'!$A149</f>
        <v>7</v>
      </c>
      <c r="I170" s="440"/>
      <c r="J170" s="439">
        <f>+'MAY-22'!$A170</f>
        <v>2</v>
      </c>
      <c r="K170" s="440"/>
      <c r="L170" s="439">
        <f>+'JUN-22'!$A183</f>
        <v>11</v>
      </c>
      <c r="M170" s="440"/>
      <c r="N170" s="439">
        <f>+'JUL-22'!$A195</f>
        <v>4</v>
      </c>
      <c r="O170" s="440"/>
      <c r="P170" s="439">
        <f>+'AGO-22'!$A92</f>
        <v>0</v>
      </c>
      <c r="Q170" s="440"/>
      <c r="R170" s="439">
        <f>+'SEP-22'!$A117</f>
        <v>0</v>
      </c>
      <c r="S170" s="440"/>
      <c r="T170" s="439">
        <f>+'OCT-22'!$A134</f>
        <v>3</v>
      </c>
      <c r="U170" s="440"/>
      <c r="V170" s="439">
        <f>+'NOV-22'!$A94</f>
        <v>0</v>
      </c>
      <c r="W170" s="440"/>
      <c r="X170" s="439">
        <f>+'DIC-22'!$A132</f>
        <v>0</v>
      </c>
      <c r="Y170" s="440"/>
    </row>
    <row r="171" spans="1:25" x14ac:dyDescent="0.2">
      <c r="A171" s="86" t="s">
        <v>236</v>
      </c>
      <c r="B171" s="439" t="s">
        <v>128</v>
      </c>
      <c r="C171" s="440"/>
      <c r="D171" s="439" t="s">
        <v>128</v>
      </c>
      <c r="E171" s="440"/>
      <c r="F171" s="439">
        <f>+'MAR-22'!$A154</f>
        <v>0</v>
      </c>
      <c r="G171" s="440"/>
      <c r="H171" s="439">
        <f>+'ABR-22'!$A150</f>
        <v>0</v>
      </c>
      <c r="I171" s="440"/>
      <c r="J171" s="439">
        <f>+'MAY-22'!$A171</f>
        <v>1</v>
      </c>
      <c r="K171" s="440"/>
      <c r="L171" s="439">
        <f>+'JUN-22'!$A184</f>
        <v>0</v>
      </c>
      <c r="M171" s="440"/>
      <c r="N171" s="439">
        <f>+'JUL-22'!$A196</f>
        <v>2</v>
      </c>
      <c r="O171" s="440"/>
      <c r="P171" s="439">
        <f>+'AGO-22'!$A93</f>
        <v>0</v>
      </c>
      <c r="Q171" s="440"/>
      <c r="R171" s="439">
        <f>+'SEP-22'!$A118</f>
        <v>0</v>
      </c>
      <c r="S171" s="440"/>
      <c r="T171" s="439">
        <f>+'OCT-22'!$A135</f>
        <v>0</v>
      </c>
      <c r="U171" s="440"/>
      <c r="V171" s="439">
        <f>+'NOV-22'!$A95</f>
        <v>0</v>
      </c>
      <c r="W171" s="440"/>
      <c r="X171" s="439">
        <f>+'DIC-22'!$A133</f>
        <v>0</v>
      </c>
      <c r="Y171" s="440"/>
    </row>
    <row r="172" spans="1:25" x14ac:dyDescent="0.2">
      <c r="A172" s="90" t="s">
        <v>237</v>
      </c>
      <c r="B172" s="439" t="s">
        <v>128</v>
      </c>
      <c r="C172" s="440"/>
      <c r="D172" s="439" t="s">
        <v>128</v>
      </c>
      <c r="E172" s="440"/>
      <c r="F172" s="439">
        <f>+'MAR-22'!$A155</f>
        <v>2</v>
      </c>
      <c r="G172" s="440"/>
      <c r="H172" s="439">
        <f>+'ABR-22'!$A151</f>
        <v>6</v>
      </c>
      <c r="I172" s="440"/>
      <c r="J172" s="439">
        <f>+'MAY-22'!$A172</f>
        <v>4</v>
      </c>
      <c r="K172" s="440"/>
      <c r="L172" s="439">
        <f>+'JUN-22'!$A185</f>
        <v>1</v>
      </c>
      <c r="M172" s="440"/>
      <c r="N172" s="439">
        <f>+'JUL-22'!$A197</f>
        <v>11</v>
      </c>
      <c r="O172" s="440"/>
      <c r="P172" s="439">
        <f>+'AGO-22'!$A94</f>
        <v>0</v>
      </c>
      <c r="Q172" s="440"/>
      <c r="R172" s="439">
        <f>+'SEP-22'!$A119</f>
        <v>0</v>
      </c>
      <c r="S172" s="440"/>
      <c r="T172" s="439">
        <f>+'OCT-22'!$A136</f>
        <v>0</v>
      </c>
      <c r="U172" s="440"/>
      <c r="V172" s="439">
        <f>+'NOV-22'!$A96</f>
        <v>0</v>
      </c>
      <c r="W172" s="440"/>
      <c r="X172" s="439">
        <f>+'DIC-22'!$A134</f>
        <v>0</v>
      </c>
      <c r="Y172" s="440"/>
    </row>
    <row r="173" spans="1:25" x14ac:dyDescent="0.2">
      <c r="A173" s="86" t="s">
        <v>239</v>
      </c>
      <c r="B173" s="439" t="s">
        <v>128</v>
      </c>
      <c r="C173" s="440"/>
      <c r="D173" s="439" t="s">
        <v>128</v>
      </c>
      <c r="E173" s="440"/>
      <c r="F173" s="439">
        <f>+'MAR-22'!$A156</f>
        <v>0</v>
      </c>
      <c r="G173" s="440"/>
      <c r="H173" s="439">
        <f>+'ABR-22'!$A152</f>
        <v>0</v>
      </c>
      <c r="I173" s="440"/>
      <c r="J173" s="439">
        <f>+'MAY-22'!$A173</f>
        <v>18</v>
      </c>
      <c r="K173" s="440"/>
      <c r="L173" s="439">
        <f>+'JUN-22'!$A186</f>
        <v>1</v>
      </c>
      <c r="M173" s="440"/>
      <c r="N173" s="439">
        <f>+'JUL-22'!$A198</f>
        <v>12</v>
      </c>
      <c r="O173" s="440"/>
      <c r="P173" s="439">
        <f>+'AGO-22'!$A95</f>
        <v>0</v>
      </c>
      <c r="Q173" s="440"/>
      <c r="R173" s="439">
        <f>+'SEP-22'!$A120</f>
        <v>0</v>
      </c>
      <c r="S173" s="440"/>
      <c r="T173" s="439">
        <f>+'OCT-22'!$A137</f>
        <v>0</v>
      </c>
      <c r="U173" s="440"/>
      <c r="V173" s="439">
        <f>+'NOV-22'!$A97</f>
        <v>0</v>
      </c>
      <c r="W173" s="440"/>
      <c r="X173" s="439">
        <f>+'DIC-22'!$A135</f>
        <v>0</v>
      </c>
      <c r="Y173" s="440"/>
    </row>
    <row r="174" spans="1:25" x14ac:dyDescent="0.2">
      <c r="A174" s="86" t="s">
        <v>241</v>
      </c>
      <c r="B174" s="439" t="s">
        <v>128</v>
      </c>
      <c r="C174" s="440"/>
      <c r="D174" s="439" t="s">
        <v>128</v>
      </c>
      <c r="E174" s="440"/>
      <c r="F174" s="439">
        <f>+'MAR-22'!$A159</f>
        <v>0</v>
      </c>
      <c r="G174" s="440"/>
      <c r="H174" s="439">
        <f>+'ABR-22'!$A155</f>
        <v>3</v>
      </c>
      <c r="I174" s="440"/>
      <c r="J174" s="439">
        <f>+'MAY-22'!$A176</f>
        <v>4</v>
      </c>
      <c r="K174" s="440"/>
      <c r="L174" s="439">
        <f>+'JUN-22'!$A189</f>
        <v>3</v>
      </c>
      <c r="M174" s="440"/>
      <c r="N174" s="439">
        <f>+'JUL-22'!$A201</f>
        <v>4</v>
      </c>
      <c r="O174" s="440"/>
      <c r="P174" s="439">
        <f>+'AGO-22'!$A98</f>
        <v>0</v>
      </c>
      <c r="Q174" s="440"/>
      <c r="R174" s="439">
        <f>+'SEP-22'!$A123</f>
        <v>0</v>
      </c>
      <c r="S174" s="440"/>
      <c r="T174" s="439">
        <f>+'OCT-22'!$A140</f>
        <v>0</v>
      </c>
      <c r="U174" s="440"/>
      <c r="V174" s="439">
        <f>+'NOV-22'!$A100</f>
        <v>0</v>
      </c>
      <c r="W174" s="440"/>
      <c r="X174" s="439">
        <f>+'DIC-22'!$A138</f>
        <v>0</v>
      </c>
      <c r="Y174" s="440"/>
    </row>
    <row r="175" spans="1:25" x14ac:dyDescent="0.2">
      <c r="A175" s="86" t="s">
        <v>243</v>
      </c>
      <c r="B175" s="439" t="s">
        <v>128</v>
      </c>
      <c r="C175" s="440"/>
      <c r="D175" s="439" t="s">
        <v>128</v>
      </c>
      <c r="E175" s="440"/>
      <c r="F175" s="439">
        <f>+'MAR-22'!$A157</f>
        <v>0</v>
      </c>
      <c r="G175" s="440"/>
      <c r="H175" s="439">
        <f>+'ABR-22'!$A153</f>
        <v>0</v>
      </c>
      <c r="I175" s="440"/>
      <c r="J175" s="439">
        <f>+'MAY-22'!$A174</f>
        <v>1</v>
      </c>
      <c r="K175" s="440"/>
      <c r="L175" s="439">
        <f>+'JUN-22'!$A187</f>
        <v>0</v>
      </c>
      <c r="M175" s="440"/>
      <c r="N175" s="439">
        <f>+'JUL-22'!$A199</f>
        <v>0</v>
      </c>
      <c r="O175" s="440"/>
      <c r="P175" s="439">
        <f>+'AGO-22'!$A96</f>
        <v>0</v>
      </c>
      <c r="Q175" s="440"/>
      <c r="R175" s="439">
        <f>+'SEP-22'!$A121</f>
        <v>0</v>
      </c>
      <c r="S175" s="440"/>
      <c r="T175" s="439">
        <f>+'OCT-22'!$A138</f>
        <v>0</v>
      </c>
      <c r="U175" s="440"/>
      <c r="V175" s="439">
        <f>+'NOV-22'!$A98</f>
        <v>0</v>
      </c>
      <c r="W175" s="440"/>
      <c r="X175" s="439">
        <f>+'DIC-22'!$A136</f>
        <v>0</v>
      </c>
      <c r="Y175" s="440"/>
    </row>
    <row r="176" spans="1:25" x14ac:dyDescent="0.2">
      <c r="A176" s="86" t="s">
        <v>245</v>
      </c>
      <c r="B176" s="439" t="s">
        <v>128</v>
      </c>
      <c r="C176" s="440"/>
      <c r="D176" s="439" t="s">
        <v>128</v>
      </c>
      <c r="E176" s="440"/>
      <c r="F176" s="439">
        <f>+'MAR-22'!$A158</f>
        <v>0</v>
      </c>
      <c r="G176" s="440"/>
      <c r="H176" s="439">
        <f>+'ABR-22'!$A154</f>
        <v>2</v>
      </c>
      <c r="I176" s="440"/>
      <c r="J176" s="439">
        <f>+'MAY-22'!$A175</f>
        <v>3</v>
      </c>
      <c r="K176" s="440"/>
      <c r="L176" s="439">
        <f>+'JUN-22'!$A188</f>
        <v>0</v>
      </c>
      <c r="M176" s="440"/>
      <c r="N176" s="439">
        <f>+'JUL-22'!$A200</f>
        <v>4</v>
      </c>
      <c r="O176" s="440"/>
      <c r="P176" s="439">
        <f>+'AGO-22'!$A97</f>
        <v>0</v>
      </c>
      <c r="Q176" s="440"/>
      <c r="R176" s="439">
        <f>+'SEP-22'!$A122</f>
        <v>0</v>
      </c>
      <c r="S176" s="440"/>
      <c r="T176" s="439">
        <f>+'OCT-22'!$A139</f>
        <v>0</v>
      </c>
      <c r="U176" s="440"/>
      <c r="V176" s="439">
        <f>+'NOV-22'!$A99</f>
        <v>0</v>
      </c>
      <c r="W176" s="440"/>
      <c r="X176" s="439">
        <f>+'DIC-22'!$A137</f>
        <v>0</v>
      </c>
      <c r="Y176" s="440"/>
    </row>
  </sheetData>
  <mergeCells count="424">
    <mergeCell ref="B172:C172"/>
    <mergeCell ref="D172:E172"/>
    <mergeCell ref="D174:E174"/>
    <mergeCell ref="D175:E175"/>
    <mergeCell ref="B176:C176"/>
    <mergeCell ref="D176:E176"/>
    <mergeCell ref="X127:Y127"/>
    <mergeCell ref="F176:G176"/>
    <mergeCell ref="H176:I176"/>
    <mergeCell ref="J176:K176"/>
    <mergeCell ref="L176:M176"/>
    <mergeCell ref="N176:O176"/>
    <mergeCell ref="P176:Q176"/>
    <mergeCell ref="R176:S176"/>
    <mergeCell ref="T176:U176"/>
    <mergeCell ref="V176:W176"/>
    <mergeCell ref="X176:Y176"/>
    <mergeCell ref="B173:C173"/>
    <mergeCell ref="B174:C174"/>
    <mergeCell ref="B175:C175"/>
    <mergeCell ref="B169:C169"/>
    <mergeCell ref="B170:C170"/>
    <mergeCell ref="V128:W128"/>
    <mergeCell ref="X128:Y128"/>
    <mergeCell ref="H127:I127"/>
    <mergeCell ref="J127:K127"/>
    <mergeCell ref="L127:M127"/>
    <mergeCell ref="N127:O127"/>
    <mergeCell ref="P127:Q127"/>
    <mergeCell ref="R127:S127"/>
    <mergeCell ref="B82:C82"/>
    <mergeCell ref="N82:O82"/>
    <mergeCell ref="P82:Q82"/>
    <mergeCell ref="R82:S82"/>
    <mergeCell ref="D82:E82"/>
    <mergeCell ref="F82:G82"/>
    <mergeCell ref="H82:I82"/>
    <mergeCell ref="J82:K82"/>
    <mergeCell ref="L82:M82"/>
    <mergeCell ref="V3:W3"/>
    <mergeCell ref="X3:Y3"/>
    <mergeCell ref="J3:K3"/>
    <mergeCell ref="L3:M3"/>
    <mergeCell ref="N3:O3"/>
    <mergeCell ref="P3:Q3"/>
    <mergeCell ref="R3:S3"/>
    <mergeCell ref="B3:C3"/>
    <mergeCell ref="D3:E3"/>
    <mergeCell ref="F3:G3"/>
    <mergeCell ref="H3:I3"/>
    <mergeCell ref="B80:C80"/>
    <mergeCell ref="P78:Q78"/>
    <mergeCell ref="R78:S78"/>
    <mergeCell ref="T78:U78"/>
    <mergeCell ref="T3:U3"/>
    <mergeCell ref="V17:W17"/>
    <mergeCell ref="X17:Y17"/>
    <mergeCell ref="B76:C76"/>
    <mergeCell ref="D76:E76"/>
    <mergeCell ref="F76:G76"/>
    <mergeCell ref="H76:I76"/>
    <mergeCell ref="J76:K76"/>
    <mergeCell ref="L76:M76"/>
    <mergeCell ref="N76:O76"/>
    <mergeCell ref="P76:Q76"/>
    <mergeCell ref="R76:S76"/>
    <mergeCell ref="T76:U76"/>
    <mergeCell ref="V76:W76"/>
    <mergeCell ref="X76:Y76"/>
    <mergeCell ref="J17:K17"/>
    <mergeCell ref="L17:M17"/>
    <mergeCell ref="N17:O17"/>
    <mergeCell ref="P17:Q17"/>
    <mergeCell ref="R17:S17"/>
    <mergeCell ref="A17:A18"/>
    <mergeCell ref="A3:A4"/>
    <mergeCell ref="A31:A32"/>
    <mergeCell ref="B31:C31"/>
    <mergeCell ref="D31:E31"/>
    <mergeCell ref="N31:O31"/>
    <mergeCell ref="T17:U17"/>
    <mergeCell ref="D79:E79"/>
    <mergeCell ref="F79:G79"/>
    <mergeCell ref="H79:I79"/>
    <mergeCell ref="J79:K79"/>
    <mergeCell ref="L79:M79"/>
    <mergeCell ref="B17:C17"/>
    <mergeCell ref="D17:E17"/>
    <mergeCell ref="F17:G17"/>
    <mergeCell ref="H17:I17"/>
    <mergeCell ref="D77:E77"/>
    <mergeCell ref="F77:G77"/>
    <mergeCell ref="H77:I77"/>
    <mergeCell ref="J77:K77"/>
    <mergeCell ref="L77:M77"/>
    <mergeCell ref="B77:C77"/>
    <mergeCell ref="B78:C78"/>
    <mergeCell ref="B79:C79"/>
    <mergeCell ref="T31:U31"/>
    <mergeCell ref="V31:W31"/>
    <mergeCell ref="X77:Y77"/>
    <mergeCell ref="D78:E78"/>
    <mergeCell ref="F78:G78"/>
    <mergeCell ref="H78:I78"/>
    <mergeCell ref="J78:K78"/>
    <mergeCell ref="L78:M78"/>
    <mergeCell ref="N78:O78"/>
    <mergeCell ref="X31:Y31"/>
    <mergeCell ref="F31:G31"/>
    <mergeCell ref="H31:I31"/>
    <mergeCell ref="J31:K31"/>
    <mergeCell ref="L31:M31"/>
    <mergeCell ref="V78:W78"/>
    <mergeCell ref="X78:Y78"/>
    <mergeCell ref="N77:O77"/>
    <mergeCell ref="P77:Q77"/>
    <mergeCell ref="R77:S77"/>
    <mergeCell ref="T77:U77"/>
    <mergeCell ref="V77:W77"/>
    <mergeCell ref="D80:E80"/>
    <mergeCell ref="F80:G80"/>
    <mergeCell ref="H80:I80"/>
    <mergeCell ref="J80:K80"/>
    <mergeCell ref="L80:M80"/>
    <mergeCell ref="N80:O80"/>
    <mergeCell ref="P80:Q80"/>
    <mergeCell ref="P31:Q31"/>
    <mergeCell ref="R31:S31"/>
    <mergeCell ref="R80:S80"/>
    <mergeCell ref="T82:U82"/>
    <mergeCell ref="V82:W82"/>
    <mergeCell ref="V80:W80"/>
    <mergeCell ref="X80:Y80"/>
    <mergeCell ref="N79:O79"/>
    <mergeCell ref="P79:Q79"/>
    <mergeCell ref="R79:S79"/>
    <mergeCell ref="T79:U79"/>
    <mergeCell ref="V79:W79"/>
    <mergeCell ref="X82:Y82"/>
    <mergeCell ref="X79:Y79"/>
    <mergeCell ref="T80:U80"/>
    <mergeCell ref="V117:W117"/>
    <mergeCell ref="X117:Y117"/>
    <mergeCell ref="B117:C117"/>
    <mergeCell ref="L117:M117"/>
    <mergeCell ref="N117:O117"/>
    <mergeCell ref="P117:Q117"/>
    <mergeCell ref="R117:S117"/>
    <mergeCell ref="T117:U117"/>
    <mergeCell ref="D117:E117"/>
    <mergeCell ref="F117:G117"/>
    <mergeCell ref="H117:I117"/>
    <mergeCell ref="J117:K117"/>
    <mergeCell ref="X119:Y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L119:M119"/>
    <mergeCell ref="N119:O119"/>
    <mergeCell ref="P119:Q119"/>
    <mergeCell ref="R119:S119"/>
    <mergeCell ref="T119:U119"/>
    <mergeCell ref="B119:C119"/>
    <mergeCell ref="D119:E119"/>
    <mergeCell ref="F119:G119"/>
    <mergeCell ref="H119:I119"/>
    <mergeCell ref="J119:K119"/>
    <mergeCell ref="X121:Y121"/>
    <mergeCell ref="B122:C122"/>
    <mergeCell ref="D122:E122"/>
    <mergeCell ref="F122:G122"/>
    <mergeCell ref="H122:I122"/>
    <mergeCell ref="J122:K122"/>
    <mergeCell ref="L122:M122"/>
    <mergeCell ref="N122:O122"/>
    <mergeCell ref="P122:Q122"/>
    <mergeCell ref="R122:S122"/>
    <mergeCell ref="T122:U122"/>
    <mergeCell ref="V122:W122"/>
    <mergeCell ref="X122:Y122"/>
    <mergeCell ref="L121:M121"/>
    <mergeCell ref="N121:O121"/>
    <mergeCell ref="P121:Q121"/>
    <mergeCell ref="R121:S121"/>
    <mergeCell ref="T121:U121"/>
    <mergeCell ref="B121:C121"/>
    <mergeCell ref="D121:E121"/>
    <mergeCell ref="F121:G121"/>
    <mergeCell ref="H121:I121"/>
    <mergeCell ref="J121:K121"/>
    <mergeCell ref="X123:Y123"/>
    <mergeCell ref="B124:C124"/>
    <mergeCell ref="D124:E124"/>
    <mergeCell ref="F124:G124"/>
    <mergeCell ref="H124:I124"/>
    <mergeCell ref="J124:K124"/>
    <mergeCell ref="L124:M124"/>
    <mergeCell ref="N124:O124"/>
    <mergeCell ref="P124:Q124"/>
    <mergeCell ref="R124:S124"/>
    <mergeCell ref="T124:U124"/>
    <mergeCell ref="V124:W124"/>
    <mergeCell ref="X124:Y124"/>
    <mergeCell ref="N123:O123"/>
    <mergeCell ref="P123:Q123"/>
    <mergeCell ref="R123:S123"/>
    <mergeCell ref="T123:U123"/>
    <mergeCell ref="V123:W123"/>
    <mergeCell ref="D123:E123"/>
    <mergeCell ref="F123:G123"/>
    <mergeCell ref="H123:I123"/>
    <mergeCell ref="J123:K123"/>
    <mergeCell ref="L123:M123"/>
    <mergeCell ref="B123:C123"/>
    <mergeCell ref="A116:A117"/>
    <mergeCell ref="B163:C163"/>
    <mergeCell ref="D163:E163"/>
    <mergeCell ref="F163:G163"/>
    <mergeCell ref="H163:I163"/>
    <mergeCell ref="J163:K163"/>
    <mergeCell ref="L163:M163"/>
    <mergeCell ref="N163:O163"/>
    <mergeCell ref="P163:Q163"/>
    <mergeCell ref="F118:G118"/>
    <mergeCell ref="H118:I118"/>
    <mergeCell ref="J118:K118"/>
    <mergeCell ref="B118:C118"/>
    <mergeCell ref="D118:E118"/>
    <mergeCell ref="N125:O125"/>
    <mergeCell ref="P125:Q125"/>
    <mergeCell ref="D125:E125"/>
    <mergeCell ref="F125:G125"/>
    <mergeCell ref="H125:I125"/>
    <mergeCell ref="J125:K125"/>
    <mergeCell ref="L125:M125"/>
    <mergeCell ref="B127:C127"/>
    <mergeCell ref="D127:E127"/>
    <mergeCell ref="F127:G127"/>
    <mergeCell ref="R163:S163"/>
    <mergeCell ref="T163:U163"/>
    <mergeCell ref="V163:W163"/>
    <mergeCell ref="L128:M128"/>
    <mergeCell ref="N128:O128"/>
    <mergeCell ref="P128:Q128"/>
    <mergeCell ref="R128:S128"/>
    <mergeCell ref="T128:U128"/>
    <mergeCell ref="X118:Y118"/>
    <mergeCell ref="L118:M118"/>
    <mergeCell ref="N118:O118"/>
    <mergeCell ref="X163:Y163"/>
    <mergeCell ref="P118:Q118"/>
    <mergeCell ref="R118:S118"/>
    <mergeCell ref="T118:U118"/>
    <mergeCell ref="V118:W118"/>
    <mergeCell ref="V121:W121"/>
    <mergeCell ref="V119:W119"/>
    <mergeCell ref="T127:U127"/>
    <mergeCell ref="V127:W127"/>
    <mergeCell ref="X126:Y126"/>
    <mergeCell ref="R125:S125"/>
    <mergeCell ref="T125:U125"/>
    <mergeCell ref="V125:W125"/>
    <mergeCell ref="B171:C171"/>
    <mergeCell ref="B128:C128"/>
    <mergeCell ref="D128:E128"/>
    <mergeCell ref="F128:G128"/>
    <mergeCell ref="H128:I128"/>
    <mergeCell ref="J128:K128"/>
    <mergeCell ref="X125:Y125"/>
    <mergeCell ref="B126:C126"/>
    <mergeCell ref="D126:E126"/>
    <mergeCell ref="F126:G126"/>
    <mergeCell ref="H126:I126"/>
    <mergeCell ref="J126:K126"/>
    <mergeCell ref="L126:M126"/>
    <mergeCell ref="N126:O126"/>
    <mergeCell ref="P126:Q126"/>
    <mergeCell ref="R126:S126"/>
    <mergeCell ref="B164:C164"/>
    <mergeCell ref="B165:C165"/>
    <mergeCell ref="B166:C166"/>
    <mergeCell ref="B167:C167"/>
    <mergeCell ref="B168:C168"/>
    <mergeCell ref="T126:U126"/>
    <mergeCell ref="V126:W126"/>
    <mergeCell ref="B125:C125"/>
    <mergeCell ref="X164:Y164"/>
    <mergeCell ref="D165:E165"/>
    <mergeCell ref="F165:G165"/>
    <mergeCell ref="H165:I165"/>
    <mergeCell ref="J165:K165"/>
    <mergeCell ref="L165:M165"/>
    <mergeCell ref="N165:O165"/>
    <mergeCell ref="P165:Q165"/>
    <mergeCell ref="R165:S165"/>
    <mergeCell ref="T165:U165"/>
    <mergeCell ref="V165:W165"/>
    <mergeCell ref="X165:Y165"/>
    <mergeCell ref="N164:O164"/>
    <mergeCell ref="P164:Q164"/>
    <mergeCell ref="R164:S164"/>
    <mergeCell ref="T164:U164"/>
    <mergeCell ref="V164:W164"/>
    <mergeCell ref="D164:E164"/>
    <mergeCell ref="F164:G164"/>
    <mergeCell ref="H164:I164"/>
    <mergeCell ref="J164:K164"/>
    <mergeCell ref="L164:M164"/>
    <mergeCell ref="X166:Y166"/>
    <mergeCell ref="D167:E167"/>
    <mergeCell ref="F167:G167"/>
    <mergeCell ref="H167:I167"/>
    <mergeCell ref="J167:K167"/>
    <mergeCell ref="L167:M167"/>
    <mergeCell ref="N167:O167"/>
    <mergeCell ref="P167:Q167"/>
    <mergeCell ref="R167:S167"/>
    <mergeCell ref="T167:U167"/>
    <mergeCell ref="V167:W167"/>
    <mergeCell ref="X167:Y167"/>
    <mergeCell ref="N166:O166"/>
    <mergeCell ref="P166:Q166"/>
    <mergeCell ref="R166:S166"/>
    <mergeCell ref="T166:U166"/>
    <mergeCell ref="V166:W166"/>
    <mergeCell ref="D166:E166"/>
    <mergeCell ref="F166:G166"/>
    <mergeCell ref="H166:I166"/>
    <mergeCell ref="J166:K166"/>
    <mergeCell ref="L166:M166"/>
    <mergeCell ref="X168:Y168"/>
    <mergeCell ref="D169:E169"/>
    <mergeCell ref="F169:G169"/>
    <mergeCell ref="H169:I169"/>
    <mergeCell ref="J169:K169"/>
    <mergeCell ref="L169:M169"/>
    <mergeCell ref="N169:O169"/>
    <mergeCell ref="P169:Q169"/>
    <mergeCell ref="R169:S169"/>
    <mergeCell ref="T169:U169"/>
    <mergeCell ref="V169:W169"/>
    <mergeCell ref="X169:Y169"/>
    <mergeCell ref="N168:O168"/>
    <mergeCell ref="P168:Q168"/>
    <mergeCell ref="R168:S168"/>
    <mergeCell ref="T168:U168"/>
    <mergeCell ref="V168:W168"/>
    <mergeCell ref="D168:E168"/>
    <mergeCell ref="F168:G168"/>
    <mergeCell ref="H168:I168"/>
    <mergeCell ref="J168:K168"/>
    <mergeCell ref="L168:M168"/>
    <mergeCell ref="X170:Y170"/>
    <mergeCell ref="D171:E171"/>
    <mergeCell ref="F171:G171"/>
    <mergeCell ref="H171:I171"/>
    <mergeCell ref="J171:K171"/>
    <mergeCell ref="L171:M171"/>
    <mergeCell ref="N171:O171"/>
    <mergeCell ref="P171:Q171"/>
    <mergeCell ref="R171:S171"/>
    <mergeCell ref="T171:U171"/>
    <mergeCell ref="V171:W171"/>
    <mergeCell ref="X171:Y171"/>
    <mergeCell ref="N170:O170"/>
    <mergeCell ref="P170:Q170"/>
    <mergeCell ref="R170:S170"/>
    <mergeCell ref="T170:U170"/>
    <mergeCell ref="V170:W170"/>
    <mergeCell ref="D170:E170"/>
    <mergeCell ref="F170:G170"/>
    <mergeCell ref="H170:I170"/>
    <mergeCell ref="J170:K170"/>
    <mergeCell ref="L170:M170"/>
    <mergeCell ref="X172:Y172"/>
    <mergeCell ref="D173:E173"/>
    <mergeCell ref="F173:G173"/>
    <mergeCell ref="H173:I173"/>
    <mergeCell ref="J173:K173"/>
    <mergeCell ref="L173:M173"/>
    <mergeCell ref="N173:O173"/>
    <mergeCell ref="P173:Q173"/>
    <mergeCell ref="R173:S173"/>
    <mergeCell ref="T173:U173"/>
    <mergeCell ref="V173:W173"/>
    <mergeCell ref="X173:Y173"/>
    <mergeCell ref="N172:O172"/>
    <mergeCell ref="P172:Q172"/>
    <mergeCell ref="R172:S172"/>
    <mergeCell ref="T172:U172"/>
    <mergeCell ref="V172:W172"/>
    <mergeCell ref="F172:G172"/>
    <mergeCell ref="H172:I172"/>
    <mergeCell ref="J172:K172"/>
    <mergeCell ref="L172:M172"/>
    <mergeCell ref="X174:Y174"/>
    <mergeCell ref="F175:G175"/>
    <mergeCell ref="H175:I175"/>
    <mergeCell ref="J175:K175"/>
    <mergeCell ref="L175:M175"/>
    <mergeCell ref="N175:O175"/>
    <mergeCell ref="P175:Q175"/>
    <mergeCell ref="R175:S175"/>
    <mergeCell ref="T175:U175"/>
    <mergeCell ref="V175:W175"/>
    <mergeCell ref="X175:Y175"/>
    <mergeCell ref="N174:O174"/>
    <mergeCell ref="P174:Q174"/>
    <mergeCell ref="R174:S174"/>
    <mergeCell ref="T174:U174"/>
    <mergeCell ref="V174:W174"/>
    <mergeCell ref="F174:G174"/>
    <mergeCell ref="H174:I174"/>
    <mergeCell ref="J174:K174"/>
    <mergeCell ref="L174:M174"/>
  </mergeCells>
  <pageMargins left="0.7" right="0.7" top="0.75" bottom="0.75" header="0.3" footer="0.3"/>
  <pageSetup orientation="portrait" r:id="rId1"/>
  <ignoredErrors>
    <ignoredError sqref="H77:I80 H82 T77:T79" formula="1"/>
  </ignoredErrors>
  <drawing r:id="rId2"/>
</worksheet>
</file>

<file path=docProps/app.xml><?xml version="1.0" encoding="utf-8"?>
<Properties xmlns="http://schemas.openxmlformats.org/officeDocument/2006/extended-properties" xmlns:vt="http://schemas.openxmlformats.org/officeDocument/2006/docPropsVTypes">
  <Template>TM55723235</Template>
  <Application>Microsoft Macintosh Excel</Application>
  <DocSecurity>0</DocSecurity>
  <ScaleCrop>false</ScaleCrop>
  <HeadingPairs>
    <vt:vector size="2" baseType="variant">
      <vt:variant>
        <vt:lpstr>Hojas de cálculo</vt:lpstr>
      </vt:variant>
      <vt:variant>
        <vt:i4>27</vt:i4>
      </vt:variant>
    </vt:vector>
  </HeadingPairs>
  <TitlesOfParts>
    <vt:vector size="27" baseType="lpstr">
      <vt:lpstr>Acerca de</vt:lpstr>
      <vt:lpstr>FEB.-22</vt:lpstr>
      <vt:lpstr>ENE.-22</vt:lpstr>
      <vt:lpstr>MAR-22</vt:lpstr>
      <vt:lpstr>ABR-22</vt:lpstr>
      <vt:lpstr>MAY-22</vt:lpstr>
      <vt:lpstr>JUN-22</vt:lpstr>
      <vt:lpstr>JUL-22</vt:lpstr>
      <vt:lpstr>AGO-22</vt:lpstr>
      <vt:lpstr>NOV-22</vt:lpstr>
      <vt:lpstr>ENE-23</vt:lpstr>
      <vt:lpstr>DIC-22</vt:lpstr>
      <vt:lpstr>FEB-23</vt:lpstr>
      <vt:lpstr>MAR-23</vt:lpstr>
      <vt:lpstr>ABR-23</vt:lpstr>
      <vt:lpstr>MAY-23</vt:lpstr>
      <vt:lpstr>JUN-23</vt:lpstr>
      <vt:lpstr>JUL-23</vt:lpstr>
      <vt:lpstr>AGO-23</vt:lpstr>
      <vt:lpstr>SEP-23</vt:lpstr>
      <vt:lpstr>OCT-23</vt:lpstr>
      <vt:lpstr>SEP-22</vt:lpstr>
      <vt:lpstr>OCT-22</vt:lpstr>
      <vt:lpstr>NOV-23</vt:lpstr>
      <vt:lpstr>DIC-23</vt:lpstr>
      <vt:lpstr>Produccion de Equipos</vt:lpstr>
      <vt:lpstr>Resume 2022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2025-07-09T12:51:31Z</dcterms:created>
  <dcterms:modified xsi:type="dcterms:W3CDTF">2026-05-22T22:40:38Z</dcterms:modified>
  <cp:category/>
  <cp:contentStatus/>
</cp:coreProperties>
</file>